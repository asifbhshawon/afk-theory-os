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bb9bb4fc8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5506e7ad8943e6"/>
    <x:sheet xmlns:r="http://schemas.openxmlformats.org/officeDocument/2006/relationships" name="Settings" sheetId="2" r:id="Ra9448fbc905e4c2e"/>
    <x:sheet xmlns:r="http://schemas.openxmlformats.org/officeDocument/2006/relationships" name="Financial Report" sheetId="3" r:id="R7f0caaeaeaba47c0"/>
    <x:sheet xmlns:r="http://schemas.openxmlformats.org/officeDocument/2006/relationships" name="Partner Report" sheetId="4" r:id="R4ffe45ad0f654374"/>
    <x:sheet xmlns:r="http://schemas.openxmlformats.org/officeDocument/2006/relationships" name="Accounts" sheetId="5" r:id="Rc574e61cc3c74e09"/>
    <x:sheet xmlns:r="http://schemas.openxmlformats.org/officeDocument/2006/relationships" name="Partners" sheetId="6" r:id="Rddf342200c54408e"/>
    <x:sheet xmlns:r="http://schemas.openxmlformats.org/officeDocument/2006/relationships" name="Entries" sheetId="7" r:id="R98b7f6d491504e23"/>
    <x:sheet xmlns:r="http://schemas.openxmlformats.org/officeDocument/2006/relationships" name="Items" sheetId="8" r:id="R92bc7fbf8a0a41b9"/>
    <x:sheet xmlns:r="http://schemas.openxmlformats.org/officeDocument/2006/relationships" name="Lots" sheetId="9" r:id="Ra2437f97aea54a99"/>
    <x:sheet xmlns:r="http://schemas.openxmlformats.org/officeDocument/2006/relationships" name="Stock Log" sheetId="10" r:id="Ra0e3e380431e4866"/>
    <x:sheet xmlns:r="http://schemas.openxmlformats.org/officeDocument/2006/relationships" name="Production" sheetId="11" r:id="R912d0ebf447e4dc5"/>
    <x:sheet xmlns:r="http://schemas.openxmlformats.org/officeDocument/2006/relationships" name="Sales" sheetId="12" r:id="R9a2e5e007f344c45"/>
    <x:sheet xmlns:r="http://schemas.openxmlformats.org/officeDocument/2006/relationships" name="Contacts" sheetId="13" r:id="R7f72023298844397"/>
    <x:sheet xmlns:r="http://schemas.openxmlformats.org/officeDocument/2006/relationships" name="Ideas" sheetId="14" r:id="R2a4f6c2d5a4b466c"/>
    <x:sheet xmlns:r="http://schemas.openxmlformats.org/officeDocument/2006/relationships" name="Reconciliation" sheetId="15" r:id="R62cc1c8abcbe4276"/>
    <x:sheet xmlns:r="http://schemas.openxmlformats.org/officeDocument/2006/relationships" name="Checks" sheetId="16" r:id="R1ed9813f9222448d"/>
    <x:sheet xmlns:r="http://schemas.openxmlformats.org/officeDocument/2006/relationships" name="Event Guide" sheetId="17" r:id="R85f43d3954b34d99"/>
    <x:sheet xmlns:r="http://schemas.openxmlformats.org/officeDocument/2006/relationships" name="Read Me" sheetId="18" r:id="R880ee5809a89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0.0%"/>
    <x:numFmt numFmtId="202" formatCode="#,##0.00;(#,##0.00);&quot;–&quot;"/>
    <x:numFmt numFmtId="203" formatCode="0.00"/>
  </x:numFmts>
  <x:fonts count="8">
    <x:font>
      <x:sz val="11"/>
      <x:name val="Carlito"/>
    </x:font>
    <x:font>
      <x:sz val="10"/>
      <x:color rgb="FF252B23"/>
      <x:name val="Arial"/>
    </x:font>
    <x:font>
      <x:b/>
      <x:sz val="16"/>
      <x:color rgb="FF252B23"/>
      <x:name val="Arial"/>
    </x:font>
    <x:font>
      <x:sz val="10"/>
      <x:color rgb="FF687167"/>
      <x:name val="Arial"/>
    </x:font>
    <x:font>
      <x:b/>
      <x:sz val="10"/>
      <x:color rgb="FFFFFFFF"/>
      <x:name val="Arial"/>
    </x:font>
    <x:font>
      <x:sz val="10"/>
      <x:color rgb="FF195A9B"/>
      <x:name val="Arial"/>
    </x:font>
    <x:font>
      <x:sz val="10"/>
      <x:color rgb="FFFFFFFF"/>
      <x:name val="Arial"/>
    </x:font>
    <x:font>
      <x:b/>
      <x:sz val="10"/>
      <x:color rgb="FF252B2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A"/>
      </x:patternFill>
    </x:fill>
    <x:fill>
      <x:patternFill patternType="solid">
        <x:fgColor rgb="FF252B23"/>
      </x:patternFill>
    </x:fill>
    <x:fill>
      <x:patternFill patternType="solid">
        <x:fgColor rgb="FFF2F4E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65734E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200" fontId="5" fillId="2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2" fontId="5" fillId="2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0" fontId="6" fillId="3" borderId="0" xfId="0" applyNumberFormat="1" applyFont="1" applyFill="1" applyBorder="1"/>
    <x:xf numFmtId="202" fontId="6" fillId="3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FF9C2920"/>
      </x:font>
      <x:fill>
        <x:patternFill>
          <x:bgColor rgb="FFFCE4E0"/>
        </x:patternFill>
      </x:fill>
    </x:dxf>
    <x:dxf>
      <x:font>
        <x:color rgb="FF9C2920"/>
      </x:font>
      <x:fill>
        <x:patternFill>
          <x:bgColor rgb="FFFCE4E0"/>
        </x:patternFill>
      </x:fill>
    </x:dxf>
    <x:dxf>
      <x:font>
        <x:color rgb="FF9C2920"/>
      </x:font>
      <x:fill>
        <x:patternFill>
          <x:bgColor rgb="FFFCE4E0"/>
        </x:patternFill>
      </x:fill>
    </x:dxf>
    <x:dxf>
      <x:font>
        <x:color rgb="FF9C2920"/>
      </x:font>
      <x:fill>
        <x:patternFill>
          <x:bgColor rgb="FFFCE4E0"/>
        </x:patternFill>
      </x:fill>
    </x:dxf>
    <x:dxf>
      <x:font>
        <x:color rgb="FF9C2920"/>
      </x:font>
      <x:fill>
        <x:patternFill>
          <x:bgColor rgb="FFFCE4E0"/>
        </x:patternFill>
      </x:fill>
    </x:dxf>
    <x:dxf>
      <x:font>
        <x:color rgb="FF9C2920"/>
      </x:font>
      <x:fill>
        <x:patternFill>
          <x:bgColor rgb="FFFC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c793021704c85" /><Relationship Type="http://schemas.openxmlformats.org/officeDocument/2006/relationships/theme" Target="/xl/theme/theme1.xml" Id="R1230aa05901b476d" /><Relationship Type="http://schemas.openxmlformats.org/officeDocument/2006/relationships/sharedStrings" Target="/xl/sharedStrings.xml" Id="Ra70207cfb8c84901" /><Relationship Type="http://schemas.openxmlformats.org/officeDocument/2006/relationships/worksheet" Target="/xl/worksheets/sheet1.xml" Id="Rf05506e7ad8943e6" /><Relationship Type="http://schemas.openxmlformats.org/officeDocument/2006/relationships/worksheet" Target="/xl/worksheets/sheet2.xml" Id="Ra9448fbc905e4c2e" /><Relationship Type="http://schemas.openxmlformats.org/officeDocument/2006/relationships/worksheet" Target="/xl/worksheets/sheet3.xml" Id="R7f0caaeaeaba47c0" /><Relationship Type="http://schemas.openxmlformats.org/officeDocument/2006/relationships/worksheet" Target="/xl/worksheets/sheet4.xml" Id="R4ffe45ad0f654374" /><Relationship Type="http://schemas.openxmlformats.org/officeDocument/2006/relationships/worksheet" Target="/xl/worksheets/sheet5.xml" Id="Rc574e61cc3c74e09" /><Relationship Type="http://schemas.openxmlformats.org/officeDocument/2006/relationships/worksheet" Target="/xl/worksheets/sheet6.xml" Id="Rddf342200c54408e" /><Relationship Type="http://schemas.openxmlformats.org/officeDocument/2006/relationships/worksheet" Target="/xl/worksheets/sheet7.xml" Id="R98b7f6d491504e23" /><Relationship Type="http://schemas.openxmlformats.org/officeDocument/2006/relationships/worksheet" Target="/xl/worksheets/sheet8.xml" Id="R92bc7fbf8a0a41b9" /><Relationship Type="http://schemas.openxmlformats.org/officeDocument/2006/relationships/worksheet" Target="/xl/worksheets/sheet9.xml" Id="Ra2437f97aea54a99" /><Relationship Type="http://schemas.openxmlformats.org/officeDocument/2006/relationships/worksheet" Target="/xl/worksheets/sheet10.xml" Id="Ra0e3e380431e4866" /><Relationship Type="http://schemas.openxmlformats.org/officeDocument/2006/relationships/worksheet" Target="/xl/worksheets/sheet11.xml" Id="R912d0ebf447e4dc5" /><Relationship Type="http://schemas.openxmlformats.org/officeDocument/2006/relationships/worksheet" Target="/xl/worksheets/sheet12.xml" Id="R9a2e5e007f344c45" /><Relationship Type="http://schemas.openxmlformats.org/officeDocument/2006/relationships/worksheet" Target="/xl/worksheets/sheet13.xml" Id="R7f72023298844397" /><Relationship Type="http://schemas.openxmlformats.org/officeDocument/2006/relationships/worksheet" Target="/xl/worksheets/sheet14.xml" Id="R2a4f6c2d5a4b466c" /><Relationship Type="http://schemas.openxmlformats.org/officeDocument/2006/relationships/worksheet" Target="/xl/worksheets/sheet15.xml" Id="R62cc1c8abcbe4276" /><Relationship Type="http://schemas.openxmlformats.org/officeDocument/2006/relationships/worksheet" Target="/xl/worksheets/sheet16.xml" Id="R1ed9813f9222448d" /><Relationship Type="http://schemas.openxmlformats.org/officeDocument/2006/relationships/worksheet" Target="/xl/worksheets/sheet17.xml" Id="R85f43d3954b34d99" /><Relationship Type="http://schemas.openxmlformats.org/officeDocument/2006/relationships/worksheet" Target="/xl/worksheets/sheet18.xml" Id="R880ee5809a8941ec" /></Relationships>
</file>

<file path=xl/tables/table1.xml><?xml version="1.0" encoding="utf-8"?>
<x:table xmlns:x="http://schemas.openxmlformats.org/spreadsheetml/2006/main" id="2" name="AccountsTable" displayName="AccountsTable" ref="A5:I105" headerRowCount="1" totalsRowCount="0" totalsRowShown="0">
  <x:tableColumns count="9">
    <x:tableColumn id="1" name="Account"/>
    <x:tableColumn id="2" name="Group"/>
    <x:tableColumn id="3" name="Normal sign"/>
    <x:tableColumn id="4" name="Period debits"/>
    <x:tableColumn id="5" name="Period credits"/>
    <x:tableColumn id="6" name="Period balance"/>
    <x:tableColumn id="7" name="As-of debits"/>
    <x:tableColumn id="8" name="As-of credits"/>
    <x:tableColumn id="9" name="Closing bal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artnersTable" displayName="PartnersTable" ref="A5:G15" headerRowCount="1" totalsRowCount="0" totalsRowShown="0">
  <x:tableColumns count="7">
    <x:tableColumn id="1" name="Partner"/>
    <x:tableColumn id="2" name="Ownership %"/>
    <x:tableColumn id="3" name="Profit share %"/>
    <x:tableColumn id="4" name="Role"/>
    <x:tableColumn id="5" name="Email / phone"/>
    <x:tableColumn id="6" name="Joined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EntriesTable" displayName="EntriesTable" ref="A5:T505" headerRowCount="1" totalsRowCount="0" totalsRowShown="0">
  <x:tableColumns count="20">
    <x:tableColumn id="1" name="Entry ID"/>
    <x:tableColumn id="2" name="Date"/>
    <x:tableColumn id="3" name="Event"/>
    <x:tableColumn id="4" name="Amount BDT"/>
    <x:tableColumn id="5" name="Payment account"/>
    <x:tableColumn id="6" name="Other account"/>
    <x:tableColumn id="7" name="Partner"/>
    <x:tableColumn id="8" name="Contact ID"/>
    <x:tableColumn id="9" name="Reference ID"/>
    <x:tableColumn id="10" name="Purpose / details"/>
    <x:tableColumn id="11" name="Evidence URL"/>
    <x:tableColumn id="12" name="Entered by"/>
    <x:tableColumn id="13" name="Reviewed by"/>
    <x:tableColumn id="14" name="Status"/>
    <x:tableColumn id="15" name="Debit rule"/>
    <x:tableColumn id="16" name="Credit rule"/>
    <x:tableColumn id="17" name="Debit account"/>
    <x:tableColumn id="18" name="Credit account"/>
    <x:tableColumn id="19" name="Posted BDT"/>
    <x:tableColumn id="20" name="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ItemsTable" displayName="ItemsTable" ref="A5:J105" headerRowCount="1" totalsRowCount="0" totalsRowShown="0">
  <x:tableColumns count="10">
    <x:tableColumn id="1" name="Item ID / SKU"/>
    <x:tableColumn id="2" name="Description"/>
    <x:tableColumn id="3" name="Class"/>
    <x:tableColumn id="4" name="Unit"/>
    <x:tableColumn id="5" name="Color"/>
    <x:tableColumn id="6" name="Size"/>
    <x:tableColumn id="7" name="Drop / collection"/>
    <x:tableColumn id="8" name="Reorder level"/>
    <x:tableColumn id="9" name="Active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LotsTable" displayName="LotsTable" ref="A5:P105" headerRowCount="1" totalsRowCount="0" totalsRowShown="0">
  <x:tableColumns count="16">
    <x:tableColumn id="1" name="Lot ID"/>
    <x:tableColumn id="2" name="Item ID / SKU"/>
    <x:tableColumn id="3" name="Received date"/>
    <x:tableColumn id="4" name="Supplier ID"/>
    <x:tableColumn id="5" name="Source"/>
    <x:tableColumn id="6" name="Production ID"/>
    <x:tableColumn id="7" name="Lot quantity"/>
    <x:tableColumn id="8" name="Purchase cost BDT"/>
    <x:tableColumn id="9" name="Other direct cost BDT"/>
    <x:tableColumn id="10" name="Unit cost BDT"/>
    <x:tableColumn id="11" name="Qty in as-of"/>
    <x:tableColumn id="12" name="Qty out as-of"/>
    <x:tableColumn id="13" name="On hand"/>
    <x:tableColumn id="14" name="Stock value BDT"/>
    <x:tableColumn id="15" name="Class"/>
    <x:tableColumn id="16" name="Chec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tockLogTable" displayName="StockLogTable" ref="A5:Q205" headerRowCount="1" totalsRowCount="0" totalsRowShown="0">
  <x:tableColumns count="17">
    <x:tableColumn id="1" name="Stock ID"/>
    <x:tableColumn id="2" name="Date"/>
    <x:tableColumn id="3" name="Lot ID"/>
    <x:tableColumn id="4" name="Reason"/>
    <x:tableColumn id="5" name="Quantity in"/>
    <x:tableColumn id="6" name="Quantity out"/>
    <x:tableColumn id="7" name="Location"/>
    <x:tableColumn id="8" name="Reference ID"/>
    <x:tableColumn id="9" name="Status"/>
    <x:tableColumn id="10" name="Entered by"/>
    <x:tableColumn id="11" name="Reviewed by"/>
    <x:tableColumn id="12" name="Item ID"/>
    <x:tableColumn id="13" name="Class"/>
    <x:tableColumn id="14" name="Unit cost"/>
    <x:tableColumn id="15" name="Value in"/>
    <x:tableColumn id="16" name="Value out"/>
    <x:tableColumn id="17" name="Chec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ProductionTable" displayName="ProductionTable" ref="A5:P105" headerRowCount="1" totalsRowCount="0" totalsRowShown="0">
  <x:tableColumns count="16">
    <x:tableColumn id="1" name="Production ID"/>
    <x:tableColumn id="2" name="Factory contact ID"/>
    <x:tableColumn id="3" name="Start date"/>
    <x:tableColumn id="4" name="Due date"/>
    <x:tableColumn id="5" name="Design / drop"/>
    <x:tableColumn id="6" name="Units planned"/>
    <x:tableColumn id="7" name="Good units received"/>
    <x:tableColumn id="8" name="Defect units"/>
    <x:tableColumn id="9" name="Materials used BDT"/>
    <x:tableColumn id="10" name="Direct costs BDT"/>
    <x:tableColumn id="11" name="Batch cost BDT"/>
    <x:tableColumn id="12" name="Unit cost BDT"/>
    <x:tableColumn id="13" name="Status"/>
    <x:tableColumn id="14" name="Completion date"/>
    <x:tableColumn id="15" name="Evidence URL"/>
    <x:tableColumn id="1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SalesTable" displayName="SalesTable" ref="A5:T205" headerRowCount="1" totalsRowCount="0" totalsRowShown="0">
  <x:tableColumns count="20">
    <x:tableColumn id="1" name="Sales line ID"/>
    <x:tableColumn id="2" name="Order ID"/>
    <x:tableColumn id="3" name="Date"/>
    <x:tableColumn id="4" name="Customer contact ID"/>
    <x:tableColumn id="5" name="Channel"/>
    <x:tableColumn id="6" name="Type"/>
    <x:tableColumn id="7" name="Lot ID"/>
    <x:tableColumn id="8" name="Units"/>
    <x:tableColumn id="9" name="Unit selling price"/>
    <x:tableColumn id="10" name="Line discount BDT"/>
    <x:tableColumn id="11" name="Delivery charged BDT"/>
    <x:tableColumn id="12" name="Status"/>
    <x:tableColumn id="13" name="Item ID"/>
    <x:tableColumn id="14" name="Net garment revenue"/>
    <x:tableColumn id="15" name="Signed delivery"/>
    <x:tableColumn id="16" name="Total billed"/>
    <x:tableColumn id="17" name="Unit cost"/>
    <x:tableColumn id="18" name="Signed COGS"/>
    <x:tableColumn id="19" name="Gross profit"/>
    <x:tableColumn id="20" name="Chec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ContactsTable" displayName="ContactsTable" ref="A5:K105" headerRowCount="1" totalsRowCount="0" totalsRowShown="0">
  <x:tableColumns count="11">
    <x:tableColumn id="1" name="Contact ID"/>
    <x:tableColumn id="2" name="Name"/>
    <x:tableColumn id="3" name="Type"/>
    <x:tableColumn id="4" name="Phone"/>
    <x:tableColumn id="5" name="Email"/>
    <x:tableColumn id="6" name="Address / link"/>
    <x:tableColumn id="7" name="Terms"/>
    <x:tableColumn id="8" name="Notes"/>
    <x:tableColumn id="9" name="Receivables BDT"/>
    <x:tableColumn id="10" name="Payables BDT"/>
    <x:tableColumn id="11" name="Advances BD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IdeasTable" displayName="IdeasTable" ref="A5:L105" headerRowCount="1" totalsRowCount="0" totalsRowShown="0">
  <x:tableColumns count="12">
    <x:tableColumn id="1" name="Idea ID"/>
    <x:tableColumn id="2" name="Created"/>
    <x:tableColumn id="3" name="Type"/>
    <x:tableColumn id="4" name="Title"/>
    <x:tableColumn id="5" name="Description / reference"/>
    <x:tableColumn id="6" name="Owner"/>
    <x:tableColumn id="7" name="Budget BDT"/>
    <x:tableColumn id="8" name="Target date"/>
    <x:tableColumn id="9" name="Status"/>
    <x:tableColumn id="10" name="Decision / next step"/>
    <x:tableColumn id="11" name="Decision date"/>
    <x:tableColumn id="12" name="Evidence / agreement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ReconciliationTable" displayName="ReconciliationTable" ref="A5:I105" headerRowCount="1" totalsRowCount="0" totalsRowShown="0">
  <x:tableColumns count="9">
    <x:tableColumn id="1" name="Check ID"/>
    <x:tableColumn id="2" name="As-of date"/>
    <x:tableColumn id="3" name="Account"/>
    <x:tableColumn id="4" name="Statement / count BDT"/>
    <x:tableColumn id="5" name="Book balance BDT"/>
    <x:tableColumn id="6" name="Difference BDT"/>
    <x:tableColumn id="7" name="Checked by"/>
    <x:tableColumn id="8" name="Evidence URL"/>
    <x:tableColumn id="9" name="Explanation / ac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" name="EventGuideTable" displayName="EventGuideTable" ref="A5:G29" headerRowCount="1" totalsRowCount="0" totalsRowShown="0">
  <x:tableColumns count="7">
    <x:tableColumn id="1" name="Event"/>
    <x:tableColumn id="2" name="Debit rule"/>
    <x:tableColumn id="3" name="Credit rule"/>
    <x:tableColumn id="4" name="When to use"/>
    <x:tableColumn id="5" name="Payment account"/>
    <x:tableColumn id="6" name="Other account"/>
    <x:tableColumn id="7" name="Reference / requir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1fe4f649029446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94c5169e61074f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495e4198f9914c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16b72440301747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07b6efbebdb546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7533600f268c48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d7d71037eddc47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1b8563e0094d4c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e993cdeb588049a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38c482ef893c498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fdb681bd7b9245a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51e37819f5a844a2" /></Relationships>
</file>

<file path=xl/worksheets/sheet1.xml><?xml version="1.0" encoding="utf-8"?>
<x:worksheet xmlns:x="http://schemas.openxmlformats.org/spreadsheetml/2006/main">
  <x:sheetPr>
    <x:tabColor rgb="FF252B23"/>
  </x:sheetPr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8" hidden="0" customWidth="1"/>
    <x:col min="4" max="4" width="30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AFK THEORY / Business overview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 t="str">
        <x:v>Start with Read Me. Financial figures use approved Entries; operational stock uses approved Stock Log.</x:v>
      </x:c>
      <x:c r="B3" s="1"/>
      <x:c r="C3" s="1"/>
      <x:c r="D3" s="1"/>
      <x:c r="E3" s="1"/>
      <x:c r="F3" s="1"/>
      <x:c r="G3" s="1"/>
      <x:c r="H3" s="1"/>
    </x:row>
    <x:row r="4" ht="23" customHeight="1">
      <x:c r="A4" s="4"/>
      <x:c r="B4" s="4"/>
      <x:c r="C4" s="4"/>
      <x:c r="D4" s="4"/>
      <x:c r="E4" s="4"/>
      <x:c r="F4" s="4"/>
      <x:c r="G4" s="4"/>
      <x:c r="H4" s="4"/>
    </x:row>
    <x:row r="5" ht="23" customHeight="1">
      <x:c r="A5" s="1" t="str">
        <x:v>From</x:v>
      </x:c>
      <x:c r="B5" s="20" t="n">
        <x:f>'Settings'!B6</x:f>
        <x:v>46296</x:v>
      </x:c>
      <x:c r="C5" s="1"/>
      <x:c r="D5" s="1" t="str">
        <x:v>Through</x:v>
      </x:c>
      <x:c r="E5" s="20" t="n">
        <x:f>'Settings'!B7</x:f>
        <x:v>46326</x:v>
      </x:c>
      <x:c r="F5" s="1"/>
      <x:c r="G5" s="1"/>
      <x:c r="H5" s="1"/>
    </x:row>
    <x:row r="6" ht="23" customHeight="1">
      <x:c r="A6" s="1"/>
      <x:c r="B6" s="1"/>
      <x:c r="C6" s="1"/>
      <x:c r="D6" s="1"/>
      <x:c r="E6" s="1"/>
      <x:c r="F6" s="1"/>
      <x:c r="G6" s="1"/>
      <x:c r="H6" s="1"/>
    </x:row>
    <x:row r="7" ht="23" customHeight="1">
      <x:c r="A7" s="1"/>
      <x:c r="B7" s="1"/>
      <x:c r="C7" s="1"/>
      <x:c r="D7" s="1"/>
      <x:c r="E7" s="1"/>
      <x:c r="F7" s="1"/>
      <x:c r="G7" s="1"/>
      <x:c r="H7" s="1"/>
    </x:row>
    <x:row r="8" ht="23" customHeight="1">
      <x:c r="A8" s="13" t="str">
        <x:v>Cash / payment balances</x:v>
      </x:c>
      <x:c r="B8" s="14" t="n">
        <x:f>'Financial Report'!B16</x:f>
        <x:v>0</x:v>
      </x:c>
      <x:c r="C8" s="1"/>
      <x:c r="D8" s="1" t="str">
        <x:v>Materials stock at cost</x:v>
      </x:c>
      <x:c r="E8" s="21" t="n">
        <x:f>SUMIFS('Lots'!$N$6:$N$105,'Lots'!$O$6:$O$105,"Materials")</x:f>
        <x:v>0</x:v>
      </x:c>
      <x:c r="F8" s="1"/>
      <x:c r="G8" s="1"/>
      <x:c r="H8" s="1"/>
    </x:row>
    <x:row r="9" ht="23" customHeight="1">
      <x:c r="A9" s="1"/>
      <x:c r="B9" s="1"/>
      <x:c r="C9" s="1"/>
      <x:c r="D9" s="1"/>
      <x:c r="E9" s="1"/>
      <x:c r="F9" s="1"/>
      <x:c r="G9" s="1"/>
      <x:c r="H9" s="1"/>
    </x:row>
    <x:row r="10" ht="23" customHeight="1">
      <x:c r="A10" s="13" t="str">
        <x:v>Net revenue this period</x:v>
      </x:c>
      <x:c r="B10" s="14" t="n">
        <x:f>'Financial Report'!B8</x:f>
        <x:v>0</x:v>
      </x:c>
      <x:c r="C10" s="1"/>
      <x:c r="D10" s="1" t="str">
        <x:v>Finished stock at cost</x:v>
      </x:c>
      <x:c r="E10" s="21" t="n">
        <x:f>SUMIFS('Lots'!$N$6:$N$105,'Lots'!$O$6:$O$105,"Finished")</x:f>
        <x:v>0</x:v>
      </x:c>
      <x:c r="F10" s="1"/>
      <x:c r="G10" s="1"/>
      <x:c r="H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</x:row>
    <x:row r="12" ht="23" customHeight="1">
      <x:c r="A12" s="13" t="str">
        <x:v>Net profit / (loss)</x:v>
      </x:c>
      <x:c r="B12" s="14" t="n">
        <x:f>'Financial Report'!B12</x:f>
        <x:v>0</x:v>
      </x:c>
      <x:c r="C12" s="1"/>
      <x:c r="D12" s="1" t="str">
        <x:v>Open production batches</x:v>
      </x:c>
      <x:c r="E12" s="1" t="n">
        <x:f>COUNTIFS('Production'!$M$6:$M$105,"In progress")</x:f>
        <x:v>0</x:v>
      </x:c>
      <x:c r="F12" s="1"/>
      <x:c r="G12" s="1"/>
      <x:c r="H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</x:row>
    <x:row r="14" ht="23" customHeight="1">
      <x:c r="A14" s="13" t="str">
        <x:v>Customer / courier dues</x:v>
      </x:c>
      <x:c r="B14" s="14" t="n">
        <x:f>'Financial Report'!B17</x:f>
        <x:v>0</x:v>
      </x:c>
      <x:c r="C14" s="1"/>
      <x:c r="D14" s="1" t="str">
        <x:v>Draft financial entries</x:v>
      </x:c>
      <x:c r="E14" s="1" t="n">
        <x:f>COUNTIFS('Entries'!$N$6:$N$505,"Draft")</x:f>
        <x:v>0</x:v>
      </x:c>
      <x:c r="F14" s="1"/>
      <x:c r="G14" s="1"/>
      <x:c r="H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</x:row>
    <x:row r="16" ht="23" customHeight="1">
      <x:c r="A16" s="13" t="str">
        <x:v>Liabilities incl. partners</x:v>
      </x:c>
      <x:c r="B16" s="14" t="n">
        <x:f>'Financial Report'!B24</x:f>
        <x:v>0</x:v>
      </x:c>
      <x:c r="C16" s="1"/>
      <x:c r="D16" s="1" t="str">
        <x:v>Entry rows remaining</x:v>
      </x:c>
      <x:c r="E16" s="1" t="n">
        <x:f>500-COUNTA('Entries'!$A$6:$A$505)</x:f>
        <x:v>500</x:v>
      </x:c>
      <x:c r="F16" s="1"/>
      <x:c r="G16" s="1"/>
      <x:c r="H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8" t="str">
        <x:v>Partner</x:v>
      </x:c>
      <x:c r="B20" s="8" t="str">
        <x:v>Ownership</x:v>
      </x:c>
      <x:c r="C20" s="8" t="str">
        <x:v>Profit share</x:v>
      </x:c>
      <x:c r="D20" s="8" t="str">
        <x:v>Capital as-of</x:v>
      </x:c>
      <x:c r="E20" s="8" t="str">
        <x:v>Owed to partner</x:v>
      </x:c>
      <x:c r="F20" s="1"/>
      <x:c r="G20" s="1"/>
      <x:c r="H20" s="1"/>
    </x:row>
    <x:row r="21" ht="23" customHeight="1">
      <x:c r="A21" s="1" t="str">
        <x:f>'Partners'!A6</x:f>
        <x:v>Shawon</x:v>
      </x:c>
      <x:c r="B21" s="27" t="n">
        <x:f>'Partners'!B6</x:f>
        <x:v>0.2</x:v>
      </x:c>
      <x:c r="C21" s="27" t="n">
        <x:f>'Partners'!C6</x:f>
        <x:v>0.2</x:v>
      </x:c>
      <x:c r="D21" s="21" t="n">
        <x:f>SUMIFS('Accounts'!$I$6:$I$105,'Accounts'!$A$6:$A$105,"Capital - "&amp;A21)</x:f>
        <x:v>0</x:v>
      </x:c>
      <x:c r="E21" s="21" t="n">
        <x:f>SUMIFS('Accounts'!$I$6:$I$105,'Accounts'!$A$6:$A$105,"Due to - "&amp;A21)</x:f>
        <x:v>0</x:v>
      </x:c>
      <x:c r="F21" s="1"/>
      <x:c r="G21" s="1"/>
      <x:c r="H21" s="1"/>
    </x:row>
    <x:row r="22" ht="23" customHeight="1">
      <x:c r="A22" s="1" t="str">
        <x:f>'Partners'!A7</x:f>
        <x:v>Rafi</x:v>
      </x:c>
      <x:c r="B22" s="27" t="n">
        <x:f>'Partners'!B7</x:f>
        <x:v>0.2</x:v>
      </x:c>
      <x:c r="C22" s="27" t="n">
        <x:f>'Partners'!C7</x:f>
        <x:v>0.2</x:v>
      </x:c>
      <x:c r="D22" s="21" t="n">
        <x:f>SUMIFS('Accounts'!$I$6:$I$105,'Accounts'!$A$6:$A$105,"Capital - "&amp;A22)</x:f>
        <x:v>0</x:v>
      </x:c>
      <x:c r="E22" s="21" t="n">
        <x:f>SUMIFS('Accounts'!$I$6:$I$105,'Accounts'!$A$6:$A$105,"Due to - "&amp;A22)</x:f>
        <x:v>0</x:v>
      </x:c>
      <x:c r="F22" s="1"/>
      <x:c r="G22" s="1"/>
      <x:c r="H22" s="1"/>
    </x:row>
    <x:row r="23" ht="23" customHeight="1">
      <x:c r="A23" s="1" t="str">
        <x:f>'Partners'!A8</x:f>
        <x:v>Tousif</x:v>
      </x:c>
      <x:c r="B23" s="27" t="n">
        <x:f>'Partners'!B8</x:f>
        <x:v>0.2</x:v>
      </x:c>
      <x:c r="C23" s="27" t="n">
        <x:f>'Partners'!C8</x:f>
        <x:v>0.2</x:v>
      </x:c>
      <x:c r="D23" s="21" t="n">
        <x:f>SUMIFS('Accounts'!$I$6:$I$105,'Accounts'!$A$6:$A$105,"Capital - "&amp;A23)</x:f>
        <x:v>0</x:v>
      </x:c>
      <x:c r="E23" s="21" t="n">
        <x:f>SUMIFS('Accounts'!$I$6:$I$105,'Accounts'!$A$6:$A$105,"Due to - "&amp;A23)</x:f>
        <x:v>0</x:v>
      </x:c>
      <x:c r="F23" s="1"/>
      <x:c r="G23" s="1"/>
      <x:c r="H23" s="1"/>
    </x:row>
    <x:row r="24" ht="23" customHeight="1">
      <x:c r="A24" s="1" t="str">
        <x:f>'Partners'!A9</x:f>
        <x:v>Midhat</x:v>
      </x:c>
      <x:c r="B24" s="27" t="n">
        <x:f>'Partners'!B9</x:f>
        <x:v>0.2</x:v>
      </x:c>
      <x:c r="C24" s="27" t="n">
        <x:f>'Partners'!C9</x:f>
        <x:v>0.2</x:v>
      </x:c>
      <x:c r="D24" s="21" t="n">
        <x:f>SUMIFS('Accounts'!$I$6:$I$105,'Accounts'!$A$6:$A$105,"Capital - "&amp;A24)</x:f>
        <x:v>0</x:v>
      </x:c>
      <x:c r="E24" s="21" t="n">
        <x:f>SUMIFS('Accounts'!$I$6:$I$105,'Accounts'!$A$6:$A$105,"Due to - "&amp;A24)</x:f>
        <x:v>0</x:v>
      </x:c>
      <x:c r="F24" s="1"/>
      <x:c r="G24" s="1"/>
      <x:c r="H24" s="1"/>
    </x:row>
    <x:row r="25" ht="23" customHeight="1">
      <x:c r="A25" s="1" t="str">
        <x:f>'Partners'!A10</x:f>
        <x:v>Mueid</x:v>
      </x:c>
      <x:c r="B25" s="27" t="n">
        <x:f>'Partners'!B10</x:f>
        <x:v>0.2</x:v>
      </x:c>
      <x:c r="C25" s="27" t="n">
        <x:f>'Partners'!C10</x:f>
        <x:v>0.2</x:v>
      </x:c>
      <x:c r="D25" s="21" t="n">
        <x:f>SUMIFS('Accounts'!$I$6:$I$105,'Accounts'!$A$6:$A$105,"Capital - "&amp;A25)</x:f>
        <x:v>0</x:v>
      </x:c>
      <x:c r="E25" s="21" t="n">
        <x:f>SUMIFS('Accounts'!$I$6:$I$105,'Accounts'!$A$6:$A$105,"Due to - "&amp;A25)</x:f>
        <x:v>0</x:v>
      </x:c>
      <x:c r="F25" s="1"/>
      <x:c r="G25" s="1"/>
      <x:c r="H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 t="str">
        <x:v>Daily: Entries + Stock Log + Sales. Production is used only for manufactured drops.</x:v>
      </x:c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 t="str">
        <x:v>Before sharing reports: resolve Checks, reconcile accounts, then export selected report cells to PDF.</x:v>
      </x:c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5734E"/>
  </x:sheetPr>
  <x:sheetViews>
    <x:sheetView showGridLines="0" workbookViewId="0"/>
  </x:sheetViews>
  <x:sheetFormatPr defaultRowHeight="15"/>
  <x:cols>
    <x:col min="1" max="1" width="25" hidden="0" customWidth="1"/>
    <x:col min="2" max="2" width="64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AFK THEORY / Settings</x:v>
      </x:c>
      <x:c r="B2" s="1"/>
      <x:c r="C2" s="1"/>
      <x:c r="D2" s="1"/>
      <x:c r="E2" s="1"/>
    </x:row>
    <x:row r="3" ht="23" customHeight="1">
      <x:c r="A3" s="3" t="str">
        <x:v>Change amber cells. Report dates affect financial reports and stock balances.</x:v>
      </x:c>
      <x:c r="B3" s="1"/>
      <x:c r="C3" s="1"/>
      <x:c r="D3" s="1"/>
      <x:c r="E3" s="1"/>
    </x:row>
    <x:row r="4" ht="23" customHeight="1">
      <x:c r="A4" s="4"/>
      <x:c r="B4" s="4"/>
      <x:c r="C4" s="4"/>
      <x:c r="D4" s="4"/>
      <x:c r="E4" s="4"/>
    </x:row>
    <x:row r="5" ht="23" customHeight="1">
      <x:c r="A5" s="1" t="str">
        <x:v>Business</x:v>
      </x:c>
      <x:c r="B5" s="5" t="str">
        <x:v>AFK Theory</x:v>
      </x:c>
      <x:c r="C5" s="1"/>
      <x:c r="D5" s="1"/>
      <x:c r="E5" s="1"/>
    </x:row>
    <x:row r="6" ht="23" customHeight="1">
      <x:c r="A6" s="1" t="str">
        <x:v>Report from</x:v>
      </x:c>
      <x:c r="B6" s="6" t="d">
        <x:v>2026-10-01T00:00:00.000Z</x:v>
      </x:c>
      <x:c r="C6" s="1"/>
      <x:c r="D6" s="1"/>
      <x:c r="E6" s="1"/>
    </x:row>
    <x:row r="7" ht="23" customHeight="1">
      <x:c r="A7" s="1" t="str">
        <x:v>Report through</x:v>
      </x:c>
      <x:c r="B7" s="6" t="d">
        <x:v>2026-10-31T00:00:00.000Z</x:v>
      </x:c>
      <x:c r="C7" s="1"/>
      <x:c r="D7" s="1"/>
      <x:c r="E7" s="1"/>
    </x:row>
    <x:row r="8" ht="23" customHeight="1">
      <x:c r="A8" s="1" t="str">
        <x:v>Currency</x:v>
      </x:c>
      <x:c r="B8" s="5" t="str">
        <x:v>BDT</x:v>
      </x:c>
      <x:c r="C8" s="1"/>
      <x:c r="D8" s="1"/>
      <x:c r="E8" s="1"/>
    </x:row>
    <x:row r="9" ht="23" customHeight="1">
      <x:c r="A9" s="1" t="str">
        <x:v>Workbook custodian</x:v>
      </x:c>
      <x:c r="B9" s="5" t="str"/>
      <x:c r="C9" s="1"/>
      <x:c r="D9" s="1"/>
      <x:c r="E9" s="1"/>
    </x:row>
    <x:row r="10" ht="23" customHeight="1">
      <x:c r="A10" s="1" t="str">
        <x:v>Review partner</x:v>
      </x:c>
      <x:c r="B10" s="5" t="str"/>
      <x:c r="C10" s="1"/>
      <x:c r="D10" s="1"/>
      <x:c r="E10" s="1"/>
    </x:row>
    <x:row r="11" ht="23" customHeight="1">
      <x:c r="A11" s="1" t="str">
        <x:v>Version</x:v>
      </x:c>
      <x:c r="B11" s="1" t="str">
        <x:v>1.0</x:v>
      </x:c>
      <x:c r="C11" s="1"/>
      <x:c r="D11" s="1"/>
      <x:c r="E11" s="1"/>
    </x:row>
    <x:row r="12" ht="23" customHeight="1">
      <x:c r="A12" s="1" t="str">
        <x:v>Prepared capacity</x:v>
      </x:c>
      <x:c r="B12" s="1" t="str">
        <x:v>500 entries; 200 stock/sales rows; 100 lots/production rows</x:v>
      </x:c>
      <x:c r="C12" s="1"/>
      <x:c r="D12" s="1"/>
      <x:c r="E12" s="1"/>
    </x:row>
    <x:row r="13" ht="23" customHeight="1">
      <x:c r="A13" s="1"/>
      <x:c r="B13" s="1"/>
      <x:c r="C13" s="1"/>
      <x:c r="D13" s="1"/>
      <x:c r="E13" s="1"/>
    </x:row>
    <x:row r="14" ht="23" customHeight="1">
      <x:c r="A14" s="1"/>
      <x:c r="B14" s="1"/>
      <x:c r="C14" s="1"/>
      <x:c r="D14" s="1"/>
      <x:c r="E14" s="1"/>
    </x:row>
    <x:row r="15" ht="23" customHeight="1">
      <x:c r="A15" s="1" t="str">
        <x:v>Report dates are starter defaults, not actual trading dates.</x:v>
      </x:c>
      <x:c r="B15" s="1"/>
      <x:c r="C15" s="1"/>
      <x:c r="D15" s="1"/>
      <x:c r="E15" s="1"/>
    </x:row>
    <x:row r="16" ht="23" customHeight="1">
      <x:c r="A16" s="1"/>
      <x:c r="B16" s="1"/>
      <x:c r="C16" s="1"/>
      <x:c r="D16" s="1"/>
      <x:c r="E16" s="1"/>
    </x:row>
    <x:row r="17" ht="23" customHeight="1">
      <x:c r="A17" s="1" t="str">
        <x:v>Partner names are permanent account keys. Add future partners; do not rename historic keys.</x:v>
      </x:c>
      <x:c r="B17" s="1"/>
      <x:c r="C17" s="1"/>
      <x:c r="D17" s="1"/>
      <x:c r="E17" s="1"/>
    </x:row>
    <x:row r="18" ht="23" customHeight="1">
      <x:c r="A18" s="1"/>
      <x:c r="B18" s="1"/>
      <x:c r="C18" s="1"/>
      <x:c r="D18" s="1"/>
      <x:c r="E18" s="1"/>
    </x:row>
    <x:row r="19" ht="23" customHeight="1">
      <x:c r="A19" s="1" t="str">
        <x:v>No live records or opening balances have been invented. Start from zero.</x:v>
      </x:c>
      <x:c r="B19" s="1"/>
      <x:c r="C19" s="1"/>
      <x:c r="D19" s="1"/>
      <x:c r="E19" s="1"/>
    </x:row>
    <x:row r="20" ht="23" customHeight="1">
      <x:c r="A20" s="1"/>
      <x:c r="B20" s="1"/>
      <x:c r="C20" s="1"/>
      <x:c r="D20" s="1"/>
      <x:c r="E20" s="1"/>
    </x:row>
    <x:row r="21" ht="23" customHeight="1">
      <x:c r="A21" s="1"/>
      <x:c r="B21" s="1"/>
      <x:c r="C21" s="1"/>
      <x:c r="D21" s="1"/>
      <x:c r="E21" s="1"/>
    </x:row>
    <x:row r="22" ht="23" customHeight="1">
      <x:c r="A22" s="1"/>
      <x:c r="B22" s="1"/>
      <x:c r="C22" s="1"/>
      <x:c r="D22" s="1"/>
      <x:c r="E22" s="1"/>
    </x:row>
    <x:row r="23" ht="23" customHeight="1">
      <x:c r="A23" s="1"/>
      <x:c r="B23" s="1"/>
      <x:c r="C23" s="1"/>
      <x:c r="D23" s="1"/>
      <x:c r="E23" s="1"/>
    </x:row>
    <x:row r="24" ht="23" customHeight="1">
      <x:c r="A24" s="1"/>
      <x:c r="B24" s="1"/>
      <x:c r="C24" s="1"/>
      <x:c r="D24" s="1"/>
      <x:c r="E2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2B23"/>
  </x:sheetPr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21" hidden="0" customWidth="1"/>
    <x:col min="4" max="4" width="21" hidden="0" customWidth="1"/>
  </x:cols>
  <x:sheetData>
    <x:row r="1" ht="23" customHeight="1">
      <x:c r="A1" s="1"/>
      <x:c r="B1" s="1"/>
      <x:c r="C1" s="1"/>
      <x:c r="D1" s="1"/>
    </x:row>
    <x:row r="2" ht="23" customHeight="1">
      <x:c r="A2" s="2" t="str">
        <x:v>AFK THEORY / Financial report</x:v>
      </x:c>
      <x:c r="B2" s="1"/>
      <x:c r="C2" s="1"/>
      <x:c r="D2" s="1"/>
    </x:row>
    <x:row r="3" ht="23" customHeight="1">
      <x:c r="A3" s="3" t="str">
        <x:v>Approved, valid Entries only. Review Checks before sharing. Select A2:D43 to export to PDF.</x:v>
      </x:c>
      <x:c r="B3" s="1"/>
      <x:c r="C3" s="1"/>
      <x:c r="D3" s="1"/>
    </x:row>
    <x:row r="4" ht="23" customHeight="1">
      <x:c r="A4" s="4"/>
      <x:c r="B4" s="4"/>
      <x:c r="C4" s="4"/>
      <x:c r="D4" s="4"/>
    </x:row>
    <x:row r="5" ht="23" customHeight="1">
      <x:c r="A5" s="1" t="str">
        <x:v>Report from</x:v>
      </x:c>
      <x:c r="B5" s="20" t="n">
        <x:f>'Settings'!B6</x:f>
        <x:v>46296</x:v>
      </x:c>
      <x:c r="C5" s="48" t="str">
        <x:v>Through</x:v>
      </x:c>
      <x:c r="D5" s="20" t="n">
        <x:f>'Settings'!B7</x:f>
        <x:v>46326</x:v>
      </x:c>
    </x:row>
    <x:row r="6" ht="23" customHeight="1">
      <x:c r="A6" s="1"/>
      <x:c r="B6" s="21"/>
      <x:c r="C6" s="1"/>
      <x:c r="D6" s="1"/>
    </x:row>
    <x:row r="7" ht="23" customHeight="1">
      <x:c r="A7" s="23" t="str">
        <x:v>INCOME STATEMENT (BDT)</x:v>
      </x:c>
      <x:c r="B7" s="24"/>
      <x:c r="C7" s="23"/>
      <x:c r="D7" s="23"/>
    </x:row>
    <x:row r="8" ht="23" customHeight="1">
      <x:c r="A8" s="1" t="str">
        <x:v>Net revenue incl. delivery</x:v>
      </x:c>
      <x:c r="B8" s="21" t="n">
        <x:f>SUMIFS('Accounts'!$F$6:$F$105,'Accounts'!$B$6:$B$105,"Revenue")</x:f>
        <x:v>0</x:v>
      </x:c>
      <x:c r="C8" s="1"/>
      <x:c r="D8" s="1"/>
    </x:row>
    <x:row r="9" ht="23" customHeight="1">
      <x:c r="A9" s="1" t="str">
        <x:v>Cost of goods sold</x:v>
      </x:c>
      <x:c r="B9" s="21" t="n">
        <x:f>SUMIFS('Accounts'!$F$6:$F$105,'Accounts'!$B$6:$B$105,"COGS")</x:f>
        <x:v>0</x:v>
      </x:c>
      <x:c r="C9" s="1"/>
      <x:c r="D9" s="1"/>
    </x:row>
    <x:row r="10" ht="23" customHeight="1">
      <x:c r="A10" s="25" t="str">
        <x:v>Gross profit</x:v>
      </x:c>
      <x:c r="B10" s="26" t="n">
        <x:f>B8-B9</x:f>
        <x:v>0</x:v>
      </x:c>
      <x:c r="C10" s="1"/>
      <x:c r="D10" s="1"/>
    </x:row>
    <x:row r="11" ht="23" customHeight="1">
      <x:c r="A11" s="1" t="str">
        <x:v>Operating and other expenses</x:v>
      </x:c>
      <x:c r="B11" s="21" t="n">
        <x:f>SUMIFS('Accounts'!$F$6:$F$105,'Accounts'!$B$6:$B$105,"Expense")</x:f>
        <x:v>0</x:v>
      </x:c>
      <x:c r="C11" s="1"/>
      <x:c r="D11" s="1"/>
    </x:row>
    <x:row r="12" ht="23" customHeight="1">
      <x:c r="A12" s="25" t="str">
        <x:v>Net profit / (loss)</x:v>
      </x:c>
      <x:c r="B12" s="26" t="n">
        <x:f>B10-B11</x:f>
        <x:v>0</x:v>
      </x:c>
      <x:c r="C12" s="1"/>
      <x:c r="D12" s="1"/>
    </x:row>
    <x:row r="13" ht="23" customHeight="1">
      <x:c r="A13" s="1"/>
      <x:c r="B13" s="21"/>
      <x:c r="C13" s="1"/>
      <x:c r="D13" s="1"/>
    </x:row>
    <x:row r="14" ht="23" customHeight="1">
      <x:c r="A14" s="1"/>
      <x:c r="B14" s="21"/>
      <x:c r="C14" s="1"/>
      <x:c r="D14" s="1"/>
    </x:row>
    <x:row r="15" ht="23" customHeight="1">
      <x:c r="A15" s="23" t="str">
        <x:v>BALANCE SHEET AT END DATE (BDT)</x:v>
      </x:c>
      <x:c r="B15" s="24"/>
      <x:c r="C15" s="23"/>
      <x:c r="D15" s="23"/>
    </x:row>
    <x:row r="16" ht="23" customHeight="1">
      <x:c r="A16" s="1" t="str">
        <x:v>Cash and payment accounts</x:v>
      </x:c>
      <x:c r="B16" s="21" t="n">
        <x:f>SUMIFS('Accounts'!$I$6:$I$105,'Accounts'!$B$6:$B$105,"Cash")</x:f>
        <x:v>0</x:v>
      </x:c>
      <x:c r="C16" s="1"/>
      <x:c r="D16" s="1"/>
    </x:row>
    <x:row r="17" ht="23" customHeight="1">
      <x:c r="A17" s="1" t="str">
        <x:v>Customer / courier receivables</x:v>
      </x:c>
      <x:c r="B17" s="21" t="n">
        <x:f>SUMIFS('Accounts'!$I$6:$I$105,'Accounts'!$B$6:$B$105,"Receivable")</x:f>
        <x:v>0</x:v>
      </x:c>
      <x:c r="C17" s="1"/>
      <x:c r="D17" s="1"/>
    </x:row>
    <x:row r="18" ht="23" customHeight="1">
      <x:c r="A18" s="1" t="str">
        <x:v>Materials inventory</x:v>
      </x:c>
      <x:c r="B18" s="21" t="n">
        <x:f>SUMIFS('Accounts'!$I$6:$I$105,'Accounts'!$B$6:$B$105,"Materials")</x:f>
        <x:v>0</x:v>
      </x:c>
      <x:c r="C18" s="1"/>
      <x:c r="D18" s="1"/>
    </x:row>
    <x:row r="19" ht="23" customHeight="1">
      <x:c r="A19" s="1" t="str">
        <x:v>Work in progress</x:v>
      </x:c>
      <x:c r="B19" s="21" t="n">
        <x:f>SUMIFS('Accounts'!$I$6:$I$105,'Accounts'!$B$6:$B$105,"WIP")</x:f>
        <x:v>0</x:v>
      </x:c>
      <x:c r="C19" s="1"/>
      <x:c r="D19" s="1"/>
    </x:row>
    <x:row r="20" ht="23" customHeight="1">
      <x:c r="A20" s="1" t="str">
        <x:v>Finished inventory</x:v>
      </x:c>
      <x:c r="B20" s="21" t="n">
        <x:f>SUMIFS('Accounts'!$I$6:$I$105,'Accounts'!$B$6:$B$105,"Finished")</x:f>
        <x:v>0</x:v>
      </x:c>
      <x:c r="C20" s="1"/>
      <x:c r="D20" s="1"/>
    </x:row>
    <x:row r="21" ht="23" customHeight="1">
      <x:c r="A21" s="1" t="str">
        <x:v>Other assets, net</x:v>
      </x:c>
      <x:c r="B21" s="21" t="n">
        <x:f>SUMIFS('Accounts'!$I$6:$I$105,'Accounts'!$B$6:$B$105,"Other asset")</x:f>
        <x:v>0</x:v>
      </x:c>
      <x:c r="C21" s="1"/>
      <x:c r="D21" s="1"/>
    </x:row>
    <x:row r="22" ht="23" customHeight="1">
      <x:c r="A22" s="25" t="str">
        <x:v>Total assets</x:v>
      </x:c>
      <x:c r="B22" s="26" t="n">
        <x:f>SUM(B16:B21)</x:f>
        <x:v>0</x:v>
      </x:c>
      <x:c r="C22" s="1"/>
      <x:c r="D22" s="1"/>
    </x:row>
    <x:row r="23" ht="23" customHeight="1">
      <x:c r="A23" s="1"/>
      <x:c r="B23" s="21"/>
      <x:c r="C23" s="1"/>
      <x:c r="D23" s="1"/>
    </x:row>
    <x:row r="24" ht="23" customHeight="1">
      <x:c r="A24" s="1" t="str">
        <x:v>Liabilities incl. partner advances</x:v>
      </x:c>
      <x:c r="B24" s="21" t="n">
        <x:f>SUMIFS('Accounts'!$I$6:$I$105,'Accounts'!$B$6:$B$105,"Liability")</x:f>
        <x:v>0</x:v>
      </x:c>
      <x:c r="C24" s="1"/>
      <x:c r="D24" s="1"/>
    </x:row>
    <x:row r="25" ht="23" customHeight="1">
      <x:c r="A25" s="1" t="str">
        <x:v>Partner capital, net</x:v>
      </x:c>
      <x:c r="B25" s="21" t="n">
        <x:f>SUMIFS('Accounts'!$I$6:$I$105,'Accounts'!$B$6:$B$105,"Capital")</x:f>
        <x:v>0</x:v>
      </x:c>
      <x:c r="C25" s="1"/>
      <x:c r="D25" s="1"/>
    </x:row>
    <x:row r="26" ht="23" customHeight="1">
      <x:c r="A26" s="1" t="str">
        <x:v>Cumulative profit / (loss)</x:v>
      </x:c>
      <x:c r="B26" s="21" t="n">
        <x:f>SUMIFS('Accounts'!$I$6:$I$105,'Accounts'!$B$6:$B$105,"Revenue")-SUMIFS('Accounts'!$I$6:$I$105,'Accounts'!$B$6:$B$105,"COGS")-SUMIFS('Accounts'!$I$6:$I$105,'Accounts'!$B$6:$B$105,"Expense")</x:f>
        <x:v>0</x:v>
      </x:c>
      <x:c r="C26" s="1"/>
      <x:c r="D26" s="1"/>
    </x:row>
    <x:row r="27" ht="23" customHeight="1">
      <x:c r="A27" s="1" t="str">
        <x:v>Less cumulative distributions</x:v>
      </x:c>
      <x:c r="B27" s="21" t="n">
        <x:f>SUMIFS('Accounts'!$I$6:$I$105,'Accounts'!$B$6:$B$105,"Drawings")</x:f>
        <x:v>0</x:v>
      </x:c>
      <x:c r="C27" s="1"/>
      <x:c r="D27" s="1"/>
    </x:row>
    <x:row r="28" ht="23" customHeight="1">
      <x:c r="A28" s="25" t="str">
        <x:v>Total equity</x:v>
      </x:c>
      <x:c r="B28" s="26" t="n">
        <x:f>B25+B26-B27</x:f>
        <x:v>0</x:v>
      </x:c>
      <x:c r="C28" s="1"/>
      <x:c r="D28" s="1"/>
    </x:row>
    <x:row r="29" ht="23" customHeight="1">
      <x:c r="A29" s="25" t="str">
        <x:v>Liabilities and equity</x:v>
      </x:c>
      <x:c r="B29" s="26" t="n">
        <x:f>B24+B28</x:f>
        <x:v>0</x:v>
      </x:c>
      <x:c r="C29" s="1"/>
      <x:c r="D29" s="1"/>
    </x:row>
    <x:row r="30" ht="23" customHeight="1">
      <x:c r="A30" s="1" t="str">
        <x:v>Balance sheet difference</x:v>
      </x:c>
      <x:c r="B30" s="21" t="n">
        <x:f>B22-B29</x:f>
        <x:v>0</x:v>
      </x:c>
      <x:c r="C30" s="1"/>
      <x:c r="D30" s="1"/>
    </x:row>
    <x:row r="31" ht="23" customHeight="1">
      <x:c r="A31" s="1"/>
      <x:c r="B31" s="21"/>
      <x:c r="C31" s="1"/>
      <x:c r="D31" s="1"/>
    </x:row>
    <x:row r="32" ht="23" customHeight="1">
      <x:c r="A32" s="1"/>
      <x:c r="B32" s="21"/>
      <x:c r="C32" s="1"/>
      <x:c r="D32" s="1"/>
    </x:row>
    <x:row r="33" ht="23" customHeight="1">
      <x:c r="A33" s="23" t="str">
        <x:v>CASH SUMMARY FOR PERIOD (BDT)</x:v>
      </x:c>
      <x:c r="B33" s="24"/>
      <x:c r="C33" s="23"/>
      <x:c r="D33" s="23"/>
    </x:row>
    <x:row r="34" ht="23" customHeight="1">
      <x:c r="A34" s="1" t="str">
        <x:v>Opening cash / payment accounts</x:v>
      </x:c>
      <x:c r="B34" s="21" t="n">
        <x:f>SUMIFS('Accounts'!$I$6:$I$105,'Accounts'!$B$6:$B$105,"Cash")-SUMIFS('Accounts'!$F$6:$F$105,'Accounts'!$B$6:$B$105,"Cash")</x:f>
        <x:v>0</x:v>
      </x:c>
      <x:c r="C34" s="1"/>
      <x:c r="D34" s="1"/>
    </x:row>
    <x:row r="35" ht="23" customHeight="1">
      <x:c r="A35" s="1" t="str">
        <x:v>Cash received (includes transfers)</x:v>
      </x:c>
      <x:c r="B35" s="21" t="n">
        <x:f>SUMIFS('Accounts'!$D$6:$D$105,'Accounts'!$B$6:$B$105,"Cash")</x:f>
        <x:v>0</x:v>
      </x:c>
      <x:c r="C35" s="1"/>
      <x:c r="D35" s="1"/>
    </x:row>
    <x:row r="36" ht="23" customHeight="1">
      <x:c r="A36" s="1" t="str">
        <x:v>Cash paid (includes transfers)</x:v>
      </x:c>
      <x:c r="B36" s="21" t="n">
        <x:f>SUMIFS('Accounts'!$E$6:$E$105,'Accounts'!$B$6:$B$105,"Cash")</x:f>
        <x:v>0</x:v>
      </x:c>
      <x:c r="C36" s="1"/>
      <x:c r="D36" s="1"/>
    </x:row>
    <x:row r="37" ht="23" customHeight="1">
      <x:c r="A37" s="25" t="str">
        <x:v>Closing cash / payment accounts</x:v>
      </x:c>
      <x:c r="B37" s="26" t="n">
        <x:f>B34+B35-B36</x:f>
        <x:v>0</x:v>
      </x:c>
      <x:c r="C37" s="1"/>
      <x:c r="D37" s="1"/>
    </x:row>
    <x:row r="38" ht="23" customHeight="1">
      <x:c r="A38" s="1"/>
      <x:c r="B38" s="21"/>
      <x:c r="C38" s="1"/>
      <x:c r="D38" s="1"/>
    </x:row>
    <x:row r="39" ht="23" customHeight="1">
      <x:c r="A39" s="1"/>
      <x:c r="B39" s="1"/>
      <x:c r="C39" s="1"/>
      <x:c r="D39" s="1"/>
    </x:row>
    <x:row r="40" ht="23" customHeight="1">
      <x:c r="A40" s="1" t="str">
        <x:v>Prepared by</x:v>
      </x:c>
      <x:c r="B40" s="1" t="str">
        <x:f>IF('Settings'!B9="","",'Settings'!B9)</x:f>
      </x:c>
      <x:c r="C40" s="1"/>
      <x:c r="D40" s="1"/>
    </x:row>
    <x:row r="41" ht="23" customHeight="1">
      <x:c r="A41" s="1" t="str">
        <x:v>Reviewed by</x:v>
      </x:c>
      <x:c r="B41" s="1" t="str">
        <x:f>IF('Settings'!B10="","",'Settings'!B10)</x:f>
      </x:c>
      <x:c r="C41" s="1"/>
      <x:c r="D41" s="1"/>
    </x:row>
    <x:row r="42" ht="23" customHeight="1">
      <x:c r="A42" s="1"/>
      <x:c r="B42" s="1"/>
      <x:c r="C42" s="1"/>
      <x:c r="D42" s="1"/>
    </x:row>
    <x:row r="43" ht="23" customHeight="1">
      <x:c r="A43" s="1" t="str">
        <x:v>Internal financial statements. Accountant review required before formal filing.</x:v>
      </x:c>
      <x:c r="B43" s="1"/>
      <x:c r="C43" s="1"/>
      <x:c r="D43" s="1"/>
    </x:row>
    <x:row r="44" ht="23" customHeight="1">
      <x:c r="A44" s="1"/>
      <x:c r="B44" s="1"/>
      <x:c r="C44" s="1"/>
      <x:c r="D4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2B23"/>
  </x:sheetPr>
  <x:sheetViews>
    <x:sheetView showGridLines="0" workbookViewId="0"/>
  </x:sheetViews>
  <x:sheetFormatPr defaultRowHeight="15"/>
  <x:cols>
    <x:col min="1" max="1" width="45" hidden="0" customWidth="1"/>
    <x:col min="2" max="2" width="25" hidden="0" customWidth="1"/>
    <x:col min="3" max="3" width="18" hidden="0" customWidth="1"/>
    <x:col min="4" max="4" width="18" hidden="0" customWidth="1"/>
  </x:cols>
  <x:sheetData>
    <x:row r="1" ht="23" customHeight="1">
      <x:c r="A1" s="1"/>
      <x:c r="B1" s="1"/>
      <x:c r="C1" s="1"/>
      <x:c r="D1" s="1"/>
    </x:row>
    <x:row r="2" ht="23" customHeight="1">
      <x:c r="A2" s="2" t="str">
        <x:v>AFK THEORY / Partner statement</x:v>
      </x:c>
      <x:c r="B2" s="1"/>
      <x:c r="C2" s="1"/>
      <x:c r="D2" s="1"/>
    </x:row>
    <x:row r="3" ht="23" customHeight="1">
      <x:c r="A3" s="3" t="str">
        <x:v>Choose partner in B5. Period follows Settings. Profit allocation is an estimate, not a payable.</x:v>
      </x:c>
      <x:c r="B3" s="1"/>
      <x:c r="C3" s="1"/>
      <x:c r="D3" s="1"/>
    </x:row>
    <x:row r="4" ht="23" customHeight="1">
      <x:c r="A4" s="4"/>
      <x:c r="B4" s="4"/>
      <x:c r="C4" s="4"/>
      <x:c r="D4" s="4"/>
    </x:row>
    <x:row r="5" ht="23" customHeight="1">
      <x:c r="A5" s="1" t="str">
        <x:v>Partner</x:v>
      </x:c>
      <x:c r="B5" s="5" t="str">
        <x:v>Shawon</x:v>
      </x:c>
      <x:c r="C5" s="1"/>
      <x:c r="D5" s="1"/>
    </x:row>
    <x:row r="6" ht="23" customHeight="1">
      <x:c r="A6" s="1"/>
      <x:c r="B6" s="1"/>
      <x:c r="C6" s="1"/>
      <x:c r="D6" s="1"/>
    </x:row>
    <x:row r="7" ht="23" customHeight="1">
      <x:c r="A7" s="1" t="str">
        <x:v>Ownership share</x:v>
      </x:c>
      <x:c r="B7" s="27" t="n">
        <x:f>VLOOKUP(B5,'Partners'!$A$6:$C$15,2,FALSE)</x:f>
        <x:v>0.2</x:v>
      </x:c>
      <x:c r="C7" s="1"/>
      <x:c r="D7" s="1"/>
    </x:row>
    <x:row r="8" ht="23" customHeight="1">
      <x:c r="A8" s="1" t="str">
        <x:v>Profit share</x:v>
      </x:c>
      <x:c r="B8" s="27" t="n">
        <x:f>VLOOKUP(B5,'Partners'!$A$6:$C$15,3,FALSE)</x:f>
        <x:v>0.2</x:v>
      </x:c>
      <x:c r="C8" s="1"/>
      <x:c r="D8" s="1"/>
    </x:row>
    <x:row r="9" ht="23" customHeight="1">
      <x:c r="A9" s="1"/>
      <x:c r="B9" s="1"/>
      <x:c r="C9" s="1"/>
      <x:c r="D9" s="1"/>
    </x:row>
    <x:row r="10" ht="23" customHeight="1">
      <x:c r="A10" s="1" t="str">
        <x:v>Opening capital</x:v>
      </x:c>
      <x:c r="B10" s="21" t="n">
        <x:f>SUMIFS('Entries'!$S$6:$S$505,'Entries'!$R$6:$R$505,"Capital - "&amp;$B$5,'Entries'!$B$6:$B$505,"&lt;"&amp;'Settings'!$B$6)-SUMIFS('Entries'!$S$6:$S$505,'Entries'!$Q$6:$Q$505,"Capital - "&amp;$B$5,'Entries'!$B$6:$B$505,"&lt;"&amp;'Settings'!$B$6)</x:f>
        <x:v>0</x:v>
      </x:c>
      <x:c r="C10" s="1"/>
      <x:c r="D10" s="1"/>
    </x:row>
    <x:row r="11" ht="23" customHeight="1">
      <x:c r="A11" s="1" t="str">
        <x:v>Capital contributed this period</x:v>
      </x:c>
      <x:c r="B11" s="21" t="n">
        <x:f>SUMIFS('Entries'!$S$6:$S$505,'Entries'!$R$6:$R$505,"Capital - "&amp;$B$5,'Entries'!$B$6:$B$505,"&gt;="&amp;'Settings'!$B$6,'Entries'!$B$6:$B$505,"&lt;="&amp;'Settings'!$B$7)</x:f>
        <x:v>0</x:v>
      </x:c>
      <x:c r="C11" s="1"/>
      <x:c r="D11" s="1"/>
    </x:row>
    <x:row r="12" ht="23" customHeight="1">
      <x:c r="A12" s="1" t="str">
        <x:v>Capital withdrawn this period</x:v>
      </x:c>
      <x:c r="B12" s="21" t="n">
        <x:f>SUMIFS('Entries'!$S$6:$S$505,'Entries'!$Q$6:$Q$505,"Capital - "&amp;$B$5,'Entries'!$B$6:$B$505,"&gt;="&amp;'Settings'!$B$6,'Entries'!$B$6:$B$505,"&lt;="&amp;'Settings'!$B$7)</x:f>
        <x:v>0</x:v>
      </x:c>
      <x:c r="C12" s="1"/>
      <x:c r="D12" s="1"/>
    </x:row>
    <x:row r="13" ht="23" customHeight="1">
      <x:c r="A13" s="25" t="str">
        <x:v>Closing capital</x:v>
      </x:c>
      <x:c r="B13" s="26" t="n">
        <x:f>B10+B11-B12</x:f>
        <x:v>0</x:v>
      </x:c>
      <x:c r="C13" s="1"/>
      <x:c r="D13" s="1"/>
    </x:row>
    <x:row r="14" ht="23" customHeight="1">
      <x:c r="A14" s="1"/>
      <x:c r="B14" s="21"/>
      <x:c r="C14" s="1"/>
      <x:c r="D14" s="1"/>
    </x:row>
    <x:row r="15" ht="23" customHeight="1">
      <x:c r="A15" s="1" t="str">
        <x:v>Opening amount owed to partner</x:v>
      </x:c>
      <x:c r="B15" s="21" t="n">
        <x:f>SUMIFS('Entries'!$S$6:$S$505,'Entries'!$R$6:$R$505,"Due to - "&amp;$B$5,'Entries'!$B$6:$B$505,"&lt;"&amp;'Settings'!$B$6)-SUMIFS('Entries'!$S$6:$S$505,'Entries'!$Q$6:$Q$505,"Due to - "&amp;$B$5,'Entries'!$B$6:$B$505,"&lt;"&amp;'Settings'!$B$6)</x:f>
        <x:v>0</x:v>
      </x:c>
      <x:c r="C15" s="1"/>
      <x:c r="D15" s="1"/>
    </x:row>
    <x:row r="16" ht="23" customHeight="1">
      <x:c r="A16" s="1" t="str">
        <x:v>New advances / personal spending</x:v>
      </x:c>
      <x:c r="B16" s="21" t="n">
        <x:f>SUMIFS('Entries'!$S$6:$S$505,'Entries'!$R$6:$R$505,"Due to - "&amp;$B$5,'Entries'!$B$6:$B$505,"&gt;="&amp;'Settings'!$B$6,'Entries'!$B$6:$B$505,"&lt;="&amp;'Settings'!$B$7)</x:f>
        <x:v>0</x:v>
      </x:c>
      <x:c r="C16" s="1"/>
      <x:c r="D16" s="1"/>
    </x:row>
    <x:row r="17" ht="23" customHeight="1">
      <x:c r="A17" s="1" t="str">
        <x:v>Repaid / reimbursed this period</x:v>
      </x:c>
      <x:c r="B17" s="21" t="n">
        <x:f>SUMIFS('Entries'!$S$6:$S$505,'Entries'!$Q$6:$Q$505,"Due to - "&amp;$B$5,'Entries'!$B$6:$B$505,"&gt;="&amp;'Settings'!$B$6,'Entries'!$B$6:$B$505,"&lt;="&amp;'Settings'!$B$7)</x:f>
        <x:v>0</x:v>
      </x:c>
      <x:c r="C17" s="1"/>
      <x:c r="D17" s="1"/>
    </x:row>
    <x:row r="18" ht="23" customHeight="1">
      <x:c r="A18" s="25" t="str">
        <x:v>Closing amount owed to partner</x:v>
      </x:c>
      <x:c r="B18" s="26" t="n">
        <x:f>B15+B16-B17</x:f>
        <x:v>0</x:v>
      </x:c>
      <x:c r="C18" s="1"/>
      <x:c r="D18" s="1"/>
    </x:row>
    <x:row r="19" ht="23" customHeight="1">
      <x:c r="A19" s="1"/>
      <x:c r="B19" s="21"/>
      <x:c r="C19" s="1"/>
      <x:c r="D19" s="1"/>
    </x:row>
    <x:row r="20" ht="23" customHeight="1">
      <x:c r="A20" s="1" t="str">
        <x:v>Distributions this period</x:v>
      </x:c>
      <x:c r="B20" s="21" t="n">
        <x:f>-(SUMIFS('Entries'!$S$6:$S$505,'Entries'!$R$6:$R$505,"Drawings - "&amp;$B$5,'Entries'!$B$6:$B$505,"&gt;="&amp;'Settings'!$B$6,'Entries'!$B$6:$B$505,"&lt;="&amp;'Settings'!$B$7)-SUMIFS('Entries'!$S$6:$S$505,'Entries'!$Q$6:$Q$505,"Drawings - "&amp;$B$5,'Entries'!$B$6:$B$505,"&gt;="&amp;'Settings'!$B$6,'Entries'!$B$6:$B$505,"&lt;="&amp;'Settings'!$B$7))</x:f>
        <x:v>0</x:v>
      </x:c>
      <x:c r="C20" s="1"/>
      <x:c r="D20" s="1"/>
    </x:row>
    <x:row r="21" ht="23" customHeight="1">
      <x:c r="A21" s="1" t="str">
        <x:v>Cumulative distributions</x:v>
      </x:c>
      <x:c r="B21" s="21" t="n">
        <x:f>-(SUMIFS('Entries'!$S$6:$S$505,'Entries'!$R$6:$R$505,"Drawings - "&amp;$B$5,'Entries'!$B$6:$B$505,"&lt;="&amp;'Settings'!$B$7)-SUMIFS('Entries'!$S$6:$S$505,'Entries'!$Q$6:$Q$505,"Drawings - "&amp;$B$5,'Entries'!$B$6:$B$505,"&lt;="&amp;'Settings'!$B$7))</x:f>
        <x:v>0</x:v>
      </x:c>
      <x:c r="C21" s="1"/>
      <x:c r="D21" s="1"/>
    </x:row>
    <x:row r="22" ht="23" customHeight="1">
      <x:c r="A22" s="1"/>
      <x:c r="B22" s="21"/>
      <x:c r="C22" s="1"/>
      <x:c r="D22" s="1"/>
    </x:row>
    <x:row r="23" ht="23" customHeight="1">
      <x:c r="A23" s="1" t="str">
        <x:v>Period business profit / (loss)</x:v>
      </x:c>
      <x:c r="B23" s="21" t="n">
        <x:f>'Financial Report'!B12</x:f>
        <x:v>0</x:v>
      </x:c>
      <x:c r="C23" s="1"/>
      <x:c r="D23" s="1"/>
    </x:row>
    <x:row r="24" ht="23" customHeight="1">
      <x:c r="A24" s="25" t="str">
        <x:v>Indicative profit share</x:v>
      </x:c>
      <x:c r="B24" s="26" t="n">
        <x:f>B23*B8</x:f>
        <x:v>0</x:v>
      </x:c>
      <x:c r="C24" s="1"/>
      <x:c r="D24" s="1"/>
    </x:row>
    <x:row r="25" ht="23" customHeight="1">
      <x:c r="A25" s="1"/>
      <x:c r="B25" s="1"/>
      <x:c r="C25" s="1"/>
      <x:c r="D25" s="1"/>
    </x:row>
    <x:row r="26" ht="23" customHeight="1">
      <x:c r="A26" s="1"/>
      <x:c r="B26" s="1"/>
      <x:c r="C26" s="1"/>
      <x:c r="D26" s="1"/>
    </x:row>
    <x:row r="27" ht="23" customHeight="1">
      <x:c r="A27" s="1" t="str">
        <x:v>Prepared by</x:v>
      </x:c>
      <x:c r="B27" s="1" t="str">
        <x:f>IF('Settings'!B9="","",'Settings'!B9)</x:f>
      </x:c>
      <x:c r="C27" s="1"/>
      <x:c r="D27" s="1"/>
    </x:row>
    <x:row r="28" ht="23" customHeight="1">
      <x:c r="A28" s="1" t="str">
        <x:v>Reviewed by</x:v>
      </x:c>
      <x:c r="B28" s="1" t="str">
        <x:f>IF('Settings'!B10="","",'Settings'!B10)</x:f>
      </x:c>
      <x:c r="C28" s="1"/>
      <x:c r="D28" s="1"/>
    </x:row>
    <x:row r="29" ht="23" customHeight="1">
      <x:c r="A29" s="1"/>
      <x:c r="B29" s="1"/>
      <x:c r="C29" s="1"/>
      <x:c r="D29" s="1"/>
    </x:row>
    <x:row r="30" ht="23" customHeight="1">
      <x:c r="A30" s="1" t="str">
        <x:v>Select A2:D30 for a printable statement.</x:v>
      </x:c>
      <x:c r="B30" s="1"/>
      <x:c r="C30" s="1"/>
      <x:c r="D30" s="1"/>
    </x:row>
    <x:row r="31" ht="23" customHeight="1">
      <x:c r="A31" s="1"/>
      <x:c r="B31" s="1"/>
      <x:c r="C31" s="1"/>
      <x:c r="D31" s="1"/>
    </x:row>
    <x:row r="32" ht="23" customHeight="1">
      <x:c r="A32" s="1"/>
      <x:c r="B32" s="1"/>
      <x:c r="C32" s="1"/>
      <x:c r="D32" s="1"/>
    </x:row>
  </x:sheetData>
  <x:dataValidations count="1">
    <x:dataValidation type="list" sqref="B5">
      <x:formula1>'Partners'!$A$6:$A$15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</x:row>
    <x:row r="2" ht="23" customHeight="1">
      <x:c r="A2" s="32" t="str">
        <x:v>AFK THEORY / Accounts</x:v>
      </x:c>
      <x:c r="B2" s="31"/>
      <x:c r="C2" s="31"/>
      <x:c r="D2" s="31"/>
      <x:c r="E2" s="31"/>
      <x:c r="F2" s="31"/>
      <x:c r="G2" s="31"/>
      <x:c r="H2" s="31"/>
      <x:c r="I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</x:row>
    <x:row r="5" ht="34" customHeight="1">
      <x:c r="A5" s="38" t="str">
        <x:v>Account</x:v>
      </x:c>
      <x:c r="B5" s="38" t="str">
        <x:v>Group</x:v>
      </x:c>
      <x:c r="C5" s="38" t="str">
        <x:v>Normal sign</x:v>
      </x:c>
      <x:c r="D5" s="38" t="str">
        <x:v>Period debits</x:v>
      </x:c>
      <x:c r="E5" s="38" t="str">
        <x:v>Period credits</x:v>
      </x:c>
      <x:c r="F5" s="38" t="str">
        <x:v>Period balance</x:v>
      </x:c>
      <x:c r="G5" s="38" t="str">
        <x:v>As-of debits</x:v>
      </x:c>
      <x:c r="H5" s="38" t="str">
        <x:v>As-of credits</x:v>
      </x:c>
      <x:c r="I5" s="38" t="str">
        <x:v>Closing balance</x:v>
      </x:c>
    </x:row>
    <x:row r="6" ht="23" customHeight="1">
      <x:c r="A6" s="36" t="str">
        <x:v>Cash</x:v>
      </x:c>
      <x:c r="B6" s="36" t="str">
        <x:v>Cash</x:v>
      </x:c>
      <x:c r="C6" s="36" t="n">
        <x:v>1</x:v>
      </x:c>
      <x:c r="D6" s="37" t="n">
        <x:f>IF(A6="","",SUMIFS('Entries'!$S$6:$S$505,'Entries'!$Q$6:$Q$505,A6,'Entries'!$B$6:$B$505,"&gt;="&amp;'Settings'!$B$6,'Entries'!$B$6:$B$505,"&lt;="&amp;'Settings'!$B$7))</x:f>
        <x:v>0</x:v>
      </x:c>
      <x:c r="E6" s="37" t="n">
        <x:f>IF(A6="","",SUMIFS('Entries'!$S$6:$S$505,'Entries'!$R$6:$R$505,A6,'Entries'!$B$6:$B$505,"&gt;="&amp;'Settings'!$B$6,'Entries'!$B$6:$B$505,"&lt;="&amp;'Settings'!$B$7))</x:f>
        <x:v>0</x:v>
      </x:c>
      <x:c r="F6" s="37" t="n">
        <x:f>IF(A6="","",(D6-E6)*C6)</x:f>
        <x:v>0</x:v>
      </x:c>
      <x:c r="G6" s="37" t="n">
        <x:f>IF(A6="","",SUMIFS('Entries'!$S$6:$S$505,'Entries'!$Q$6:$Q$505,A6,'Entries'!$B$6:$B$505,"&lt;="&amp;'Settings'!$B$7))</x:f>
        <x:v>0</x:v>
      </x:c>
      <x:c r="H6" s="37" t="n">
        <x:f>IF(A6="","",SUMIFS('Entries'!$S$6:$S$505,'Entries'!$R$6:$R$505,A6,'Entries'!$B$6:$B$505,"&lt;="&amp;'Settings'!$B$7))</x:f>
        <x:v>0</x:v>
      </x:c>
      <x:c r="I6" s="37" t="n">
        <x:f>IF(A6="","",(G6-H6)*C6)</x:f>
        <x:v>0</x:v>
      </x:c>
    </x:row>
    <x:row r="7" ht="23" customHeight="1">
      <x:c r="A7" s="36" t="str">
        <x:v>Bank</x:v>
      </x:c>
      <x:c r="B7" s="36" t="str">
        <x:v>Cash</x:v>
      </x:c>
      <x:c r="C7" s="36" t="n">
        <x:v>1</x:v>
      </x:c>
      <x:c r="D7" s="37" t="n">
        <x:f>IF(A7="","",SUMIFS('Entries'!$S$6:$S$505,'Entries'!$Q$6:$Q$505,A7,'Entries'!$B$6:$B$505,"&gt;="&amp;'Settings'!$B$6,'Entries'!$B$6:$B$505,"&lt;="&amp;'Settings'!$B$7))</x:f>
        <x:v>0</x:v>
      </x:c>
      <x:c r="E7" s="37" t="n">
        <x:f>IF(A7="","",SUMIFS('Entries'!$S$6:$S$505,'Entries'!$R$6:$R$505,A7,'Entries'!$B$6:$B$505,"&gt;="&amp;'Settings'!$B$6,'Entries'!$B$6:$B$505,"&lt;="&amp;'Settings'!$B$7))</x:f>
        <x:v>0</x:v>
      </x:c>
      <x:c r="F7" s="37" t="n">
        <x:f>IF(A7="","",(D7-E7)*C7)</x:f>
        <x:v>0</x:v>
      </x:c>
      <x:c r="G7" s="37" t="n">
        <x:f>IF(A7="","",SUMIFS('Entries'!$S$6:$S$505,'Entries'!$Q$6:$Q$505,A7,'Entries'!$B$6:$B$505,"&lt;="&amp;'Settings'!$B$7))</x:f>
        <x:v>0</x:v>
      </x:c>
      <x:c r="H7" s="37" t="n">
        <x:f>IF(A7="","",SUMIFS('Entries'!$S$6:$S$505,'Entries'!$R$6:$R$505,A7,'Entries'!$B$6:$B$505,"&lt;="&amp;'Settings'!$B$7))</x:f>
        <x:v>0</x:v>
      </x:c>
      <x:c r="I7" s="37" t="n">
        <x:f>IF(A7="","",(G7-H7)*C7)</x:f>
        <x:v>0</x:v>
      </x:c>
    </x:row>
    <x:row r="8" ht="23" customHeight="1">
      <x:c r="A8" s="36" t="str">
        <x:v>bKash</x:v>
      </x:c>
      <x:c r="B8" s="36" t="str">
        <x:v>Cash</x:v>
      </x:c>
      <x:c r="C8" s="36" t="n">
        <x:v>1</x:v>
      </x:c>
      <x:c r="D8" s="37" t="n">
        <x:f>IF(A8="","",SUMIFS('Entries'!$S$6:$S$505,'Entries'!$Q$6:$Q$505,A8,'Entries'!$B$6:$B$505,"&gt;="&amp;'Settings'!$B$6,'Entries'!$B$6:$B$505,"&lt;="&amp;'Settings'!$B$7))</x:f>
        <x:v>0</x:v>
      </x:c>
      <x:c r="E8" s="37" t="n">
        <x:f>IF(A8="","",SUMIFS('Entries'!$S$6:$S$505,'Entries'!$R$6:$R$505,A8,'Entries'!$B$6:$B$505,"&gt;="&amp;'Settings'!$B$6,'Entries'!$B$6:$B$505,"&lt;="&amp;'Settings'!$B$7))</x:f>
        <x:v>0</x:v>
      </x:c>
      <x:c r="F8" s="37" t="n">
        <x:f>IF(A8="","",(D8-E8)*C8)</x:f>
        <x:v>0</x:v>
      </x:c>
      <x:c r="G8" s="37" t="n">
        <x:f>IF(A8="","",SUMIFS('Entries'!$S$6:$S$505,'Entries'!$Q$6:$Q$505,A8,'Entries'!$B$6:$B$505,"&lt;="&amp;'Settings'!$B$7))</x:f>
        <x:v>0</x:v>
      </x:c>
      <x:c r="H8" s="37" t="n">
        <x:f>IF(A8="","",SUMIFS('Entries'!$S$6:$S$505,'Entries'!$R$6:$R$505,A8,'Entries'!$B$6:$B$505,"&lt;="&amp;'Settings'!$B$7))</x:f>
        <x:v>0</x:v>
      </x:c>
      <x:c r="I8" s="37" t="n">
        <x:f>IF(A8="","",(G8-H8)*C8)</x:f>
        <x:v>0</x:v>
      </x:c>
    </x:row>
    <x:row r="9" ht="23" customHeight="1">
      <x:c r="A9" s="36" t="str">
        <x:v>Nagad</x:v>
      </x:c>
      <x:c r="B9" s="36" t="str">
        <x:v>Cash</x:v>
      </x:c>
      <x:c r="C9" s="36" t="n">
        <x:v>1</x:v>
      </x:c>
      <x:c r="D9" s="37" t="n">
        <x:f>IF(A9="","",SUMIFS('Entries'!$S$6:$S$505,'Entries'!$Q$6:$Q$505,A9,'Entries'!$B$6:$B$505,"&gt;="&amp;'Settings'!$B$6,'Entries'!$B$6:$B$505,"&lt;="&amp;'Settings'!$B$7))</x:f>
        <x:v>0</x:v>
      </x:c>
      <x:c r="E9" s="37" t="n">
        <x:f>IF(A9="","",SUMIFS('Entries'!$S$6:$S$505,'Entries'!$R$6:$R$505,A9,'Entries'!$B$6:$B$505,"&gt;="&amp;'Settings'!$B$6,'Entries'!$B$6:$B$505,"&lt;="&amp;'Settings'!$B$7))</x:f>
        <x:v>0</x:v>
      </x:c>
      <x:c r="F9" s="37" t="n">
        <x:f>IF(A9="","",(D9-E9)*C9)</x:f>
        <x:v>0</x:v>
      </x:c>
      <x:c r="G9" s="37" t="n">
        <x:f>IF(A9="","",SUMIFS('Entries'!$S$6:$S$505,'Entries'!$Q$6:$Q$505,A9,'Entries'!$B$6:$B$505,"&lt;="&amp;'Settings'!$B$7))</x:f>
        <x:v>0</x:v>
      </x:c>
      <x:c r="H9" s="37" t="n">
        <x:f>IF(A9="","",SUMIFS('Entries'!$S$6:$S$505,'Entries'!$R$6:$R$505,A9,'Entries'!$B$6:$B$505,"&lt;="&amp;'Settings'!$B$7))</x:f>
        <x:v>0</x:v>
      </x:c>
      <x:c r="I9" s="37" t="n">
        <x:f>IF(A9="","",(G9-H9)*C9)</x:f>
        <x:v>0</x:v>
      </x:c>
    </x:row>
    <x:row r="10" ht="23" customHeight="1">
      <x:c r="A10" s="36" t="str">
        <x:v>Customer receivables</x:v>
      </x:c>
      <x:c r="B10" s="36" t="str">
        <x:v>Receivable</x:v>
      </x:c>
      <x:c r="C10" s="36" t="n">
        <x:v>1</x:v>
      </x:c>
      <x:c r="D10" s="37" t="n">
        <x:f>IF(A10="","",SUMIFS('Entries'!$S$6:$S$505,'Entries'!$Q$6:$Q$505,A10,'Entries'!$B$6:$B$505,"&gt;="&amp;'Settings'!$B$6,'Entries'!$B$6:$B$505,"&lt;="&amp;'Settings'!$B$7))</x:f>
        <x:v>0</x:v>
      </x:c>
      <x:c r="E10" s="37" t="n">
        <x:f>IF(A10="","",SUMIFS('Entries'!$S$6:$S$505,'Entries'!$R$6:$R$505,A10,'Entries'!$B$6:$B$505,"&gt;="&amp;'Settings'!$B$6,'Entries'!$B$6:$B$505,"&lt;="&amp;'Settings'!$B$7))</x:f>
        <x:v>0</x:v>
      </x:c>
      <x:c r="F10" s="37" t="n">
        <x:f>IF(A10="","",(D10-E10)*C10)</x:f>
        <x:v>0</x:v>
      </x:c>
      <x:c r="G10" s="37" t="n">
        <x:f>IF(A10="","",SUMIFS('Entries'!$S$6:$S$505,'Entries'!$Q$6:$Q$505,A10,'Entries'!$B$6:$B$505,"&lt;="&amp;'Settings'!$B$7))</x:f>
        <x:v>0</x:v>
      </x:c>
      <x:c r="H10" s="37" t="n">
        <x:f>IF(A10="","",SUMIFS('Entries'!$S$6:$S$505,'Entries'!$R$6:$R$505,A10,'Entries'!$B$6:$B$505,"&lt;="&amp;'Settings'!$B$7))</x:f>
        <x:v>0</x:v>
      </x:c>
      <x:c r="I10" s="37" t="n">
        <x:f>IF(A10="","",(G10-H10)*C10)</x:f>
        <x:v>0</x:v>
      </x:c>
    </x:row>
    <x:row r="11" ht="23" customHeight="1">
      <x:c r="A11" s="36" t="str">
        <x:v>Courier receivables</x:v>
      </x:c>
      <x:c r="B11" s="36" t="str">
        <x:v>Receivable</x:v>
      </x:c>
      <x:c r="C11" s="36" t="n">
        <x:v>1</x:v>
      </x:c>
      <x:c r="D11" s="37" t="n">
        <x:f>IF(A11="","",SUMIFS('Entries'!$S$6:$S$505,'Entries'!$Q$6:$Q$505,A11,'Entries'!$B$6:$B$505,"&gt;="&amp;'Settings'!$B$6,'Entries'!$B$6:$B$505,"&lt;="&amp;'Settings'!$B$7))</x:f>
        <x:v>0</x:v>
      </x:c>
      <x:c r="E11" s="37" t="n">
        <x:f>IF(A11="","",SUMIFS('Entries'!$S$6:$S$505,'Entries'!$R$6:$R$505,A11,'Entries'!$B$6:$B$505,"&gt;="&amp;'Settings'!$B$6,'Entries'!$B$6:$B$505,"&lt;="&amp;'Settings'!$B$7))</x:f>
        <x:v>0</x:v>
      </x:c>
      <x:c r="F11" s="37" t="n">
        <x:f>IF(A11="","",(D11-E11)*C11)</x:f>
        <x:v>0</x:v>
      </x:c>
      <x:c r="G11" s="37" t="n">
        <x:f>IF(A11="","",SUMIFS('Entries'!$S$6:$S$505,'Entries'!$Q$6:$Q$505,A11,'Entries'!$B$6:$B$505,"&lt;="&amp;'Settings'!$B$7))</x:f>
        <x:v>0</x:v>
      </x:c>
      <x:c r="H11" s="37" t="n">
        <x:f>IF(A11="","",SUMIFS('Entries'!$S$6:$S$505,'Entries'!$R$6:$R$505,A11,'Entries'!$B$6:$B$505,"&lt;="&amp;'Settings'!$B$7))</x:f>
        <x:v>0</x:v>
      </x:c>
      <x:c r="I11" s="37" t="n">
        <x:f>IF(A11="","",(G11-H11)*C11)</x:f>
        <x:v>0</x:v>
      </x:c>
    </x:row>
    <x:row r="12" ht="23" customHeight="1">
      <x:c r="A12" s="36" t="str">
        <x:v>Supplier advances</x:v>
      </x:c>
      <x:c r="B12" s="36" t="str">
        <x:v>Other asset</x:v>
      </x:c>
      <x:c r="C12" s="36" t="n">
        <x:v>1</x:v>
      </x:c>
      <x:c r="D12" s="37" t="n">
        <x:f>IF(A12="","",SUMIFS('Entries'!$S$6:$S$505,'Entries'!$Q$6:$Q$505,A12,'Entries'!$B$6:$B$505,"&gt;="&amp;'Settings'!$B$6,'Entries'!$B$6:$B$505,"&lt;="&amp;'Settings'!$B$7))</x:f>
        <x:v>0</x:v>
      </x:c>
      <x:c r="E12" s="37" t="n">
        <x:f>IF(A12="","",SUMIFS('Entries'!$S$6:$S$505,'Entries'!$R$6:$R$505,A12,'Entries'!$B$6:$B$505,"&gt;="&amp;'Settings'!$B$6,'Entries'!$B$6:$B$505,"&lt;="&amp;'Settings'!$B$7))</x:f>
        <x:v>0</x:v>
      </x:c>
      <x:c r="F12" s="37" t="n">
        <x:f>IF(A12="","",(D12-E12)*C12)</x:f>
        <x:v>0</x:v>
      </x:c>
      <x:c r="G12" s="37" t="n">
        <x:f>IF(A12="","",SUMIFS('Entries'!$S$6:$S$505,'Entries'!$Q$6:$Q$505,A12,'Entries'!$B$6:$B$505,"&lt;="&amp;'Settings'!$B$7))</x:f>
        <x:v>0</x:v>
      </x:c>
      <x:c r="H12" s="37" t="n">
        <x:f>IF(A12="","",SUMIFS('Entries'!$S$6:$S$505,'Entries'!$R$6:$R$505,A12,'Entries'!$B$6:$B$505,"&lt;="&amp;'Settings'!$B$7))</x:f>
        <x:v>0</x:v>
      </x:c>
      <x:c r="I12" s="37" t="n">
        <x:f>IF(A12="","",(G12-H12)*C12)</x:f>
        <x:v>0</x:v>
      </x:c>
    </x:row>
    <x:row r="13" ht="23" customHeight="1">
      <x:c r="A13" s="36" t="str">
        <x:v>Materials inventory</x:v>
      </x:c>
      <x:c r="B13" s="36" t="str">
        <x:v>Materials</x:v>
      </x:c>
      <x:c r="C13" s="36" t="n">
        <x:v>1</x:v>
      </x:c>
      <x:c r="D13" s="37" t="n">
        <x:f>IF(A13="","",SUMIFS('Entries'!$S$6:$S$505,'Entries'!$Q$6:$Q$505,A13,'Entries'!$B$6:$B$505,"&gt;="&amp;'Settings'!$B$6,'Entries'!$B$6:$B$505,"&lt;="&amp;'Settings'!$B$7))</x:f>
        <x:v>0</x:v>
      </x:c>
      <x:c r="E13" s="37" t="n">
        <x:f>IF(A13="","",SUMIFS('Entries'!$S$6:$S$505,'Entries'!$R$6:$R$505,A13,'Entries'!$B$6:$B$505,"&gt;="&amp;'Settings'!$B$6,'Entries'!$B$6:$B$505,"&lt;="&amp;'Settings'!$B$7))</x:f>
        <x:v>0</x:v>
      </x:c>
      <x:c r="F13" s="37" t="n">
        <x:f>IF(A13="","",(D13-E13)*C13)</x:f>
        <x:v>0</x:v>
      </x:c>
      <x:c r="G13" s="37" t="n">
        <x:f>IF(A13="","",SUMIFS('Entries'!$S$6:$S$505,'Entries'!$Q$6:$Q$505,A13,'Entries'!$B$6:$B$505,"&lt;="&amp;'Settings'!$B$7))</x:f>
        <x:v>0</x:v>
      </x:c>
      <x:c r="H13" s="37" t="n">
        <x:f>IF(A13="","",SUMIFS('Entries'!$S$6:$S$505,'Entries'!$R$6:$R$505,A13,'Entries'!$B$6:$B$505,"&lt;="&amp;'Settings'!$B$7))</x:f>
        <x:v>0</x:v>
      </x:c>
      <x:c r="I13" s="37" t="n">
        <x:f>IF(A13="","",(G13-H13)*C13)</x:f>
        <x:v>0</x:v>
      </x:c>
    </x:row>
    <x:row r="14" ht="23" customHeight="1">
      <x:c r="A14" s="36" t="str">
        <x:v>Work in progress</x:v>
      </x:c>
      <x:c r="B14" s="36" t="str">
        <x:v>WIP</x:v>
      </x:c>
      <x:c r="C14" s="36" t="n">
        <x:v>1</x:v>
      </x:c>
      <x:c r="D14" s="37" t="n">
        <x:f>IF(A14="","",SUMIFS('Entries'!$S$6:$S$505,'Entries'!$Q$6:$Q$505,A14,'Entries'!$B$6:$B$505,"&gt;="&amp;'Settings'!$B$6,'Entries'!$B$6:$B$505,"&lt;="&amp;'Settings'!$B$7))</x:f>
        <x:v>0</x:v>
      </x:c>
      <x:c r="E14" s="37" t="n">
        <x:f>IF(A14="","",SUMIFS('Entries'!$S$6:$S$505,'Entries'!$R$6:$R$505,A14,'Entries'!$B$6:$B$505,"&gt;="&amp;'Settings'!$B$6,'Entries'!$B$6:$B$505,"&lt;="&amp;'Settings'!$B$7))</x:f>
        <x:v>0</x:v>
      </x:c>
      <x:c r="F14" s="37" t="n">
        <x:f>IF(A14="","",(D14-E14)*C14)</x:f>
        <x:v>0</x:v>
      </x:c>
      <x:c r="G14" s="37" t="n">
        <x:f>IF(A14="","",SUMIFS('Entries'!$S$6:$S$505,'Entries'!$Q$6:$Q$505,A14,'Entries'!$B$6:$B$505,"&lt;="&amp;'Settings'!$B$7))</x:f>
        <x:v>0</x:v>
      </x:c>
      <x:c r="H14" s="37" t="n">
        <x:f>IF(A14="","",SUMIFS('Entries'!$S$6:$S$505,'Entries'!$R$6:$R$505,A14,'Entries'!$B$6:$B$505,"&lt;="&amp;'Settings'!$B$7))</x:f>
        <x:v>0</x:v>
      </x:c>
      <x:c r="I14" s="37" t="n">
        <x:f>IF(A14="","",(G14-H14)*C14)</x:f>
        <x:v>0</x:v>
      </x:c>
    </x:row>
    <x:row r="15" ht="23" customHeight="1">
      <x:c r="A15" s="36" t="str">
        <x:v>Finished inventory</x:v>
      </x:c>
      <x:c r="B15" s="36" t="str">
        <x:v>Finished</x:v>
      </x:c>
      <x:c r="C15" s="36" t="n">
        <x:v>1</x:v>
      </x:c>
      <x:c r="D15" s="37" t="n">
        <x:f>IF(A15="","",SUMIFS('Entries'!$S$6:$S$505,'Entries'!$Q$6:$Q$505,A15,'Entries'!$B$6:$B$505,"&gt;="&amp;'Settings'!$B$6,'Entries'!$B$6:$B$505,"&lt;="&amp;'Settings'!$B$7))</x:f>
        <x:v>0</x:v>
      </x:c>
      <x:c r="E15" s="37" t="n">
        <x:f>IF(A15="","",SUMIFS('Entries'!$S$6:$S$505,'Entries'!$R$6:$R$505,A15,'Entries'!$B$6:$B$505,"&gt;="&amp;'Settings'!$B$6,'Entries'!$B$6:$B$505,"&lt;="&amp;'Settings'!$B$7))</x:f>
        <x:v>0</x:v>
      </x:c>
      <x:c r="F15" s="37" t="n">
        <x:f>IF(A15="","",(D15-E15)*C15)</x:f>
        <x:v>0</x:v>
      </x:c>
      <x:c r="G15" s="37" t="n">
        <x:f>IF(A15="","",SUMIFS('Entries'!$S$6:$S$505,'Entries'!$Q$6:$Q$505,A15,'Entries'!$B$6:$B$505,"&lt;="&amp;'Settings'!$B$7))</x:f>
        <x:v>0</x:v>
      </x:c>
      <x:c r="H15" s="37" t="n">
        <x:f>IF(A15="","",SUMIFS('Entries'!$S$6:$S$505,'Entries'!$R$6:$R$505,A15,'Entries'!$B$6:$B$505,"&lt;="&amp;'Settings'!$B$7))</x:f>
        <x:v>0</x:v>
      </x:c>
      <x:c r="I15" s="37" t="n">
        <x:f>IF(A15="","",(G15-H15)*C15)</x:f>
        <x:v>0</x:v>
      </x:c>
    </x:row>
    <x:row r="16" ht="23" customHeight="1">
      <x:c r="A16" s="36" t="str">
        <x:v>Equipment</x:v>
      </x:c>
      <x:c r="B16" s="36" t="str">
        <x:v>Other asset</x:v>
      </x:c>
      <x:c r="C16" s="36" t="n">
        <x:v>1</x:v>
      </x:c>
      <x:c r="D16" s="37" t="n">
        <x:f>IF(A16="","",SUMIFS('Entries'!$S$6:$S$505,'Entries'!$Q$6:$Q$505,A16,'Entries'!$B$6:$B$505,"&gt;="&amp;'Settings'!$B$6,'Entries'!$B$6:$B$505,"&lt;="&amp;'Settings'!$B$7))</x:f>
        <x:v>0</x:v>
      </x:c>
      <x:c r="E16" s="37" t="n">
        <x:f>IF(A16="","",SUMIFS('Entries'!$S$6:$S$505,'Entries'!$R$6:$R$505,A16,'Entries'!$B$6:$B$505,"&gt;="&amp;'Settings'!$B$6,'Entries'!$B$6:$B$505,"&lt;="&amp;'Settings'!$B$7))</x:f>
        <x:v>0</x:v>
      </x:c>
      <x:c r="F16" s="37" t="n">
        <x:f>IF(A16="","",(D16-E16)*C16)</x:f>
        <x:v>0</x:v>
      </x:c>
      <x:c r="G16" s="37" t="n">
        <x:f>IF(A16="","",SUMIFS('Entries'!$S$6:$S$505,'Entries'!$Q$6:$Q$505,A16,'Entries'!$B$6:$B$505,"&lt;="&amp;'Settings'!$B$7))</x:f>
        <x:v>0</x:v>
      </x:c>
      <x:c r="H16" s="37" t="n">
        <x:f>IF(A16="","",SUMIFS('Entries'!$S$6:$S$505,'Entries'!$R$6:$R$505,A16,'Entries'!$B$6:$B$505,"&lt;="&amp;'Settings'!$B$7))</x:f>
        <x:v>0</x:v>
      </x:c>
      <x:c r="I16" s="37" t="n">
        <x:f>IF(A16="","",(G16-H16)*C16)</x:f>
        <x:v>0</x:v>
      </x:c>
    </x:row>
    <x:row r="17" ht="23" customHeight="1">
      <x:c r="A17" s="36" t="str">
        <x:v>Accumulated depreciation</x:v>
      </x:c>
      <x:c r="B17" s="36" t="str">
        <x:v>Other asset</x:v>
      </x:c>
      <x:c r="C17" s="36" t="n">
        <x:v>1</x:v>
      </x:c>
      <x:c r="D17" s="37" t="n">
        <x:f>IF(A17="","",SUMIFS('Entries'!$S$6:$S$505,'Entries'!$Q$6:$Q$505,A17,'Entries'!$B$6:$B$505,"&gt;="&amp;'Settings'!$B$6,'Entries'!$B$6:$B$505,"&lt;="&amp;'Settings'!$B$7))</x:f>
        <x:v>0</x:v>
      </x:c>
      <x:c r="E17" s="37" t="n">
        <x:f>IF(A17="","",SUMIFS('Entries'!$S$6:$S$505,'Entries'!$R$6:$R$505,A17,'Entries'!$B$6:$B$505,"&gt;="&amp;'Settings'!$B$6,'Entries'!$B$6:$B$505,"&lt;="&amp;'Settings'!$B$7))</x:f>
        <x:v>0</x:v>
      </x:c>
      <x:c r="F17" s="37" t="n">
        <x:f>IF(A17="","",(D17-E17)*C17)</x:f>
        <x:v>0</x:v>
      </x:c>
      <x:c r="G17" s="37" t="n">
        <x:f>IF(A17="","",SUMIFS('Entries'!$S$6:$S$505,'Entries'!$Q$6:$Q$505,A17,'Entries'!$B$6:$B$505,"&lt;="&amp;'Settings'!$B$7))</x:f>
        <x:v>0</x:v>
      </x:c>
      <x:c r="H17" s="37" t="n">
        <x:f>IF(A17="","",SUMIFS('Entries'!$S$6:$S$505,'Entries'!$R$6:$R$505,A17,'Entries'!$B$6:$B$505,"&lt;="&amp;'Settings'!$B$7))</x:f>
        <x:v>0</x:v>
      </x:c>
      <x:c r="I17" s="37" t="n">
        <x:f>IF(A17="","",(G17-H17)*C17)</x:f>
        <x:v>0</x:v>
      </x:c>
    </x:row>
    <x:row r="18" ht="23" customHeight="1">
      <x:c r="A18" s="36" t="str">
        <x:v>Trade payables</x:v>
      </x:c>
      <x:c r="B18" s="36" t="str">
        <x:v>Liability</x:v>
      </x:c>
      <x:c r="C18" s="36" t="n">
        <x:v>-1</x:v>
      </x:c>
      <x:c r="D18" s="37" t="n">
        <x:f>IF(A18="","",SUMIFS('Entries'!$S$6:$S$505,'Entries'!$Q$6:$Q$505,A18,'Entries'!$B$6:$B$505,"&gt;="&amp;'Settings'!$B$6,'Entries'!$B$6:$B$505,"&lt;="&amp;'Settings'!$B$7))</x:f>
        <x:v>0</x:v>
      </x:c>
      <x:c r="E18" s="37" t="n">
        <x:f>IF(A18="","",SUMIFS('Entries'!$S$6:$S$505,'Entries'!$R$6:$R$505,A18,'Entries'!$B$6:$B$505,"&gt;="&amp;'Settings'!$B$6,'Entries'!$B$6:$B$505,"&lt;="&amp;'Settings'!$B$7))</x:f>
        <x:v>0</x:v>
      </x:c>
      <x:c r="F18" s="37" t="n">
        <x:f>IF(A18="","",(D18-E18)*C18)</x:f>
        <x:v>0</x:v>
      </x:c>
      <x:c r="G18" s="37" t="n">
        <x:f>IF(A18="","",SUMIFS('Entries'!$S$6:$S$505,'Entries'!$Q$6:$Q$505,A18,'Entries'!$B$6:$B$505,"&lt;="&amp;'Settings'!$B$7))</x:f>
        <x:v>0</x:v>
      </x:c>
      <x:c r="H18" s="37" t="n">
        <x:f>IF(A18="","",SUMIFS('Entries'!$S$6:$S$505,'Entries'!$R$6:$R$505,A18,'Entries'!$B$6:$B$505,"&lt;="&amp;'Settings'!$B$7))</x:f>
        <x:v>0</x:v>
      </x:c>
      <x:c r="I18" s="37" t="n">
        <x:f>IF(A18="","",(G18-H18)*C18)</x:f>
        <x:v>0</x:v>
      </x:c>
    </x:row>
    <x:row r="19" ht="23" customHeight="1">
      <x:c r="A19" s="36" t="str">
        <x:v>Tax payable</x:v>
      </x:c>
      <x:c r="B19" s="36" t="str">
        <x:v>Liability</x:v>
      </x:c>
      <x:c r="C19" s="36" t="n">
        <x:v>-1</x:v>
      </x:c>
      <x:c r="D19" s="37" t="n">
        <x:f>IF(A19="","",SUMIFS('Entries'!$S$6:$S$505,'Entries'!$Q$6:$Q$505,A19,'Entries'!$B$6:$B$505,"&gt;="&amp;'Settings'!$B$6,'Entries'!$B$6:$B$505,"&lt;="&amp;'Settings'!$B$7))</x:f>
        <x:v>0</x:v>
      </x:c>
      <x:c r="E19" s="37" t="n">
        <x:f>IF(A19="","",SUMIFS('Entries'!$S$6:$S$505,'Entries'!$R$6:$R$505,A19,'Entries'!$B$6:$B$505,"&gt;="&amp;'Settings'!$B$6,'Entries'!$B$6:$B$505,"&lt;="&amp;'Settings'!$B$7))</x:f>
        <x:v>0</x:v>
      </x:c>
      <x:c r="F19" s="37" t="n">
        <x:f>IF(A19="","",(D19-E19)*C19)</x:f>
        <x:v>0</x:v>
      </x:c>
      <x:c r="G19" s="37" t="n">
        <x:f>IF(A19="","",SUMIFS('Entries'!$S$6:$S$505,'Entries'!$Q$6:$Q$505,A19,'Entries'!$B$6:$B$505,"&lt;="&amp;'Settings'!$B$7))</x:f>
        <x:v>0</x:v>
      </x:c>
      <x:c r="H19" s="37" t="n">
        <x:f>IF(A19="","",SUMIFS('Entries'!$S$6:$S$505,'Entries'!$R$6:$R$505,A19,'Entries'!$B$6:$B$505,"&lt;="&amp;'Settings'!$B$7))</x:f>
        <x:v>0</x:v>
      </x:c>
      <x:c r="I19" s="37" t="n">
        <x:f>IF(A19="","",(G19-H19)*C19)</x:f>
        <x:v>0</x:v>
      </x:c>
    </x:row>
    <x:row r="20" ht="23" customHeight="1">
      <x:c r="A20" s="36" t="str">
        <x:v>External loans</x:v>
      </x:c>
      <x:c r="B20" s="36" t="str">
        <x:v>Liability</x:v>
      </x:c>
      <x:c r="C20" s="36" t="n">
        <x:v>-1</x:v>
      </x:c>
      <x:c r="D20" s="37" t="n">
        <x:f>IF(A20="","",SUMIFS('Entries'!$S$6:$S$505,'Entries'!$Q$6:$Q$505,A20,'Entries'!$B$6:$B$505,"&gt;="&amp;'Settings'!$B$6,'Entries'!$B$6:$B$505,"&lt;="&amp;'Settings'!$B$7))</x:f>
        <x:v>0</x:v>
      </x:c>
      <x:c r="E20" s="37" t="n">
        <x:f>IF(A20="","",SUMIFS('Entries'!$S$6:$S$505,'Entries'!$R$6:$R$505,A20,'Entries'!$B$6:$B$505,"&gt;="&amp;'Settings'!$B$6,'Entries'!$B$6:$B$505,"&lt;="&amp;'Settings'!$B$7))</x:f>
        <x:v>0</x:v>
      </x:c>
      <x:c r="F20" s="37" t="n">
        <x:f>IF(A20="","",(D20-E20)*C20)</x:f>
        <x:v>0</x:v>
      </x:c>
      <x:c r="G20" s="37" t="n">
        <x:f>IF(A20="","",SUMIFS('Entries'!$S$6:$S$505,'Entries'!$Q$6:$Q$505,A20,'Entries'!$B$6:$B$505,"&lt;="&amp;'Settings'!$B$7))</x:f>
        <x:v>0</x:v>
      </x:c>
      <x:c r="H20" s="37" t="n">
        <x:f>IF(A20="","",SUMIFS('Entries'!$S$6:$S$505,'Entries'!$R$6:$R$505,A20,'Entries'!$B$6:$B$505,"&lt;="&amp;'Settings'!$B$7))</x:f>
        <x:v>0</x:v>
      </x:c>
      <x:c r="I20" s="37" t="n">
        <x:f>IF(A20="","",(G20-H20)*C20)</x:f>
        <x:v>0</x:v>
      </x:c>
    </x:row>
    <x:row r="21" ht="23" customHeight="1">
      <x:c r="A21" s="36" t="str">
        <x:v>Capital - Shawon</x:v>
      </x:c>
      <x:c r="B21" s="36" t="str">
        <x:v>Capital</x:v>
      </x:c>
      <x:c r="C21" s="36" t="n">
        <x:v>-1</x:v>
      </x:c>
      <x:c r="D21" s="37" t="n">
        <x:f>IF(A21="","",SUMIFS('Entries'!$S$6:$S$505,'Entries'!$Q$6:$Q$505,A21,'Entries'!$B$6:$B$505,"&gt;="&amp;'Settings'!$B$6,'Entries'!$B$6:$B$505,"&lt;="&amp;'Settings'!$B$7))</x:f>
        <x:v>0</x:v>
      </x:c>
      <x:c r="E21" s="37" t="n">
        <x:f>IF(A21="","",SUMIFS('Entries'!$S$6:$S$505,'Entries'!$R$6:$R$505,A21,'Entries'!$B$6:$B$505,"&gt;="&amp;'Settings'!$B$6,'Entries'!$B$6:$B$505,"&lt;="&amp;'Settings'!$B$7))</x:f>
        <x:v>0</x:v>
      </x:c>
      <x:c r="F21" s="37" t="n">
        <x:f>IF(A21="","",(D21-E21)*C21)</x:f>
        <x:v>0</x:v>
      </x:c>
      <x:c r="G21" s="37" t="n">
        <x:f>IF(A21="","",SUMIFS('Entries'!$S$6:$S$505,'Entries'!$Q$6:$Q$505,A21,'Entries'!$B$6:$B$505,"&lt;="&amp;'Settings'!$B$7))</x:f>
        <x:v>0</x:v>
      </x:c>
      <x:c r="H21" s="37" t="n">
        <x:f>IF(A21="","",SUMIFS('Entries'!$S$6:$S$505,'Entries'!$R$6:$R$505,A21,'Entries'!$B$6:$B$505,"&lt;="&amp;'Settings'!$B$7))</x:f>
        <x:v>0</x:v>
      </x:c>
      <x:c r="I21" s="37" t="n">
        <x:f>IF(A21="","",(G21-H21)*C21)</x:f>
        <x:v>0</x:v>
      </x:c>
    </x:row>
    <x:row r="22" ht="23" customHeight="1">
      <x:c r="A22" s="36" t="str">
        <x:v>Due to - Shawon</x:v>
      </x:c>
      <x:c r="B22" s="36" t="str">
        <x:v>Liability</x:v>
      </x:c>
      <x:c r="C22" s="36" t="n">
        <x:v>-1</x:v>
      </x:c>
      <x:c r="D22" s="37" t="n">
        <x:f>IF(A22="","",SUMIFS('Entries'!$S$6:$S$505,'Entries'!$Q$6:$Q$505,A22,'Entries'!$B$6:$B$505,"&gt;="&amp;'Settings'!$B$6,'Entries'!$B$6:$B$505,"&lt;="&amp;'Settings'!$B$7))</x:f>
        <x:v>0</x:v>
      </x:c>
      <x:c r="E22" s="37" t="n">
        <x:f>IF(A22="","",SUMIFS('Entries'!$S$6:$S$505,'Entries'!$R$6:$R$505,A22,'Entries'!$B$6:$B$505,"&gt;="&amp;'Settings'!$B$6,'Entries'!$B$6:$B$505,"&lt;="&amp;'Settings'!$B$7))</x:f>
        <x:v>0</x:v>
      </x:c>
      <x:c r="F22" s="37" t="n">
        <x:f>IF(A22="","",(D22-E22)*C22)</x:f>
        <x:v>0</x:v>
      </x:c>
      <x:c r="G22" s="37" t="n">
        <x:f>IF(A22="","",SUMIFS('Entries'!$S$6:$S$505,'Entries'!$Q$6:$Q$505,A22,'Entries'!$B$6:$B$505,"&lt;="&amp;'Settings'!$B$7))</x:f>
        <x:v>0</x:v>
      </x:c>
      <x:c r="H22" s="37" t="n">
        <x:f>IF(A22="","",SUMIFS('Entries'!$S$6:$S$505,'Entries'!$R$6:$R$505,A22,'Entries'!$B$6:$B$505,"&lt;="&amp;'Settings'!$B$7))</x:f>
        <x:v>0</x:v>
      </x:c>
      <x:c r="I22" s="37" t="n">
        <x:f>IF(A22="","",(G22-H22)*C22)</x:f>
        <x:v>0</x:v>
      </x:c>
    </x:row>
    <x:row r="23" ht="23" customHeight="1">
      <x:c r="A23" s="36" t="str">
        <x:v>Drawings - Shawon</x:v>
      </x:c>
      <x:c r="B23" s="36" t="str">
        <x:v>Drawings</x:v>
      </x:c>
      <x:c r="C23" s="36" t="n">
        <x:v>1</x:v>
      </x:c>
      <x:c r="D23" s="37" t="n">
        <x:f>IF(A23="","",SUMIFS('Entries'!$S$6:$S$505,'Entries'!$Q$6:$Q$505,A23,'Entries'!$B$6:$B$505,"&gt;="&amp;'Settings'!$B$6,'Entries'!$B$6:$B$505,"&lt;="&amp;'Settings'!$B$7))</x:f>
        <x:v>0</x:v>
      </x:c>
      <x:c r="E23" s="37" t="n">
        <x:f>IF(A23="","",SUMIFS('Entries'!$S$6:$S$505,'Entries'!$R$6:$R$505,A23,'Entries'!$B$6:$B$505,"&gt;="&amp;'Settings'!$B$6,'Entries'!$B$6:$B$505,"&lt;="&amp;'Settings'!$B$7))</x:f>
        <x:v>0</x:v>
      </x:c>
      <x:c r="F23" s="37" t="n">
        <x:f>IF(A23="","",(D23-E23)*C23)</x:f>
        <x:v>0</x:v>
      </x:c>
      <x:c r="G23" s="37" t="n">
        <x:f>IF(A23="","",SUMIFS('Entries'!$S$6:$S$505,'Entries'!$Q$6:$Q$505,A23,'Entries'!$B$6:$B$505,"&lt;="&amp;'Settings'!$B$7))</x:f>
        <x:v>0</x:v>
      </x:c>
      <x:c r="H23" s="37" t="n">
        <x:f>IF(A23="","",SUMIFS('Entries'!$S$6:$S$505,'Entries'!$R$6:$R$505,A23,'Entries'!$B$6:$B$505,"&lt;="&amp;'Settings'!$B$7))</x:f>
        <x:v>0</x:v>
      </x:c>
      <x:c r="I23" s="37" t="n">
        <x:f>IF(A23="","",(G23-H23)*C23)</x:f>
        <x:v>0</x:v>
      </x:c>
    </x:row>
    <x:row r="24" ht="23" customHeight="1">
      <x:c r="A24" s="36" t="str">
        <x:v>Capital - Rafi</x:v>
      </x:c>
      <x:c r="B24" s="36" t="str">
        <x:v>Capital</x:v>
      </x:c>
      <x:c r="C24" s="36" t="n">
        <x:v>-1</x:v>
      </x:c>
      <x:c r="D24" s="37" t="n">
        <x:f>IF(A24="","",SUMIFS('Entries'!$S$6:$S$505,'Entries'!$Q$6:$Q$505,A24,'Entries'!$B$6:$B$505,"&gt;="&amp;'Settings'!$B$6,'Entries'!$B$6:$B$505,"&lt;="&amp;'Settings'!$B$7))</x:f>
        <x:v>0</x:v>
      </x:c>
      <x:c r="E24" s="37" t="n">
        <x:f>IF(A24="","",SUMIFS('Entries'!$S$6:$S$505,'Entries'!$R$6:$R$505,A24,'Entries'!$B$6:$B$505,"&gt;="&amp;'Settings'!$B$6,'Entries'!$B$6:$B$505,"&lt;="&amp;'Settings'!$B$7))</x:f>
        <x:v>0</x:v>
      </x:c>
      <x:c r="F24" s="37" t="n">
        <x:f>IF(A24="","",(D24-E24)*C24)</x:f>
        <x:v>0</x:v>
      </x:c>
      <x:c r="G24" s="37" t="n">
        <x:f>IF(A24="","",SUMIFS('Entries'!$S$6:$S$505,'Entries'!$Q$6:$Q$505,A24,'Entries'!$B$6:$B$505,"&lt;="&amp;'Settings'!$B$7))</x:f>
        <x:v>0</x:v>
      </x:c>
      <x:c r="H24" s="37" t="n">
        <x:f>IF(A24="","",SUMIFS('Entries'!$S$6:$S$505,'Entries'!$R$6:$R$505,A24,'Entries'!$B$6:$B$505,"&lt;="&amp;'Settings'!$B$7))</x:f>
        <x:v>0</x:v>
      </x:c>
      <x:c r="I24" s="37" t="n">
        <x:f>IF(A24="","",(G24-H24)*C24)</x:f>
        <x:v>0</x:v>
      </x:c>
    </x:row>
    <x:row r="25" ht="23" customHeight="1">
      <x:c r="A25" s="36" t="str">
        <x:v>Due to - Rafi</x:v>
      </x:c>
      <x:c r="B25" s="36" t="str">
        <x:v>Liability</x:v>
      </x:c>
      <x:c r="C25" s="36" t="n">
        <x:v>-1</x:v>
      </x:c>
      <x:c r="D25" s="37" t="n">
        <x:f>IF(A25="","",SUMIFS('Entries'!$S$6:$S$505,'Entries'!$Q$6:$Q$505,A25,'Entries'!$B$6:$B$505,"&gt;="&amp;'Settings'!$B$6,'Entries'!$B$6:$B$505,"&lt;="&amp;'Settings'!$B$7))</x:f>
        <x:v>0</x:v>
      </x:c>
      <x:c r="E25" s="37" t="n">
        <x:f>IF(A25="","",SUMIFS('Entries'!$S$6:$S$505,'Entries'!$R$6:$R$505,A25,'Entries'!$B$6:$B$505,"&gt;="&amp;'Settings'!$B$6,'Entries'!$B$6:$B$505,"&lt;="&amp;'Settings'!$B$7))</x:f>
        <x:v>0</x:v>
      </x:c>
      <x:c r="F25" s="37" t="n">
        <x:f>IF(A25="","",(D25-E25)*C25)</x:f>
        <x:v>0</x:v>
      </x:c>
      <x:c r="G25" s="37" t="n">
        <x:f>IF(A25="","",SUMIFS('Entries'!$S$6:$S$505,'Entries'!$Q$6:$Q$505,A25,'Entries'!$B$6:$B$505,"&lt;="&amp;'Settings'!$B$7))</x:f>
        <x:v>0</x:v>
      </x:c>
      <x:c r="H25" s="37" t="n">
        <x:f>IF(A25="","",SUMIFS('Entries'!$S$6:$S$505,'Entries'!$R$6:$R$505,A25,'Entries'!$B$6:$B$505,"&lt;="&amp;'Settings'!$B$7))</x:f>
        <x:v>0</x:v>
      </x:c>
      <x:c r="I25" s="37" t="n">
        <x:f>IF(A25="","",(G25-H25)*C25)</x:f>
        <x:v>0</x:v>
      </x:c>
    </x:row>
    <x:row r="26" ht="23" customHeight="1">
      <x:c r="A26" s="36" t="str">
        <x:v>Drawings - Rafi</x:v>
      </x:c>
      <x:c r="B26" s="36" t="str">
        <x:v>Drawings</x:v>
      </x:c>
      <x:c r="C26" s="36" t="n">
        <x:v>1</x:v>
      </x:c>
      <x:c r="D26" s="37" t="n">
        <x:f>IF(A26="","",SUMIFS('Entries'!$S$6:$S$505,'Entries'!$Q$6:$Q$505,A26,'Entries'!$B$6:$B$505,"&gt;="&amp;'Settings'!$B$6,'Entries'!$B$6:$B$505,"&lt;="&amp;'Settings'!$B$7))</x:f>
        <x:v>0</x:v>
      </x:c>
      <x:c r="E26" s="37" t="n">
        <x:f>IF(A26="","",SUMIFS('Entries'!$S$6:$S$505,'Entries'!$R$6:$R$505,A26,'Entries'!$B$6:$B$505,"&gt;="&amp;'Settings'!$B$6,'Entries'!$B$6:$B$505,"&lt;="&amp;'Settings'!$B$7))</x:f>
        <x:v>0</x:v>
      </x:c>
      <x:c r="F26" s="37" t="n">
        <x:f>IF(A26="","",(D26-E26)*C26)</x:f>
        <x:v>0</x:v>
      </x:c>
      <x:c r="G26" s="37" t="n">
        <x:f>IF(A26="","",SUMIFS('Entries'!$S$6:$S$505,'Entries'!$Q$6:$Q$505,A26,'Entries'!$B$6:$B$505,"&lt;="&amp;'Settings'!$B$7))</x:f>
        <x:v>0</x:v>
      </x:c>
      <x:c r="H26" s="37" t="n">
        <x:f>IF(A26="","",SUMIFS('Entries'!$S$6:$S$505,'Entries'!$R$6:$R$505,A26,'Entries'!$B$6:$B$505,"&lt;="&amp;'Settings'!$B$7))</x:f>
        <x:v>0</x:v>
      </x:c>
      <x:c r="I26" s="37" t="n">
        <x:f>IF(A26="","",(G26-H26)*C26)</x:f>
        <x:v>0</x:v>
      </x:c>
    </x:row>
    <x:row r="27" ht="23" customHeight="1">
      <x:c r="A27" s="36" t="str">
        <x:v>Capital - Tousif</x:v>
      </x:c>
      <x:c r="B27" s="36" t="str">
        <x:v>Capital</x:v>
      </x:c>
      <x:c r="C27" s="36" t="n">
        <x:v>-1</x:v>
      </x:c>
      <x:c r="D27" s="37" t="n">
        <x:f>IF(A27="","",SUMIFS('Entries'!$S$6:$S$505,'Entries'!$Q$6:$Q$505,A27,'Entries'!$B$6:$B$505,"&gt;="&amp;'Settings'!$B$6,'Entries'!$B$6:$B$505,"&lt;="&amp;'Settings'!$B$7))</x:f>
        <x:v>0</x:v>
      </x:c>
      <x:c r="E27" s="37" t="n">
        <x:f>IF(A27="","",SUMIFS('Entries'!$S$6:$S$505,'Entries'!$R$6:$R$505,A27,'Entries'!$B$6:$B$505,"&gt;="&amp;'Settings'!$B$6,'Entries'!$B$6:$B$505,"&lt;="&amp;'Settings'!$B$7))</x:f>
        <x:v>0</x:v>
      </x:c>
      <x:c r="F27" s="37" t="n">
        <x:f>IF(A27="","",(D27-E27)*C27)</x:f>
        <x:v>0</x:v>
      </x:c>
      <x:c r="G27" s="37" t="n">
        <x:f>IF(A27="","",SUMIFS('Entries'!$S$6:$S$505,'Entries'!$Q$6:$Q$505,A27,'Entries'!$B$6:$B$505,"&lt;="&amp;'Settings'!$B$7))</x:f>
        <x:v>0</x:v>
      </x:c>
      <x:c r="H27" s="37" t="n">
        <x:f>IF(A27="","",SUMIFS('Entries'!$S$6:$S$505,'Entries'!$R$6:$R$505,A27,'Entries'!$B$6:$B$505,"&lt;="&amp;'Settings'!$B$7))</x:f>
        <x:v>0</x:v>
      </x:c>
      <x:c r="I27" s="37" t="n">
        <x:f>IF(A27="","",(G27-H27)*C27)</x:f>
        <x:v>0</x:v>
      </x:c>
    </x:row>
    <x:row r="28" ht="23" customHeight="1">
      <x:c r="A28" s="36" t="str">
        <x:v>Due to - Tousif</x:v>
      </x:c>
      <x:c r="B28" s="36" t="str">
        <x:v>Liability</x:v>
      </x:c>
      <x:c r="C28" s="36" t="n">
        <x:v>-1</x:v>
      </x:c>
      <x:c r="D28" s="37" t="n">
        <x:f>IF(A28="","",SUMIFS('Entries'!$S$6:$S$505,'Entries'!$Q$6:$Q$505,A28,'Entries'!$B$6:$B$505,"&gt;="&amp;'Settings'!$B$6,'Entries'!$B$6:$B$505,"&lt;="&amp;'Settings'!$B$7))</x:f>
        <x:v>0</x:v>
      </x:c>
      <x:c r="E28" s="37" t="n">
        <x:f>IF(A28="","",SUMIFS('Entries'!$S$6:$S$505,'Entries'!$R$6:$R$505,A28,'Entries'!$B$6:$B$505,"&gt;="&amp;'Settings'!$B$6,'Entries'!$B$6:$B$505,"&lt;="&amp;'Settings'!$B$7))</x:f>
        <x:v>0</x:v>
      </x:c>
      <x:c r="F28" s="37" t="n">
        <x:f>IF(A28="","",(D28-E28)*C28)</x:f>
        <x:v>0</x:v>
      </x:c>
      <x:c r="G28" s="37" t="n">
        <x:f>IF(A28="","",SUMIFS('Entries'!$S$6:$S$505,'Entries'!$Q$6:$Q$505,A28,'Entries'!$B$6:$B$505,"&lt;="&amp;'Settings'!$B$7))</x:f>
        <x:v>0</x:v>
      </x:c>
      <x:c r="H28" s="37" t="n">
        <x:f>IF(A28="","",SUMIFS('Entries'!$S$6:$S$505,'Entries'!$R$6:$R$505,A28,'Entries'!$B$6:$B$505,"&lt;="&amp;'Settings'!$B$7))</x:f>
        <x:v>0</x:v>
      </x:c>
      <x:c r="I28" s="37" t="n">
        <x:f>IF(A28="","",(G28-H28)*C28)</x:f>
        <x:v>0</x:v>
      </x:c>
    </x:row>
    <x:row r="29" ht="23" customHeight="1">
      <x:c r="A29" s="36" t="str">
        <x:v>Drawings - Tousif</x:v>
      </x:c>
      <x:c r="B29" s="36" t="str">
        <x:v>Drawings</x:v>
      </x:c>
      <x:c r="C29" s="36" t="n">
        <x:v>1</x:v>
      </x:c>
      <x:c r="D29" s="37" t="n">
        <x:f>IF(A29="","",SUMIFS('Entries'!$S$6:$S$505,'Entries'!$Q$6:$Q$505,A29,'Entries'!$B$6:$B$505,"&gt;="&amp;'Settings'!$B$6,'Entries'!$B$6:$B$505,"&lt;="&amp;'Settings'!$B$7))</x:f>
        <x:v>0</x:v>
      </x:c>
      <x:c r="E29" s="37" t="n">
        <x:f>IF(A29="","",SUMIFS('Entries'!$S$6:$S$505,'Entries'!$R$6:$R$505,A29,'Entries'!$B$6:$B$505,"&gt;="&amp;'Settings'!$B$6,'Entries'!$B$6:$B$505,"&lt;="&amp;'Settings'!$B$7))</x:f>
        <x:v>0</x:v>
      </x:c>
      <x:c r="F29" s="37" t="n">
        <x:f>IF(A29="","",(D29-E29)*C29)</x:f>
        <x:v>0</x:v>
      </x:c>
      <x:c r="G29" s="37" t="n">
        <x:f>IF(A29="","",SUMIFS('Entries'!$S$6:$S$505,'Entries'!$Q$6:$Q$505,A29,'Entries'!$B$6:$B$505,"&lt;="&amp;'Settings'!$B$7))</x:f>
        <x:v>0</x:v>
      </x:c>
      <x:c r="H29" s="37" t="n">
        <x:f>IF(A29="","",SUMIFS('Entries'!$S$6:$S$505,'Entries'!$R$6:$R$505,A29,'Entries'!$B$6:$B$505,"&lt;="&amp;'Settings'!$B$7))</x:f>
        <x:v>0</x:v>
      </x:c>
      <x:c r="I29" s="37" t="n">
        <x:f>IF(A29="","",(G29-H29)*C29)</x:f>
        <x:v>0</x:v>
      </x:c>
    </x:row>
    <x:row r="30" ht="23" customHeight="1">
      <x:c r="A30" s="36" t="str">
        <x:v>Capital - Midhat</x:v>
      </x:c>
      <x:c r="B30" s="36" t="str">
        <x:v>Capital</x:v>
      </x:c>
      <x:c r="C30" s="36" t="n">
        <x:v>-1</x:v>
      </x:c>
      <x:c r="D30" s="37" t="n">
        <x:f>IF(A30="","",SUMIFS('Entries'!$S$6:$S$505,'Entries'!$Q$6:$Q$505,A30,'Entries'!$B$6:$B$505,"&gt;="&amp;'Settings'!$B$6,'Entries'!$B$6:$B$505,"&lt;="&amp;'Settings'!$B$7))</x:f>
        <x:v>0</x:v>
      </x:c>
      <x:c r="E30" s="37" t="n">
        <x:f>IF(A30="","",SUMIFS('Entries'!$S$6:$S$505,'Entries'!$R$6:$R$505,A30,'Entries'!$B$6:$B$505,"&gt;="&amp;'Settings'!$B$6,'Entries'!$B$6:$B$505,"&lt;="&amp;'Settings'!$B$7))</x:f>
        <x:v>0</x:v>
      </x:c>
      <x:c r="F30" s="37" t="n">
        <x:f>IF(A30="","",(D30-E30)*C30)</x:f>
        <x:v>0</x:v>
      </x:c>
      <x:c r="G30" s="37" t="n">
        <x:f>IF(A30="","",SUMIFS('Entries'!$S$6:$S$505,'Entries'!$Q$6:$Q$505,A30,'Entries'!$B$6:$B$505,"&lt;="&amp;'Settings'!$B$7))</x:f>
        <x:v>0</x:v>
      </x:c>
      <x:c r="H30" s="37" t="n">
        <x:f>IF(A30="","",SUMIFS('Entries'!$S$6:$S$505,'Entries'!$R$6:$R$505,A30,'Entries'!$B$6:$B$505,"&lt;="&amp;'Settings'!$B$7))</x:f>
        <x:v>0</x:v>
      </x:c>
      <x:c r="I30" s="37" t="n">
        <x:f>IF(A30="","",(G30-H30)*C30)</x:f>
        <x:v>0</x:v>
      </x:c>
    </x:row>
    <x:row r="31" ht="23" customHeight="1">
      <x:c r="A31" s="36" t="str">
        <x:v>Due to - Midhat</x:v>
      </x:c>
      <x:c r="B31" s="36" t="str">
        <x:v>Liability</x:v>
      </x:c>
      <x:c r="C31" s="36" t="n">
        <x:v>-1</x:v>
      </x:c>
      <x:c r="D31" s="37" t="n">
        <x:f>IF(A31="","",SUMIFS('Entries'!$S$6:$S$505,'Entries'!$Q$6:$Q$505,A31,'Entries'!$B$6:$B$505,"&gt;="&amp;'Settings'!$B$6,'Entries'!$B$6:$B$505,"&lt;="&amp;'Settings'!$B$7))</x:f>
        <x:v>0</x:v>
      </x:c>
      <x:c r="E31" s="37" t="n">
        <x:f>IF(A31="","",SUMIFS('Entries'!$S$6:$S$505,'Entries'!$R$6:$R$505,A31,'Entries'!$B$6:$B$505,"&gt;="&amp;'Settings'!$B$6,'Entries'!$B$6:$B$505,"&lt;="&amp;'Settings'!$B$7))</x:f>
        <x:v>0</x:v>
      </x:c>
      <x:c r="F31" s="37" t="n">
        <x:f>IF(A31="","",(D31-E31)*C31)</x:f>
        <x:v>0</x:v>
      </x:c>
      <x:c r="G31" s="37" t="n">
        <x:f>IF(A31="","",SUMIFS('Entries'!$S$6:$S$505,'Entries'!$Q$6:$Q$505,A31,'Entries'!$B$6:$B$505,"&lt;="&amp;'Settings'!$B$7))</x:f>
        <x:v>0</x:v>
      </x:c>
      <x:c r="H31" s="37" t="n">
        <x:f>IF(A31="","",SUMIFS('Entries'!$S$6:$S$505,'Entries'!$R$6:$R$505,A31,'Entries'!$B$6:$B$505,"&lt;="&amp;'Settings'!$B$7))</x:f>
        <x:v>0</x:v>
      </x:c>
      <x:c r="I31" s="37" t="n">
        <x:f>IF(A31="","",(G31-H31)*C31)</x:f>
        <x:v>0</x:v>
      </x:c>
    </x:row>
    <x:row r="32" ht="23" customHeight="1">
      <x:c r="A32" s="36" t="str">
        <x:v>Drawings - Midhat</x:v>
      </x:c>
      <x:c r="B32" s="36" t="str">
        <x:v>Drawings</x:v>
      </x:c>
      <x:c r="C32" s="36" t="n">
        <x:v>1</x:v>
      </x:c>
      <x:c r="D32" s="37" t="n">
        <x:f>IF(A32="","",SUMIFS('Entries'!$S$6:$S$505,'Entries'!$Q$6:$Q$505,A32,'Entries'!$B$6:$B$505,"&gt;="&amp;'Settings'!$B$6,'Entries'!$B$6:$B$505,"&lt;="&amp;'Settings'!$B$7))</x:f>
        <x:v>0</x:v>
      </x:c>
      <x:c r="E32" s="37" t="n">
        <x:f>IF(A32="","",SUMIFS('Entries'!$S$6:$S$505,'Entries'!$R$6:$R$505,A32,'Entries'!$B$6:$B$505,"&gt;="&amp;'Settings'!$B$6,'Entries'!$B$6:$B$505,"&lt;="&amp;'Settings'!$B$7))</x:f>
        <x:v>0</x:v>
      </x:c>
      <x:c r="F32" s="37" t="n">
        <x:f>IF(A32="","",(D32-E32)*C32)</x:f>
        <x:v>0</x:v>
      </x:c>
      <x:c r="G32" s="37" t="n">
        <x:f>IF(A32="","",SUMIFS('Entries'!$S$6:$S$505,'Entries'!$Q$6:$Q$505,A32,'Entries'!$B$6:$B$505,"&lt;="&amp;'Settings'!$B$7))</x:f>
        <x:v>0</x:v>
      </x:c>
      <x:c r="H32" s="37" t="n">
        <x:f>IF(A32="","",SUMIFS('Entries'!$S$6:$S$505,'Entries'!$R$6:$R$505,A32,'Entries'!$B$6:$B$505,"&lt;="&amp;'Settings'!$B$7))</x:f>
        <x:v>0</x:v>
      </x:c>
      <x:c r="I32" s="37" t="n">
        <x:f>IF(A32="","",(G32-H32)*C32)</x:f>
        <x:v>0</x:v>
      </x:c>
    </x:row>
    <x:row r="33" ht="23" customHeight="1">
      <x:c r="A33" s="36" t="str">
        <x:v>Capital - Mueid</x:v>
      </x:c>
      <x:c r="B33" s="36" t="str">
        <x:v>Capital</x:v>
      </x:c>
      <x:c r="C33" s="36" t="n">
        <x:v>-1</x:v>
      </x:c>
      <x:c r="D33" s="37" t="n">
        <x:f>IF(A33="","",SUMIFS('Entries'!$S$6:$S$505,'Entries'!$Q$6:$Q$505,A33,'Entries'!$B$6:$B$505,"&gt;="&amp;'Settings'!$B$6,'Entries'!$B$6:$B$505,"&lt;="&amp;'Settings'!$B$7))</x:f>
        <x:v>0</x:v>
      </x:c>
      <x:c r="E33" s="37" t="n">
        <x:f>IF(A33="","",SUMIFS('Entries'!$S$6:$S$505,'Entries'!$R$6:$R$505,A33,'Entries'!$B$6:$B$505,"&gt;="&amp;'Settings'!$B$6,'Entries'!$B$6:$B$505,"&lt;="&amp;'Settings'!$B$7))</x:f>
        <x:v>0</x:v>
      </x:c>
      <x:c r="F33" s="37" t="n">
        <x:f>IF(A33="","",(D33-E33)*C33)</x:f>
        <x:v>0</x:v>
      </x:c>
      <x:c r="G33" s="37" t="n">
        <x:f>IF(A33="","",SUMIFS('Entries'!$S$6:$S$505,'Entries'!$Q$6:$Q$505,A33,'Entries'!$B$6:$B$505,"&lt;="&amp;'Settings'!$B$7))</x:f>
        <x:v>0</x:v>
      </x:c>
      <x:c r="H33" s="37" t="n">
        <x:f>IF(A33="","",SUMIFS('Entries'!$S$6:$S$505,'Entries'!$R$6:$R$505,A33,'Entries'!$B$6:$B$505,"&lt;="&amp;'Settings'!$B$7))</x:f>
        <x:v>0</x:v>
      </x:c>
      <x:c r="I33" s="37" t="n">
        <x:f>IF(A33="","",(G33-H33)*C33)</x:f>
        <x:v>0</x:v>
      </x:c>
    </x:row>
    <x:row r="34" ht="23" customHeight="1">
      <x:c r="A34" s="36" t="str">
        <x:v>Due to - Mueid</x:v>
      </x:c>
      <x:c r="B34" s="36" t="str">
        <x:v>Liability</x:v>
      </x:c>
      <x:c r="C34" s="36" t="n">
        <x:v>-1</x:v>
      </x:c>
      <x:c r="D34" s="37" t="n">
        <x:f>IF(A34="","",SUMIFS('Entries'!$S$6:$S$505,'Entries'!$Q$6:$Q$505,A34,'Entries'!$B$6:$B$505,"&gt;="&amp;'Settings'!$B$6,'Entries'!$B$6:$B$505,"&lt;="&amp;'Settings'!$B$7))</x:f>
        <x:v>0</x:v>
      </x:c>
      <x:c r="E34" s="37" t="n">
        <x:f>IF(A34="","",SUMIFS('Entries'!$S$6:$S$505,'Entries'!$R$6:$R$505,A34,'Entries'!$B$6:$B$505,"&gt;="&amp;'Settings'!$B$6,'Entries'!$B$6:$B$505,"&lt;="&amp;'Settings'!$B$7))</x:f>
        <x:v>0</x:v>
      </x:c>
      <x:c r="F34" s="37" t="n">
        <x:f>IF(A34="","",(D34-E34)*C34)</x:f>
        <x:v>0</x:v>
      </x:c>
      <x:c r="G34" s="37" t="n">
        <x:f>IF(A34="","",SUMIFS('Entries'!$S$6:$S$505,'Entries'!$Q$6:$Q$505,A34,'Entries'!$B$6:$B$505,"&lt;="&amp;'Settings'!$B$7))</x:f>
        <x:v>0</x:v>
      </x:c>
      <x:c r="H34" s="37" t="n">
        <x:f>IF(A34="","",SUMIFS('Entries'!$S$6:$S$505,'Entries'!$R$6:$R$505,A34,'Entries'!$B$6:$B$505,"&lt;="&amp;'Settings'!$B$7))</x:f>
        <x:v>0</x:v>
      </x:c>
      <x:c r="I34" s="37" t="n">
        <x:f>IF(A34="","",(G34-H34)*C34)</x:f>
        <x:v>0</x:v>
      </x:c>
    </x:row>
    <x:row r="35" ht="23" customHeight="1">
      <x:c r="A35" s="36" t="str">
        <x:v>Drawings - Mueid</x:v>
      </x:c>
      <x:c r="B35" s="36" t="str">
        <x:v>Drawings</x:v>
      </x:c>
      <x:c r="C35" s="36" t="n">
        <x:v>1</x:v>
      </x:c>
      <x:c r="D35" s="37" t="n">
        <x:f>IF(A35="","",SUMIFS('Entries'!$S$6:$S$505,'Entries'!$Q$6:$Q$505,A35,'Entries'!$B$6:$B$505,"&gt;="&amp;'Settings'!$B$6,'Entries'!$B$6:$B$505,"&lt;="&amp;'Settings'!$B$7))</x:f>
        <x:v>0</x:v>
      </x:c>
      <x:c r="E35" s="37" t="n">
        <x:f>IF(A35="","",SUMIFS('Entries'!$S$6:$S$505,'Entries'!$R$6:$R$505,A35,'Entries'!$B$6:$B$505,"&gt;="&amp;'Settings'!$B$6,'Entries'!$B$6:$B$505,"&lt;="&amp;'Settings'!$B$7))</x:f>
        <x:v>0</x:v>
      </x:c>
      <x:c r="F35" s="37" t="n">
        <x:f>IF(A35="","",(D35-E35)*C35)</x:f>
        <x:v>0</x:v>
      </x:c>
      <x:c r="G35" s="37" t="n">
        <x:f>IF(A35="","",SUMIFS('Entries'!$S$6:$S$505,'Entries'!$Q$6:$Q$505,A35,'Entries'!$B$6:$B$505,"&lt;="&amp;'Settings'!$B$7))</x:f>
        <x:v>0</x:v>
      </x:c>
      <x:c r="H35" s="37" t="n">
        <x:f>IF(A35="","",SUMIFS('Entries'!$S$6:$S$505,'Entries'!$R$6:$R$505,A35,'Entries'!$B$6:$B$505,"&lt;="&amp;'Settings'!$B$7))</x:f>
        <x:v>0</x:v>
      </x:c>
      <x:c r="I35" s="37" t="n">
        <x:f>IF(A35="","",(G35-H35)*C35)</x:f>
        <x:v>0</x:v>
      </x:c>
    </x:row>
    <x:row r="36" ht="23" customHeight="1">
      <x:c r="A36" s="36" t="str">
        <x:v>Sales revenue</x:v>
      </x:c>
      <x:c r="B36" s="36" t="str">
        <x:v>Revenue</x:v>
      </x:c>
      <x:c r="C36" s="36" t="n">
        <x:v>-1</x:v>
      </x:c>
      <x:c r="D36" s="37" t="n">
        <x:f>IF(A36="","",SUMIFS('Entries'!$S$6:$S$505,'Entries'!$Q$6:$Q$505,A36,'Entries'!$B$6:$B$505,"&gt;="&amp;'Settings'!$B$6,'Entries'!$B$6:$B$505,"&lt;="&amp;'Settings'!$B$7))</x:f>
        <x:v>0</x:v>
      </x:c>
      <x:c r="E36" s="37" t="n">
        <x:f>IF(A36="","",SUMIFS('Entries'!$S$6:$S$505,'Entries'!$R$6:$R$505,A36,'Entries'!$B$6:$B$505,"&gt;="&amp;'Settings'!$B$6,'Entries'!$B$6:$B$505,"&lt;="&amp;'Settings'!$B$7))</x:f>
        <x:v>0</x:v>
      </x:c>
      <x:c r="F36" s="37" t="n">
        <x:f>IF(A36="","",(D36-E36)*C36)</x:f>
        <x:v>0</x:v>
      </x:c>
      <x:c r="G36" s="37" t="n">
        <x:f>IF(A36="","",SUMIFS('Entries'!$S$6:$S$505,'Entries'!$Q$6:$Q$505,A36,'Entries'!$B$6:$B$505,"&lt;="&amp;'Settings'!$B$7))</x:f>
        <x:v>0</x:v>
      </x:c>
      <x:c r="H36" s="37" t="n">
        <x:f>IF(A36="","",SUMIFS('Entries'!$S$6:$S$505,'Entries'!$R$6:$R$505,A36,'Entries'!$B$6:$B$505,"&lt;="&amp;'Settings'!$B$7))</x:f>
        <x:v>0</x:v>
      </x:c>
      <x:c r="I36" s="37" t="n">
        <x:f>IF(A36="","",(G36-H36)*C36)</x:f>
        <x:v>0</x:v>
      </x:c>
    </x:row>
    <x:row r="37" ht="23" customHeight="1">
      <x:c r="A37" s="36" t="str">
        <x:v>Sales returns</x:v>
      </x:c>
      <x:c r="B37" s="36" t="str">
        <x:v>Revenue</x:v>
      </x:c>
      <x:c r="C37" s="36" t="n">
        <x:v>-1</x:v>
      </x:c>
      <x:c r="D37" s="37" t="n">
        <x:f>IF(A37="","",SUMIFS('Entries'!$S$6:$S$505,'Entries'!$Q$6:$Q$505,A37,'Entries'!$B$6:$B$505,"&gt;="&amp;'Settings'!$B$6,'Entries'!$B$6:$B$505,"&lt;="&amp;'Settings'!$B$7))</x:f>
        <x:v>0</x:v>
      </x:c>
      <x:c r="E37" s="37" t="n">
        <x:f>IF(A37="","",SUMIFS('Entries'!$S$6:$S$505,'Entries'!$R$6:$R$505,A37,'Entries'!$B$6:$B$505,"&gt;="&amp;'Settings'!$B$6,'Entries'!$B$6:$B$505,"&lt;="&amp;'Settings'!$B$7))</x:f>
        <x:v>0</x:v>
      </x:c>
      <x:c r="F37" s="37" t="n">
        <x:f>IF(A37="","",(D37-E37)*C37)</x:f>
        <x:v>0</x:v>
      </x:c>
      <x:c r="G37" s="37" t="n">
        <x:f>IF(A37="","",SUMIFS('Entries'!$S$6:$S$505,'Entries'!$Q$6:$Q$505,A37,'Entries'!$B$6:$B$505,"&lt;="&amp;'Settings'!$B$7))</x:f>
        <x:v>0</x:v>
      </x:c>
      <x:c r="H37" s="37" t="n">
        <x:f>IF(A37="","",SUMIFS('Entries'!$S$6:$S$505,'Entries'!$R$6:$R$505,A37,'Entries'!$B$6:$B$505,"&lt;="&amp;'Settings'!$B$7))</x:f>
        <x:v>0</x:v>
      </x:c>
      <x:c r="I37" s="37" t="n">
        <x:f>IF(A37="","",(G37-H37)*C37)</x:f>
        <x:v>0</x:v>
      </x:c>
    </x:row>
    <x:row r="38" ht="23" customHeight="1">
      <x:c r="A38" s="36" t="str">
        <x:v>Delivery income</x:v>
      </x:c>
      <x:c r="B38" s="36" t="str">
        <x:v>Revenue</x:v>
      </x:c>
      <x:c r="C38" s="36" t="n">
        <x:v>-1</x:v>
      </x:c>
      <x:c r="D38" s="37" t="n">
        <x:f>IF(A38="","",SUMIFS('Entries'!$S$6:$S$505,'Entries'!$Q$6:$Q$505,A38,'Entries'!$B$6:$B$505,"&gt;="&amp;'Settings'!$B$6,'Entries'!$B$6:$B$505,"&lt;="&amp;'Settings'!$B$7))</x:f>
        <x:v>0</x:v>
      </x:c>
      <x:c r="E38" s="37" t="n">
        <x:f>IF(A38="","",SUMIFS('Entries'!$S$6:$S$505,'Entries'!$R$6:$R$505,A38,'Entries'!$B$6:$B$505,"&gt;="&amp;'Settings'!$B$6,'Entries'!$B$6:$B$505,"&lt;="&amp;'Settings'!$B$7))</x:f>
        <x:v>0</x:v>
      </x:c>
      <x:c r="F38" s="37" t="n">
        <x:f>IF(A38="","",(D38-E38)*C38)</x:f>
        <x:v>0</x:v>
      </x:c>
      <x:c r="G38" s="37" t="n">
        <x:f>IF(A38="","",SUMIFS('Entries'!$S$6:$S$505,'Entries'!$Q$6:$Q$505,A38,'Entries'!$B$6:$B$505,"&lt;="&amp;'Settings'!$B$7))</x:f>
        <x:v>0</x:v>
      </x:c>
      <x:c r="H38" s="37" t="n">
        <x:f>IF(A38="","",SUMIFS('Entries'!$S$6:$S$505,'Entries'!$R$6:$R$505,A38,'Entries'!$B$6:$B$505,"&lt;="&amp;'Settings'!$B$7))</x:f>
        <x:v>0</x:v>
      </x:c>
      <x:c r="I38" s="37" t="n">
        <x:f>IF(A38="","",(G38-H38)*C38)</x:f>
        <x:v>0</x:v>
      </x:c>
    </x:row>
    <x:row r="39" ht="23" customHeight="1">
      <x:c r="A39" s="36" t="str">
        <x:v>Cost of goods sold</x:v>
      </x:c>
      <x:c r="B39" s="36" t="str">
        <x:v>COGS</x:v>
      </x:c>
      <x:c r="C39" s="36" t="n">
        <x:v>1</x:v>
      </x:c>
      <x:c r="D39" s="37" t="n">
        <x:f>IF(A39="","",SUMIFS('Entries'!$S$6:$S$505,'Entries'!$Q$6:$Q$505,A39,'Entries'!$B$6:$B$505,"&gt;="&amp;'Settings'!$B$6,'Entries'!$B$6:$B$505,"&lt;="&amp;'Settings'!$B$7))</x:f>
        <x:v>0</x:v>
      </x:c>
      <x:c r="E39" s="37" t="n">
        <x:f>IF(A39="","",SUMIFS('Entries'!$S$6:$S$505,'Entries'!$R$6:$R$505,A39,'Entries'!$B$6:$B$505,"&gt;="&amp;'Settings'!$B$6,'Entries'!$B$6:$B$505,"&lt;="&amp;'Settings'!$B$7))</x:f>
        <x:v>0</x:v>
      </x:c>
      <x:c r="F39" s="37" t="n">
        <x:f>IF(A39="","",(D39-E39)*C39)</x:f>
        <x:v>0</x:v>
      </x:c>
      <x:c r="G39" s="37" t="n">
        <x:f>IF(A39="","",SUMIFS('Entries'!$S$6:$S$505,'Entries'!$Q$6:$Q$505,A39,'Entries'!$B$6:$B$505,"&lt;="&amp;'Settings'!$B$7))</x:f>
        <x:v>0</x:v>
      </x:c>
      <x:c r="H39" s="37" t="n">
        <x:f>IF(A39="","",SUMIFS('Entries'!$S$6:$S$505,'Entries'!$R$6:$R$505,A39,'Entries'!$B$6:$B$505,"&lt;="&amp;'Settings'!$B$7))</x:f>
        <x:v>0</x:v>
      </x:c>
      <x:c r="I39" s="37" t="n">
        <x:f>IF(A39="","",(G39-H39)*C39)</x:f>
        <x:v>0</x:v>
      </x:c>
    </x:row>
    <x:row r="40" ht="23" customHeight="1">
      <x:c r="A40" s="36" t="str">
        <x:v>Advertising</x:v>
      </x:c>
      <x:c r="B40" s="36" t="str">
        <x:v>Expense</x:v>
      </x:c>
      <x:c r="C40" s="36" t="n">
        <x:v>1</x:v>
      </x:c>
      <x:c r="D40" s="37" t="n">
        <x:f>IF(A40="","",SUMIFS('Entries'!$S$6:$S$505,'Entries'!$Q$6:$Q$505,A40,'Entries'!$B$6:$B$505,"&gt;="&amp;'Settings'!$B$6,'Entries'!$B$6:$B$505,"&lt;="&amp;'Settings'!$B$7))</x:f>
        <x:v>0</x:v>
      </x:c>
      <x:c r="E40" s="37" t="n">
        <x:f>IF(A40="","",SUMIFS('Entries'!$S$6:$S$505,'Entries'!$R$6:$R$505,A40,'Entries'!$B$6:$B$505,"&gt;="&amp;'Settings'!$B$6,'Entries'!$B$6:$B$505,"&lt;="&amp;'Settings'!$B$7))</x:f>
        <x:v>0</x:v>
      </x:c>
      <x:c r="F40" s="37" t="n">
        <x:f>IF(A40="","",(D40-E40)*C40)</x:f>
        <x:v>0</x:v>
      </x:c>
      <x:c r="G40" s="37" t="n">
        <x:f>IF(A40="","",SUMIFS('Entries'!$S$6:$S$505,'Entries'!$Q$6:$Q$505,A40,'Entries'!$B$6:$B$505,"&lt;="&amp;'Settings'!$B$7))</x:f>
        <x:v>0</x:v>
      </x:c>
      <x:c r="H40" s="37" t="n">
        <x:f>IF(A40="","",SUMIFS('Entries'!$S$6:$S$505,'Entries'!$R$6:$R$505,A40,'Entries'!$B$6:$B$505,"&lt;="&amp;'Settings'!$B$7))</x:f>
        <x:v>0</x:v>
      </x:c>
      <x:c r="I40" s="37" t="n">
        <x:f>IF(A40="","",(G40-H40)*C40)</x:f>
        <x:v>0</x:v>
      </x:c>
    </x:row>
    <x:row r="41" ht="23" customHeight="1">
      <x:c r="A41" s="36" t="str">
        <x:v>Courier charges</x:v>
      </x:c>
      <x:c r="B41" s="36" t="str">
        <x:v>Expense</x:v>
      </x:c>
      <x:c r="C41" s="36" t="n">
        <x:v>1</x:v>
      </x:c>
      <x:c r="D41" s="37" t="n">
        <x:f>IF(A41="","",SUMIFS('Entries'!$S$6:$S$505,'Entries'!$Q$6:$Q$505,A41,'Entries'!$B$6:$B$505,"&gt;="&amp;'Settings'!$B$6,'Entries'!$B$6:$B$505,"&lt;="&amp;'Settings'!$B$7))</x:f>
        <x:v>0</x:v>
      </x:c>
      <x:c r="E41" s="37" t="n">
        <x:f>IF(A41="","",SUMIFS('Entries'!$S$6:$S$505,'Entries'!$R$6:$R$505,A41,'Entries'!$B$6:$B$505,"&gt;="&amp;'Settings'!$B$6,'Entries'!$B$6:$B$505,"&lt;="&amp;'Settings'!$B$7))</x:f>
        <x:v>0</x:v>
      </x:c>
      <x:c r="F41" s="37" t="n">
        <x:f>IF(A41="","",(D41-E41)*C41)</x:f>
        <x:v>0</x:v>
      </x:c>
      <x:c r="G41" s="37" t="n">
        <x:f>IF(A41="","",SUMIFS('Entries'!$S$6:$S$505,'Entries'!$Q$6:$Q$505,A41,'Entries'!$B$6:$B$505,"&lt;="&amp;'Settings'!$B$7))</x:f>
        <x:v>0</x:v>
      </x:c>
      <x:c r="H41" s="37" t="n">
        <x:f>IF(A41="","",SUMIFS('Entries'!$S$6:$S$505,'Entries'!$R$6:$R$505,A41,'Entries'!$B$6:$B$505,"&lt;="&amp;'Settings'!$B$7))</x:f>
        <x:v>0</x:v>
      </x:c>
      <x:c r="I41" s="37" t="n">
        <x:f>IF(A41="","",(G41-H41)*C41)</x:f>
        <x:v>0</x:v>
      </x:c>
    </x:row>
    <x:row r="42" ht="23" customHeight="1">
      <x:c r="A42" s="36" t="str">
        <x:v>Packaging expense</x:v>
      </x:c>
      <x:c r="B42" s="36" t="str">
        <x:v>Expense</x:v>
      </x:c>
      <x:c r="C42" s="36" t="n">
        <x:v>1</x:v>
      </x:c>
      <x:c r="D42" s="37" t="n">
        <x:f>IF(A42="","",SUMIFS('Entries'!$S$6:$S$505,'Entries'!$Q$6:$Q$505,A42,'Entries'!$B$6:$B$505,"&gt;="&amp;'Settings'!$B$6,'Entries'!$B$6:$B$505,"&lt;="&amp;'Settings'!$B$7))</x:f>
        <x:v>0</x:v>
      </x:c>
      <x:c r="E42" s="37" t="n">
        <x:f>IF(A42="","",SUMIFS('Entries'!$S$6:$S$505,'Entries'!$R$6:$R$505,A42,'Entries'!$B$6:$B$505,"&gt;="&amp;'Settings'!$B$6,'Entries'!$B$6:$B$505,"&lt;="&amp;'Settings'!$B$7))</x:f>
        <x:v>0</x:v>
      </x:c>
      <x:c r="F42" s="37" t="n">
        <x:f>IF(A42="","",(D42-E42)*C42)</x:f>
        <x:v>0</x:v>
      </x:c>
      <x:c r="G42" s="37" t="n">
        <x:f>IF(A42="","",SUMIFS('Entries'!$S$6:$S$505,'Entries'!$Q$6:$Q$505,A42,'Entries'!$B$6:$B$505,"&lt;="&amp;'Settings'!$B$7))</x:f>
        <x:v>0</x:v>
      </x:c>
      <x:c r="H42" s="37" t="n">
        <x:f>IF(A42="","",SUMIFS('Entries'!$S$6:$S$505,'Entries'!$R$6:$R$505,A42,'Entries'!$B$6:$B$505,"&lt;="&amp;'Settings'!$B$7))</x:f>
        <x:v>0</x:v>
      </x:c>
      <x:c r="I42" s="37" t="n">
        <x:f>IF(A42="","",(G42-H42)*C42)</x:f>
        <x:v>0</x:v>
      </x:c>
    </x:row>
    <x:row r="43" ht="23" customHeight="1">
      <x:c r="A43" s="36" t="str">
        <x:v>Website and software</x:v>
      </x:c>
      <x:c r="B43" s="36" t="str">
        <x:v>Expense</x:v>
      </x:c>
      <x:c r="C43" s="36" t="n">
        <x:v>1</x:v>
      </x:c>
      <x:c r="D43" s="37" t="n">
        <x:f>IF(A43="","",SUMIFS('Entries'!$S$6:$S$505,'Entries'!$Q$6:$Q$505,A43,'Entries'!$B$6:$B$505,"&gt;="&amp;'Settings'!$B$6,'Entries'!$B$6:$B$505,"&lt;="&amp;'Settings'!$B$7))</x:f>
        <x:v>0</x:v>
      </x:c>
      <x:c r="E43" s="37" t="n">
        <x:f>IF(A43="","",SUMIFS('Entries'!$S$6:$S$505,'Entries'!$R$6:$R$505,A43,'Entries'!$B$6:$B$505,"&gt;="&amp;'Settings'!$B$6,'Entries'!$B$6:$B$505,"&lt;="&amp;'Settings'!$B$7))</x:f>
        <x:v>0</x:v>
      </x:c>
      <x:c r="F43" s="37" t="n">
        <x:f>IF(A43="","",(D43-E43)*C43)</x:f>
        <x:v>0</x:v>
      </x:c>
      <x:c r="G43" s="37" t="n">
        <x:f>IF(A43="","",SUMIFS('Entries'!$S$6:$S$505,'Entries'!$Q$6:$Q$505,A43,'Entries'!$B$6:$B$505,"&lt;="&amp;'Settings'!$B$7))</x:f>
        <x:v>0</x:v>
      </x:c>
      <x:c r="H43" s="37" t="n">
        <x:f>IF(A43="","",SUMIFS('Entries'!$S$6:$S$505,'Entries'!$R$6:$R$505,A43,'Entries'!$B$6:$B$505,"&lt;="&amp;'Settings'!$B$7))</x:f>
        <x:v>0</x:v>
      </x:c>
      <x:c r="I43" s="37" t="n">
        <x:f>IF(A43="","",(G43-H43)*C43)</x:f>
        <x:v>0</x:v>
      </x:c>
    </x:row>
    <x:row r="44" ht="23" customHeight="1">
      <x:c r="A44" s="36" t="str">
        <x:v>Rent</x:v>
      </x:c>
      <x:c r="B44" s="36" t="str">
        <x:v>Expense</x:v>
      </x:c>
      <x:c r="C44" s="36" t="n">
        <x:v>1</x:v>
      </x:c>
      <x:c r="D44" s="37" t="n">
        <x:f>IF(A44="","",SUMIFS('Entries'!$S$6:$S$505,'Entries'!$Q$6:$Q$505,A44,'Entries'!$B$6:$B$505,"&gt;="&amp;'Settings'!$B$6,'Entries'!$B$6:$B$505,"&lt;="&amp;'Settings'!$B$7))</x:f>
        <x:v>0</x:v>
      </x:c>
      <x:c r="E44" s="37" t="n">
        <x:f>IF(A44="","",SUMIFS('Entries'!$S$6:$S$505,'Entries'!$R$6:$R$505,A44,'Entries'!$B$6:$B$505,"&gt;="&amp;'Settings'!$B$6,'Entries'!$B$6:$B$505,"&lt;="&amp;'Settings'!$B$7))</x:f>
        <x:v>0</x:v>
      </x:c>
      <x:c r="F44" s="37" t="n">
        <x:f>IF(A44="","",(D44-E44)*C44)</x:f>
        <x:v>0</x:v>
      </x:c>
      <x:c r="G44" s="37" t="n">
        <x:f>IF(A44="","",SUMIFS('Entries'!$S$6:$S$505,'Entries'!$Q$6:$Q$505,A44,'Entries'!$B$6:$B$505,"&lt;="&amp;'Settings'!$B$7))</x:f>
        <x:v>0</x:v>
      </x:c>
      <x:c r="H44" s="37" t="n">
        <x:f>IF(A44="","",SUMIFS('Entries'!$S$6:$S$505,'Entries'!$R$6:$R$505,A44,'Entries'!$B$6:$B$505,"&lt;="&amp;'Settings'!$B$7))</x:f>
        <x:v>0</x:v>
      </x:c>
      <x:c r="I44" s="37" t="n">
        <x:f>IF(A44="","",(G44-H44)*C44)</x:f>
        <x:v>0</x:v>
      </x:c>
    </x:row>
    <x:row r="45" ht="23" customHeight="1">
      <x:c r="A45" s="36" t="str">
        <x:v>Samples and design</x:v>
      </x:c>
      <x:c r="B45" s="36" t="str">
        <x:v>Expense</x:v>
      </x:c>
      <x:c r="C45" s="36" t="n">
        <x:v>1</x:v>
      </x:c>
      <x:c r="D45" s="37" t="n">
        <x:f>IF(A45="","",SUMIFS('Entries'!$S$6:$S$505,'Entries'!$Q$6:$Q$505,A45,'Entries'!$B$6:$B$505,"&gt;="&amp;'Settings'!$B$6,'Entries'!$B$6:$B$505,"&lt;="&amp;'Settings'!$B$7))</x:f>
        <x:v>0</x:v>
      </x:c>
      <x:c r="E45" s="37" t="n">
        <x:f>IF(A45="","",SUMIFS('Entries'!$S$6:$S$505,'Entries'!$R$6:$R$505,A45,'Entries'!$B$6:$B$505,"&gt;="&amp;'Settings'!$B$6,'Entries'!$B$6:$B$505,"&lt;="&amp;'Settings'!$B$7))</x:f>
        <x:v>0</x:v>
      </x:c>
      <x:c r="F45" s="37" t="n">
        <x:f>IF(A45="","",(D45-E45)*C45)</x:f>
        <x:v>0</x:v>
      </x:c>
      <x:c r="G45" s="37" t="n">
        <x:f>IF(A45="","",SUMIFS('Entries'!$S$6:$S$505,'Entries'!$Q$6:$Q$505,A45,'Entries'!$B$6:$B$505,"&lt;="&amp;'Settings'!$B$7))</x:f>
        <x:v>0</x:v>
      </x:c>
      <x:c r="H45" s="37" t="n">
        <x:f>IF(A45="","",SUMIFS('Entries'!$S$6:$S$505,'Entries'!$R$6:$R$505,A45,'Entries'!$B$6:$B$505,"&lt;="&amp;'Settings'!$B$7))</x:f>
        <x:v>0</x:v>
      </x:c>
      <x:c r="I45" s="37" t="n">
        <x:f>IF(A45="","",(G45-H45)*C45)</x:f>
        <x:v>0</x:v>
      </x:c>
    </x:row>
    <x:row r="46" ht="23" customHeight="1">
      <x:c r="A46" s="36" t="str">
        <x:v>Bank and payment fees</x:v>
      </x:c>
      <x:c r="B46" s="36" t="str">
        <x:v>Expense</x:v>
      </x:c>
      <x:c r="C46" s="36" t="n">
        <x:v>1</x:v>
      </x:c>
      <x:c r="D46" s="37" t="n">
        <x:f>IF(A46="","",SUMIFS('Entries'!$S$6:$S$505,'Entries'!$Q$6:$Q$505,A46,'Entries'!$B$6:$B$505,"&gt;="&amp;'Settings'!$B$6,'Entries'!$B$6:$B$505,"&lt;="&amp;'Settings'!$B$7))</x:f>
        <x:v>0</x:v>
      </x:c>
      <x:c r="E46" s="37" t="n">
        <x:f>IF(A46="","",SUMIFS('Entries'!$S$6:$S$505,'Entries'!$R$6:$R$505,A46,'Entries'!$B$6:$B$505,"&gt;="&amp;'Settings'!$B$6,'Entries'!$B$6:$B$505,"&lt;="&amp;'Settings'!$B$7))</x:f>
        <x:v>0</x:v>
      </x:c>
      <x:c r="F46" s="37" t="n">
        <x:f>IF(A46="","",(D46-E46)*C46)</x:f>
        <x:v>0</x:v>
      </x:c>
      <x:c r="G46" s="37" t="n">
        <x:f>IF(A46="","",SUMIFS('Entries'!$S$6:$S$505,'Entries'!$Q$6:$Q$505,A46,'Entries'!$B$6:$B$505,"&lt;="&amp;'Settings'!$B$7))</x:f>
        <x:v>0</x:v>
      </x:c>
      <x:c r="H46" s="37" t="n">
        <x:f>IF(A46="","",SUMIFS('Entries'!$S$6:$S$505,'Entries'!$R$6:$R$505,A46,'Entries'!$B$6:$B$505,"&lt;="&amp;'Settings'!$B$7))</x:f>
        <x:v>0</x:v>
      </x:c>
      <x:c r="I46" s="37" t="n">
        <x:f>IF(A46="","",(G46-H46)*C46)</x:f>
        <x:v>0</x:v>
      </x:c>
    </x:row>
    <x:row r="47" ht="23" customHeight="1">
      <x:c r="A47" s="36" t="str">
        <x:v>Inventory loss</x:v>
      </x:c>
      <x:c r="B47" s="36" t="str">
        <x:v>Expense</x:v>
      </x:c>
      <x:c r="C47" s="36" t="n">
        <x:v>1</x:v>
      </x:c>
      <x:c r="D47" s="37" t="n">
        <x:f>IF(A47="","",SUMIFS('Entries'!$S$6:$S$505,'Entries'!$Q$6:$Q$505,A47,'Entries'!$B$6:$B$505,"&gt;="&amp;'Settings'!$B$6,'Entries'!$B$6:$B$505,"&lt;="&amp;'Settings'!$B$7))</x:f>
        <x:v>0</x:v>
      </x:c>
      <x:c r="E47" s="37" t="n">
        <x:f>IF(A47="","",SUMIFS('Entries'!$S$6:$S$505,'Entries'!$R$6:$R$505,A47,'Entries'!$B$6:$B$505,"&gt;="&amp;'Settings'!$B$6,'Entries'!$B$6:$B$505,"&lt;="&amp;'Settings'!$B$7))</x:f>
        <x:v>0</x:v>
      </x:c>
      <x:c r="F47" s="37" t="n">
        <x:f>IF(A47="","",(D47-E47)*C47)</x:f>
        <x:v>0</x:v>
      </x:c>
      <x:c r="G47" s="37" t="n">
        <x:f>IF(A47="","",SUMIFS('Entries'!$S$6:$S$505,'Entries'!$Q$6:$Q$505,A47,'Entries'!$B$6:$B$505,"&lt;="&amp;'Settings'!$B$7))</x:f>
        <x:v>0</x:v>
      </x:c>
      <x:c r="H47" s="37" t="n">
        <x:f>IF(A47="","",SUMIFS('Entries'!$S$6:$S$505,'Entries'!$R$6:$R$505,A47,'Entries'!$B$6:$B$505,"&lt;="&amp;'Settings'!$B$7))</x:f>
        <x:v>0</x:v>
      </x:c>
      <x:c r="I47" s="37" t="n">
        <x:f>IF(A47="","",(G47-H47)*C47)</x:f>
        <x:v>0</x:v>
      </x:c>
    </x:row>
    <x:row r="48" ht="23" customHeight="1">
      <x:c r="A48" s="36" t="str">
        <x:v>Depreciation expense</x:v>
      </x:c>
      <x:c r="B48" s="36" t="str">
        <x:v>Expense</x:v>
      </x:c>
      <x:c r="C48" s="36" t="n">
        <x:v>1</x:v>
      </x:c>
      <x:c r="D48" s="37" t="n">
        <x:f>IF(A48="","",SUMIFS('Entries'!$S$6:$S$505,'Entries'!$Q$6:$Q$505,A48,'Entries'!$B$6:$B$505,"&gt;="&amp;'Settings'!$B$6,'Entries'!$B$6:$B$505,"&lt;="&amp;'Settings'!$B$7))</x:f>
        <x:v>0</x:v>
      </x:c>
      <x:c r="E48" s="37" t="n">
        <x:f>IF(A48="","",SUMIFS('Entries'!$S$6:$S$505,'Entries'!$R$6:$R$505,A48,'Entries'!$B$6:$B$505,"&gt;="&amp;'Settings'!$B$6,'Entries'!$B$6:$B$505,"&lt;="&amp;'Settings'!$B$7))</x:f>
        <x:v>0</x:v>
      </x:c>
      <x:c r="F48" s="37" t="n">
        <x:f>IF(A48="","",(D48-E48)*C48)</x:f>
        <x:v>0</x:v>
      </x:c>
      <x:c r="G48" s="37" t="n">
        <x:f>IF(A48="","",SUMIFS('Entries'!$S$6:$S$505,'Entries'!$Q$6:$Q$505,A48,'Entries'!$B$6:$B$505,"&lt;="&amp;'Settings'!$B$7))</x:f>
        <x:v>0</x:v>
      </x:c>
      <x:c r="H48" s="37" t="n">
        <x:f>IF(A48="","",SUMIFS('Entries'!$S$6:$S$505,'Entries'!$R$6:$R$505,A48,'Entries'!$B$6:$B$505,"&lt;="&amp;'Settings'!$B$7))</x:f>
        <x:v>0</x:v>
      </x:c>
      <x:c r="I48" s="37" t="n">
        <x:f>IF(A48="","",(G48-H48)*C48)</x:f>
        <x:v>0</x:v>
      </x:c>
    </x:row>
    <x:row r="49" ht="23" customHeight="1">
      <x:c r="A49" s="36" t="str">
        <x:v>Other expense</x:v>
      </x:c>
      <x:c r="B49" s="36" t="str">
        <x:v>Expense</x:v>
      </x:c>
      <x:c r="C49" s="36" t="n">
        <x:v>1</x:v>
      </x:c>
      <x:c r="D49" s="37" t="n">
        <x:f>IF(A49="","",SUMIFS('Entries'!$S$6:$S$505,'Entries'!$Q$6:$Q$505,A49,'Entries'!$B$6:$B$505,"&gt;="&amp;'Settings'!$B$6,'Entries'!$B$6:$B$505,"&lt;="&amp;'Settings'!$B$7))</x:f>
        <x:v>0</x:v>
      </x:c>
      <x:c r="E49" s="37" t="n">
        <x:f>IF(A49="","",SUMIFS('Entries'!$S$6:$S$505,'Entries'!$R$6:$R$505,A49,'Entries'!$B$6:$B$505,"&gt;="&amp;'Settings'!$B$6,'Entries'!$B$6:$B$505,"&lt;="&amp;'Settings'!$B$7))</x:f>
        <x:v>0</x:v>
      </x:c>
      <x:c r="F49" s="37" t="n">
        <x:f>IF(A49="","",(D49-E49)*C49)</x:f>
        <x:v>0</x:v>
      </x:c>
      <x:c r="G49" s="37" t="n">
        <x:f>IF(A49="","",SUMIFS('Entries'!$S$6:$S$505,'Entries'!$Q$6:$Q$505,A49,'Entries'!$B$6:$B$505,"&lt;="&amp;'Settings'!$B$7))</x:f>
        <x:v>0</x:v>
      </x:c>
      <x:c r="H49" s="37" t="n">
        <x:f>IF(A49="","",SUMIFS('Entries'!$S$6:$S$505,'Entries'!$R$6:$R$505,A49,'Entries'!$B$6:$B$505,"&lt;="&amp;'Settings'!$B$7))</x:f>
        <x:v>0</x:v>
      </x:c>
      <x:c r="I49" s="37" t="n">
        <x:f>IF(A49="","",(G49-H49)*C49)</x:f>
        <x:v>0</x:v>
      </x:c>
    </x:row>
    <x:row r="50" ht="23" customHeight="1">
      <x:c r="A50" s="36" t="str">
        <x:v>Tax expense</x:v>
      </x:c>
      <x:c r="B50" s="36" t="str">
        <x:v>Expense</x:v>
      </x:c>
      <x:c r="C50" s="36" t="n">
        <x:v>1</x:v>
      </x:c>
      <x:c r="D50" s="37" t="n">
        <x:f>IF(A50="","",SUMIFS('Entries'!$S$6:$S$505,'Entries'!$Q$6:$Q$505,A50,'Entries'!$B$6:$B$505,"&gt;="&amp;'Settings'!$B$6,'Entries'!$B$6:$B$505,"&lt;="&amp;'Settings'!$B$7))</x:f>
        <x:v>0</x:v>
      </x:c>
      <x:c r="E50" s="37" t="n">
        <x:f>IF(A50="","",SUMIFS('Entries'!$S$6:$S$505,'Entries'!$R$6:$R$505,A50,'Entries'!$B$6:$B$505,"&gt;="&amp;'Settings'!$B$6,'Entries'!$B$6:$B$505,"&lt;="&amp;'Settings'!$B$7))</x:f>
        <x:v>0</x:v>
      </x:c>
      <x:c r="F50" s="37" t="n">
        <x:f>IF(A50="","",(D50-E50)*C50)</x:f>
        <x:v>0</x:v>
      </x:c>
      <x:c r="G50" s="37" t="n">
        <x:f>IF(A50="","",SUMIFS('Entries'!$S$6:$S$505,'Entries'!$Q$6:$Q$505,A50,'Entries'!$B$6:$B$505,"&lt;="&amp;'Settings'!$B$7))</x:f>
        <x:v>0</x:v>
      </x:c>
      <x:c r="H50" s="37" t="n">
        <x:f>IF(A50="","",SUMIFS('Entries'!$S$6:$S$505,'Entries'!$R$6:$R$505,A50,'Entries'!$B$6:$B$505,"&lt;="&amp;'Settings'!$B$7))</x:f>
        <x:v>0</x:v>
      </x:c>
      <x:c r="I50" s="37" t="n">
        <x:f>IF(A50="","",(G50-H50)*C50)</x:f>
        <x:v>0</x:v>
      </x:c>
    </x:row>
    <x:row r="51" ht="23" customHeight="1">
      <x:c r="A51" s="36"/>
      <x:c r="B51" s="36"/>
      <x:c r="C51" s="36"/>
      <x:c r="D51" s="37" t="str">
        <x:f>IF(A51="","",SUMIFS('Entries'!$S$6:$S$505,'Entries'!$Q$6:$Q$505,A51,'Entries'!$B$6:$B$505,"&gt;="&amp;'Settings'!$B$6,'Entries'!$B$6:$B$505,"&lt;="&amp;'Settings'!$B$7))</x:f>
      </x:c>
      <x:c r="E51" s="37" t="str">
        <x:f>IF(A51="","",SUMIFS('Entries'!$S$6:$S$505,'Entries'!$R$6:$R$505,A51,'Entries'!$B$6:$B$505,"&gt;="&amp;'Settings'!$B$6,'Entries'!$B$6:$B$505,"&lt;="&amp;'Settings'!$B$7))</x:f>
      </x:c>
      <x:c r="F51" s="37" t="str">
        <x:f>IF(A51="","",(D51-E51)*C51)</x:f>
      </x:c>
      <x:c r="G51" s="37" t="str">
        <x:f>IF(A51="","",SUMIFS('Entries'!$S$6:$S$505,'Entries'!$Q$6:$Q$505,A51,'Entries'!$B$6:$B$505,"&lt;="&amp;'Settings'!$B$7))</x:f>
      </x:c>
      <x:c r="H51" s="37" t="str">
        <x:f>IF(A51="","",SUMIFS('Entries'!$S$6:$S$505,'Entries'!$R$6:$R$505,A51,'Entries'!$B$6:$B$505,"&lt;="&amp;'Settings'!$B$7))</x:f>
      </x:c>
      <x:c r="I51" s="37" t="str">
        <x:f>IF(A51="","",(G51-H51)*C51)</x:f>
      </x:c>
    </x:row>
    <x:row r="52" ht="23" customHeight="1">
      <x:c r="A52" s="36"/>
      <x:c r="B52" s="36"/>
      <x:c r="C52" s="36"/>
      <x:c r="D52" s="37" t="str">
        <x:f>IF(A52="","",SUMIFS('Entries'!$S$6:$S$505,'Entries'!$Q$6:$Q$505,A52,'Entries'!$B$6:$B$505,"&gt;="&amp;'Settings'!$B$6,'Entries'!$B$6:$B$505,"&lt;="&amp;'Settings'!$B$7))</x:f>
      </x:c>
      <x:c r="E52" s="37" t="str">
        <x:f>IF(A52="","",SUMIFS('Entries'!$S$6:$S$505,'Entries'!$R$6:$R$505,A52,'Entries'!$B$6:$B$505,"&gt;="&amp;'Settings'!$B$6,'Entries'!$B$6:$B$505,"&lt;="&amp;'Settings'!$B$7))</x:f>
      </x:c>
      <x:c r="F52" s="37" t="str">
        <x:f>IF(A52="","",(D52-E52)*C52)</x:f>
      </x:c>
      <x:c r="G52" s="37" t="str">
        <x:f>IF(A52="","",SUMIFS('Entries'!$S$6:$S$505,'Entries'!$Q$6:$Q$505,A52,'Entries'!$B$6:$B$505,"&lt;="&amp;'Settings'!$B$7))</x:f>
      </x:c>
      <x:c r="H52" s="37" t="str">
        <x:f>IF(A52="","",SUMIFS('Entries'!$S$6:$S$505,'Entries'!$R$6:$R$505,A52,'Entries'!$B$6:$B$505,"&lt;="&amp;'Settings'!$B$7))</x:f>
      </x:c>
      <x:c r="I52" s="37" t="str">
        <x:f>IF(A52="","",(G52-H52)*C52)</x:f>
      </x:c>
    </x:row>
    <x:row r="53" ht="23" customHeight="1">
      <x:c r="A53" s="36"/>
      <x:c r="B53" s="36"/>
      <x:c r="C53" s="36"/>
      <x:c r="D53" s="37" t="str">
        <x:f>IF(A53="","",SUMIFS('Entries'!$S$6:$S$505,'Entries'!$Q$6:$Q$505,A53,'Entries'!$B$6:$B$505,"&gt;="&amp;'Settings'!$B$6,'Entries'!$B$6:$B$505,"&lt;="&amp;'Settings'!$B$7))</x:f>
      </x:c>
      <x:c r="E53" s="37" t="str">
        <x:f>IF(A53="","",SUMIFS('Entries'!$S$6:$S$505,'Entries'!$R$6:$R$505,A53,'Entries'!$B$6:$B$505,"&gt;="&amp;'Settings'!$B$6,'Entries'!$B$6:$B$505,"&lt;="&amp;'Settings'!$B$7))</x:f>
      </x:c>
      <x:c r="F53" s="37" t="str">
        <x:f>IF(A53="","",(D53-E53)*C53)</x:f>
      </x:c>
      <x:c r="G53" s="37" t="str">
        <x:f>IF(A53="","",SUMIFS('Entries'!$S$6:$S$505,'Entries'!$Q$6:$Q$505,A53,'Entries'!$B$6:$B$505,"&lt;="&amp;'Settings'!$B$7))</x:f>
      </x:c>
      <x:c r="H53" s="37" t="str">
        <x:f>IF(A53="","",SUMIFS('Entries'!$S$6:$S$505,'Entries'!$R$6:$R$505,A53,'Entries'!$B$6:$B$505,"&lt;="&amp;'Settings'!$B$7))</x:f>
      </x:c>
      <x:c r="I53" s="37" t="str">
        <x:f>IF(A53="","",(G53-H53)*C53)</x:f>
      </x:c>
    </x:row>
    <x:row r="54" ht="23" customHeight="1">
      <x:c r="A54" s="36"/>
      <x:c r="B54" s="36"/>
      <x:c r="C54" s="36"/>
      <x:c r="D54" s="37" t="str">
        <x:f>IF(A54="","",SUMIFS('Entries'!$S$6:$S$505,'Entries'!$Q$6:$Q$505,A54,'Entries'!$B$6:$B$505,"&gt;="&amp;'Settings'!$B$6,'Entries'!$B$6:$B$505,"&lt;="&amp;'Settings'!$B$7))</x:f>
      </x:c>
      <x:c r="E54" s="37" t="str">
        <x:f>IF(A54="","",SUMIFS('Entries'!$S$6:$S$505,'Entries'!$R$6:$R$505,A54,'Entries'!$B$6:$B$505,"&gt;="&amp;'Settings'!$B$6,'Entries'!$B$6:$B$505,"&lt;="&amp;'Settings'!$B$7))</x:f>
      </x:c>
      <x:c r="F54" s="37" t="str">
        <x:f>IF(A54="","",(D54-E54)*C54)</x:f>
      </x:c>
      <x:c r="G54" s="37" t="str">
        <x:f>IF(A54="","",SUMIFS('Entries'!$S$6:$S$505,'Entries'!$Q$6:$Q$505,A54,'Entries'!$B$6:$B$505,"&lt;="&amp;'Settings'!$B$7))</x:f>
      </x:c>
      <x:c r="H54" s="37" t="str">
        <x:f>IF(A54="","",SUMIFS('Entries'!$S$6:$S$505,'Entries'!$R$6:$R$505,A54,'Entries'!$B$6:$B$505,"&lt;="&amp;'Settings'!$B$7))</x:f>
      </x:c>
      <x:c r="I54" s="37" t="str">
        <x:f>IF(A54="","",(G54-H54)*C54)</x:f>
      </x:c>
    </x:row>
    <x:row r="55" ht="23" customHeight="1">
      <x:c r="A55" s="36"/>
      <x:c r="B55" s="36"/>
      <x:c r="C55" s="36"/>
      <x:c r="D55" s="37" t="str">
        <x:f>IF(A55="","",SUMIFS('Entries'!$S$6:$S$505,'Entries'!$Q$6:$Q$505,A55,'Entries'!$B$6:$B$505,"&gt;="&amp;'Settings'!$B$6,'Entries'!$B$6:$B$505,"&lt;="&amp;'Settings'!$B$7))</x:f>
      </x:c>
      <x:c r="E55" s="37" t="str">
        <x:f>IF(A55="","",SUMIFS('Entries'!$S$6:$S$505,'Entries'!$R$6:$R$505,A55,'Entries'!$B$6:$B$505,"&gt;="&amp;'Settings'!$B$6,'Entries'!$B$6:$B$505,"&lt;="&amp;'Settings'!$B$7))</x:f>
      </x:c>
      <x:c r="F55" s="37" t="str">
        <x:f>IF(A55="","",(D55-E55)*C55)</x:f>
      </x:c>
      <x:c r="G55" s="37" t="str">
        <x:f>IF(A55="","",SUMIFS('Entries'!$S$6:$S$505,'Entries'!$Q$6:$Q$505,A55,'Entries'!$B$6:$B$505,"&lt;="&amp;'Settings'!$B$7))</x:f>
      </x:c>
      <x:c r="H55" s="37" t="str">
        <x:f>IF(A55="","",SUMIFS('Entries'!$S$6:$S$505,'Entries'!$R$6:$R$505,A55,'Entries'!$B$6:$B$505,"&lt;="&amp;'Settings'!$B$7))</x:f>
      </x:c>
      <x:c r="I55" s="37" t="str">
        <x:f>IF(A55="","",(G55-H55)*C55)</x:f>
      </x:c>
    </x:row>
    <x:row r="56" ht="23" customHeight="1">
      <x:c r="A56" s="36"/>
      <x:c r="B56" s="36"/>
      <x:c r="C56" s="36"/>
      <x:c r="D56" s="37" t="str">
        <x:f>IF(A56="","",SUMIFS('Entries'!$S$6:$S$505,'Entries'!$Q$6:$Q$505,A56,'Entries'!$B$6:$B$505,"&gt;="&amp;'Settings'!$B$6,'Entries'!$B$6:$B$505,"&lt;="&amp;'Settings'!$B$7))</x:f>
      </x:c>
      <x:c r="E56" s="37" t="str">
        <x:f>IF(A56="","",SUMIFS('Entries'!$S$6:$S$505,'Entries'!$R$6:$R$505,A56,'Entries'!$B$6:$B$505,"&gt;="&amp;'Settings'!$B$6,'Entries'!$B$6:$B$505,"&lt;="&amp;'Settings'!$B$7))</x:f>
      </x:c>
      <x:c r="F56" s="37" t="str">
        <x:f>IF(A56="","",(D56-E56)*C56)</x:f>
      </x:c>
      <x:c r="G56" s="37" t="str">
        <x:f>IF(A56="","",SUMIFS('Entries'!$S$6:$S$505,'Entries'!$Q$6:$Q$505,A56,'Entries'!$B$6:$B$505,"&lt;="&amp;'Settings'!$B$7))</x:f>
      </x:c>
      <x:c r="H56" s="37" t="str">
        <x:f>IF(A56="","",SUMIFS('Entries'!$S$6:$S$505,'Entries'!$R$6:$R$505,A56,'Entries'!$B$6:$B$505,"&lt;="&amp;'Settings'!$B$7))</x:f>
      </x:c>
      <x:c r="I56" s="37" t="str">
        <x:f>IF(A56="","",(G56-H56)*C56)</x:f>
      </x:c>
    </x:row>
    <x:row r="57" ht="23" customHeight="1">
      <x:c r="A57" s="36"/>
      <x:c r="B57" s="36"/>
      <x:c r="C57" s="36"/>
      <x:c r="D57" s="37" t="str">
        <x:f>IF(A57="","",SUMIFS('Entries'!$S$6:$S$505,'Entries'!$Q$6:$Q$505,A57,'Entries'!$B$6:$B$505,"&gt;="&amp;'Settings'!$B$6,'Entries'!$B$6:$B$505,"&lt;="&amp;'Settings'!$B$7))</x:f>
      </x:c>
      <x:c r="E57" s="37" t="str">
        <x:f>IF(A57="","",SUMIFS('Entries'!$S$6:$S$505,'Entries'!$R$6:$R$505,A57,'Entries'!$B$6:$B$505,"&gt;="&amp;'Settings'!$B$6,'Entries'!$B$6:$B$505,"&lt;="&amp;'Settings'!$B$7))</x:f>
      </x:c>
      <x:c r="F57" s="37" t="str">
        <x:f>IF(A57="","",(D57-E57)*C57)</x:f>
      </x:c>
      <x:c r="G57" s="37" t="str">
        <x:f>IF(A57="","",SUMIFS('Entries'!$S$6:$S$505,'Entries'!$Q$6:$Q$505,A57,'Entries'!$B$6:$B$505,"&lt;="&amp;'Settings'!$B$7))</x:f>
      </x:c>
      <x:c r="H57" s="37" t="str">
        <x:f>IF(A57="","",SUMIFS('Entries'!$S$6:$S$505,'Entries'!$R$6:$R$505,A57,'Entries'!$B$6:$B$505,"&lt;="&amp;'Settings'!$B$7))</x:f>
      </x:c>
      <x:c r="I57" s="37" t="str">
        <x:f>IF(A57="","",(G57-H57)*C57)</x:f>
      </x:c>
    </x:row>
    <x:row r="58" ht="23" customHeight="1">
      <x:c r="A58" s="36"/>
      <x:c r="B58" s="36"/>
      <x:c r="C58" s="36"/>
      <x:c r="D58" s="37" t="str">
        <x:f>IF(A58="","",SUMIFS('Entries'!$S$6:$S$505,'Entries'!$Q$6:$Q$505,A58,'Entries'!$B$6:$B$505,"&gt;="&amp;'Settings'!$B$6,'Entries'!$B$6:$B$505,"&lt;="&amp;'Settings'!$B$7))</x:f>
      </x:c>
      <x:c r="E58" s="37" t="str">
        <x:f>IF(A58="","",SUMIFS('Entries'!$S$6:$S$505,'Entries'!$R$6:$R$505,A58,'Entries'!$B$6:$B$505,"&gt;="&amp;'Settings'!$B$6,'Entries'!$B$6:$B$505,"&lt;="&amp;'Settings'!$B$7))</x:f>
      </x:c>
      <x:c r="F58" s="37" t="str">
        <x:f>IF(A58="","",(D58-E58)*C58)</x:f>
      </x:c>
      <x:c r="G58" s="37" t="str">
        <x:f>IF(A58="","",SUMIFS('Entries'!$S$6:$S$505,'Entries'!$Q$6:$Q$505,A58,'Entries'!$B$6:$B$505,"&lt;="&amp;'Settings'!$B$7))</x:f>
      </x:c>
      <x:c r="H58" s="37" t="str">
        <x:f>IF(A58="","",SUMIFS('Entries'!$S$6:$S$505,'Entries'!$R$6:$R$505,A58,'Entries'!$B$6:$B$505,"&lt;="&amp;'Settings'!$B$7))</x:f>
      </x:c>
      <x:c r="I58" s="37" t="str">
        <x:f>IF(A58="","",(G58-H58)*C58)</x:f>
      </x:c>
    </x:row>
    <x:row r="59" ht="23" customHeight="1">
      <x:c r="A59" s="36"/>
      <x:c r="B59" s="36"/>
      <x:c r="C59" s="36"/>
      <x:c r="D59" s="37" t="str">
        <x:f>IF(A59="","",SUMIFS('Entries'!$S$6:$S$505,'Entries'!$Q$6:$Q$505,A59,'Entries'!$B$6:$B$505,"&gt;="&amp;'Settings'!$B$6,'Entries'!$B$6:$B$505,"&lt;="&amp;'Settings'!$B$7))</x:f>
      </x:c>
      <x:c r="E59" s="37" t="str">
        <x:f>IF(A59="","",SUMIFS('Entries'!$S$6:$S$505,'Entries'!$R$6:$R$505,A59,'Entries'!$B$6:$B$505,"&gt;="&amp;'Settings'!$B$6,'Entries'!$B$6:$B$505,"&lt;="&amp;'Settings'!$B$7))</x:f>
      </x:c>
      <x:c r="F59" s="37" t="str">
        <x:f>IF(A59="","",(D59-E59)*C59)</x:f>
      </x:c>
      <x:c r="G59" s="37" t="str">
        <x:f>IF(A59="","",SUMIFS('Entries'!$S$6:$S$505,'Entries'!$Q$6:$Q$505,A59,'Entries'!$B$6:$B$505,"&lt;="&amp;'Settings'!$B$7))</x:f>
      </x:c>
      <x:c r="H59" s="37" t="str">
        <x:f>IF(A59="","",SUMIFS('Entries'!$S$6:$S$505,'Entries'!$R$6:$R$505,A59,'Entries'!$B$6:$B$505,"&lt;="&amp;'Settings'!$B$7))</x:f>
      </x:c>
      <x:c r="I59" s="37" t="str">
        <x:f>IF(A59="","",(G59-H59)*C59)</x:f>
      </x:c>
    </x:row>
    <x:row r="60" ht="23" customHeight="1">
      <x:c r="A60" s="36"/>
      <x:c r="B60" s="36"/>
      <x:c r="C60" s="36"/>
      <x:c r="D60" s="37" t="str">
        <x:f>IF(A60="","",SUMIFS('Entries'!$S$6:$S$505,'Entries'!$Q$6:$Q$505,A60,'Entries'!$B$6:$B$505,"&gt;="&amp;'Settings'!$B$6,'Entries'!$B$6:$B$505,"&lt;="&amp;'Settings'!$B$7))</x:f>
      </x:c>
      <x:c r="E60" s="37" t="str">
        <x:f>IF(A60="","",SUMIFS('Entries'!$S$6:$S$505,'Entries'!$R$6:$R$505,A60,'Entries'!$B$6:$B$505,"&gt;="&amp;'Settings'!$B$6,'Entries'!$B$6:$B$505,"&lt;="&amp;'Settings'!$B$7))</x:f>
      </x:c>
      <x:c r="F60" s="37" t="str">
        <x:f>IF(A60="","",(D60-E60)*C60)</x:f>
      </x:c>
      <x:c r="G60" s="37" t="str">
        <x:f>IF(A60="","",SUMIFS('Entries'!$S$6:$S$505,'Entries'!$Q$6:$Q$505,A60,'Entries'!$B$6:$B$505,"&lt;="&amp;'Settings'!$B$7))</x:f>
      </x:c>
      <x:c r="H60" s="37" t="str">
        <x:f>IF(A60="","",SUMIFS('Entries'!$S$6:$S$505,'Entries'!$R$6:$R$505,A60,'Entries'!$B$6:$B$505,"&lt;="&amp;'Settings'!$B$7))</x:f>
      </x:c>
      <x:c r="I60" s="37" t="str">
        <x:f>IF(A60="","",(G60-H60)*C60)</x:f>
      </x:c>
    </x:row>
    <x:row r="61" ht="23" customHeight="1">
      <x:c r="A61" s="36"/>
      <x:c r="B61" s="36"/>
      <x:c r="C61" s="36"/>
      <x:c r="D61" s="37" t="str">
        <x:f>IF(A61="","",SUMIFS('Entries'!$S$6:$S$505,'Entries'!$Q$6:$Q$505,A61,'Entries'!$B$6:$B$505,"&gt;="&amp;'Settings'!$B$6,'Entries'!$B$6:$B$505,"&lt;="&amp;'Settings'!$B$7))</x:f>
      </x:c>
      <x:c r="E61" s="37" t="str">
        <x:f>IF(A61="","",SUMIFS('Entries'!$S$6:$S$505,'Entries'!$R$6:$R$505,A61,'Entries'!$B$6:$B$505,"&gt;="&amp;'Settings'!$B$6,'Entries'!$B$6:$B$505,"&lt;="&amp;'Settings'!$B$7))</x:f>
      </x:c>
      <x:c r="F61" s="37" t="str">
        <x:f>IF(A61="","",(D61-E61)*C61)</x:f>
      </x:c>
      <x:c r="G61" s="37" t="str">
        <x:f>IF(A61="","",SUMIFS('Entries'!$S$6:$S$505,'Entries'!$Q$6:$Q$505,A61,'Entries'!$B$6:$B$505,"&lt;="&amp;'Settings'!$B$7))</x:f>
      </x:c>
      <x:c r="H61" s="37" t="str">
        <x:f>IF(A61="","",SUMIFS('Entries'!$S$6:$S$505,'Entries'!$R$6:$R$505,A61,'Entries'!$B$6:$B$505,"&lt;="&amp;'Settings'!$B$7))</x:f>
      </x:c>
      <x:c r="I61" s="37" t="str">
        <x:f>IF(A61="","",(G61-H61)*C61)</x:f>
      </x:c>
    </x:row>
    <x:row r="62" ht="23" customHeight="1">
      <x:c r="A62" s="36"/>
      <x:c r="B62" s="36"/>
      <x:c r="C62" s="36"/>
      <x:c r="D62" s="37" t="str">
        <x:f>IF(A62="","",SUMIFS('Entries'!$S$6:$S$505,'Entries'!$Q$6:$Q$505,A62,'Entries'!$B$6:$B$505,"&gt;="&amp;'Settings'!$B$6,'Entries'!$B$6:$B$505,"&lt;="&amp;'Settings'!$B$7))</x:f>
      </x:c>
      <x:c r="E62" s="37" t="str">
        <x:f>IF(A62="","",SUMIFS('Entries'!$S$6:$S$505,'Entries'!$R$6:$R$505,A62,'Entries'!$B$6:$B$505,"&gt;="&amp;'Settings'!$B$6,'Entries'!$B$6:$B$505,"&lt;="&amp;'Settings'!$B$7))</x:f>
      </x:c>
      <x:c r="F62" s="37" t="str">
        <x:f>IF(A62="","",(D62-E62)*C62)</x:f>
      </x:c>
      <x:c r="G62" s="37" t="str">
        <x:f>IF(A62="","",SUMIFS('Entries'!$S$6:$S$505,'Entries'!$Q$6:$Q$505,A62,'Entries'!$B$6:$B$505,"&lt;="&amp;'Settings'!$B$7))</x:f>
      </x:c>
      <x:c r="H62" s="37" t="str">
        <x:f>IF(A62="","",SUMIFS('Entries'!$S$6:$S$505,'Entries'!$R$6:$R$505,A62,'Entries'!$B$6:$B$505,"&lt;="&amp;'Settings'!$B$7))</x:f>
      </x:c>
      <x:c r="I62" s="37" t="str">
        <x:f>IF(A62="","",(G62-H62)*C62)</x:f>
      </x:c>
    </x:row>
    <x:row r="63" ht="23" customHeight="1">
      <x:c r="A63" s="36"/>
      <x:c r="B63" s="36"/>
      <x:c r="C63" s="36"/>
      <x:c r="D63" s="37" t="str">
        <x:f>IF(A63="","",SUMIFS('Entries'!$S$6:$S$505,'Entries'!$Q$6:$Q$505,A63,'Entries'!$B$6:$B$505,"&gt;="&amp;'Settings'!$B$6,'Entries'!$B$6:$B$505,"&lt;="&amp;'Settings'!$B$7))</x:f>
      </x:c>
      <x:c r="E63" s="37" t="str">
        <x:f>IF(A63="","",SUMIFS('Entries'!$S$6:$S$505,'Entries'!$R$6:$R$505,A63,'Entries'!$B$6:$B$505,"&gt;="&amp;'Settings'!$B$6,'Entries'!$B$6:$B$505,"&lt;="&amp;'Settings'!$B$7))</x:f>
      </x:c>
      <x:c r="F63" s="37" t="str">
        <x:f>IF(A63="","",(D63-E63)*C63)</x:f>
      </x:c>
      <x:c r="G63" s="37" t="str">
        <x:f>IF(A63="","",SUMIFS('Entries'!$S$6:$S$505,'Entries'!$Q$6:$Q$505,A63,'Entries'!$B$6:$B$505,"&lt;="&amp;'Settings'!$B$7))</x:f>
      </x:c>
      <x:c r="H63" s="37" t="str">
        <x:f>IF(A63="","",SUMIFS('Entries'!$S$6:$S$505,'Entries'!$R$6:$R$505,A63,'Entries'!$B$6:$B$505,"&lt;="&amp;'Settings'!$B$7))</x:f>
      </x:c>
      <x:c r="I63" s="37" t="str">
        <x:f>IF(A63="","",(G63-H63)*C63)</x:f>
      </x:c>
    </x:row>
    <x:row r="64" ht="23" customHeight="1">
      <x:c r="A64" s="36"/>
      <x:c r="B64" s="36"/>
      <x:c r="C64" s="36"/>
      <x:c r="D64" s="37" t="str">
        <x:f>IF(A64="","",SUMIFS('Entries'!$S$6:$S$505,'Entries'!$Q$6:$Q$505,A64,'Entries'!$B$6:$B$505,"&gt;="&amp;'Settings'!$B$6,'Entries'!$B$6:$B$505,"&lt;="&amp;'Settings'!$B$7))</x:f>
      </x:c>
      <x:c r="E64" s="37" t="str">
        <x:f>IF(A64="","",SUMIFS('Entries'!$S$6:$S$505,'Entries'!$R$6:$R$505,A64,'Entries'!$B$6:$B$505,"&gt;="&amp;'Settings'!$B$6,'Entries'!$B$6:$B$505,"&lt;="&amp;'Settings'!$B$7))</x:f>
      </x:c>
      <x:c r="F64" s="37" t="str">
        <x:f>IF(A64="","",(D64-E64)*C64)</x:f>
      </x:c>
      <x:c r="G64" s="37" t="str">
        <x:f>IF(A64="","",SUMIFS('Entries'!$S$6:$S$505,'Entries'!$Q$6:$Q$505,A64,'Entries'!$B$6:$B$505,"&lt;="&amp;'Settings'!$B$7))</x:f>
      </x:c>
      <x:c r="H64" s="37" t="str">
        <x:f>IF(A64="","",SUMIFS('Entries'!$S$6:$S$505,'Entries'!$R$6:$R$505,A64,'Entries'!$B$6:$B$505,"&lt;="&amp;'Settings'!$B$7))</x:f>
      </x:c>
      <x:c r="I64" s="37" t="str">
        <x:f>IF(A64="","",(G64-H64)*C64)</x:f>
      </x:c>
    </x:row>
    <x:row r="65" ht="23" customHeight="1">
      <x:c r="A65" s="36"/>
      <x:c r="B65" s="36"/>
      <x:c r="C65" s="36"/>
      <x:c r="D65" s="37" t="str">
        <x:f>IF(A65="","",SUMIFS('Entries'!$S$6:$S$505,'Entries'!$Q$6:$Q$505,A65,'Entries'!$B$6:$B$505,"&gt;="&amp;'Settings'!$B$6,'Entries'!$B$6:$B$505,"&lt;="&amp;'Settings'!$B$7))</x:f>
      </x:c>
      <x:c r="E65" s="37" t="str">
        <x:f>IF(A65="","",SUMIFS('Entries'!$S$6:$S$505,'Entries'!$R$6:$R$505,A65,'Entries'!$B$6:$B$505,"&gt;="&amp;'Settings'!$B$6,'Entries'!$B$6:$B$505,"&lt;="&amp;'Settings'!$B$7))</x:f>
      </x:c>
      <x:c r="F65" s="37" t="str">
        <x:f>IF(A65="","",(D65-E65)*C65)</x:f>
      </x:c>
      <x:c r="G65" s="37" t="str">
        <x:f>IF(A65="","",SUMIFS('Entries'!$S$6:$S$505,'Entries'!$Q$6:$Q$505,A65,'Entries'!$B$6:$B$505,"&lt;="&amp;'Settings'!$B$7))</x:f>
      </x:c>
      <x:c r="H65" s="37" t="str">
        <x:f>IF(A65="","",SUMIFS('Entries'!$S$6:$S$505,'Entries'!$R$6:$R$505,A65,'Entries'!$B$6:$B$505,"&lt;="&amp;'Settings'!$B$7))</x:f>
      </x:c>
      <x:c r="I65" s="37" t="str">
        <x:f>IF(A65="","",(G65-H65)*C65)</x:f>
      </x:c>
    </x:row>
    <x:row r="66" ht="23" customHeight="1">
      <x:c r="A66" s="36"/>
      <x:c r="B66" s="36"/>
      <x:c r="C66" s="36"/>
      <x:c r="D66" s="37" t="str">
        <x:f>IF(A66="","",SUMIFS('Entries'!$S$6:$S$505,'Entries'!$Q$6:$Q$505,A66,'Entries'!$B$6:$B$505,"&gt;="&amp;'Settings'!$B$6,'Entries'!$B$6:$B$505,"&lt;="&amp;'Settings'!$B$7))</x:f>
      </x:c>
      <x:c r="E66" s="37" t="str">
        <x:f>IF(A66="","",SUMIFS('Entries'!$S$6:$S$505,'Entries'!$R$6:$R$505,A66,'Entries'!$B$6:$B$505,"&gt;="&amp;'Settings'!$B$6,'Entries'!$B$6:$B$505,"&lt;="&amp;'Settings'!$B$7))</x:f>
      </x:c>
      <x:c r="F66" s="37" t="str">
        <x:f>IF(A66="","",(D66-E66)*C66)</x:f>
      </x:c>
      <x:c r="G66" s="37" t="str">
        <x:f>IF(A66="","",SUMIFS('Entries'!$S$6:$S$505,'Entries'!$Q$6:$Q$505,A66,'Entries'!$B$6:$B$505,"&lt;="&amp;'Settings'!$B$7))</x:f>
      </x:c>
      <x:c r="H66" s="37" t="str">
        <x:f>IF(A66="","",SUMIFS('Entries'!$S$6:$S$505,'Entries'!$R$6:$R$505,A66,'Entries'!$B$6:$B$505,"&lt;="&amp;'Settings'!$B$7))</x:f>
      </x:c>
      <x:c r="I66" s="37" t="str">
        <x:f>IF(A66="","",(G66-H66)*C66)</x:f>
      </x:c>
    </x:row>
    <x:row r="67" ht="23" customHeight="1">
      <x:c r="A67" s="36"/>
      <x:c r="B67" s="36"/>
      <x:c r="C67" s="36"/>
      <x:c r="D67" s="37" t="str">
        <x:f>IF(A67="","",SUMIFS('Entries'!$S$6:$S$505,'Entries'!$Q$6:$Q$505,A67,'Entries'!$B$6:$B$505,"&gt;="&amp;'Settings'!$B$6,'Entries'!$B$6:$B$505,"&lt;="&amp;'Settings'!$B$7))</x:f>
      </x:c>
      <x:c r="E67" s="37" t="str">
        <x:f>IF(A67="","",SUMIFS('Entries'!$S$6:$S$505,'Entries'!$R$6:$R$505,A67,'Entries'!$B$6:$B$505,"&gt;="&amp;'Settings'!$B$6,'Entries'!$B$6:$B$505,"&lt;="&amp;'Settings'!$B$7))</x:f>
      </x:c>
      <x:c r="F67" s="37" t="str">
        <x:f>IF(A67="","",(D67-E67)*C67)</x:f>
      </x:c>
      <x:c r="G67" s="37" t="str">
        <x:f>IF(A67="","",SUMIFS('Entries'!$S$6:$S$505,'Entries'!$Q$6:$Q$505,A67,'Entries'!$B$6:$B$505,"&lt;="&amp;'Settings'!$B$7))</x:f>
      </x:c>
      <x:c r="H67" s="37" t="str">
        <x:f>IF(A67="","",SUMIFS('Entries'!$S$6:$S$505,'Entries'!$R$6:$R$505,A67,'Entries'!$B$6:$B$505,"&lt;="&amp;'Settings'!$B$7))</x:f>
      </x:c>
      <x:c r="I67" s="37" t="str">
        <x:f>IF(A67="","",(G67-H67)*C67)</x:f>
      </x:c>
    </x:row>
    <x:row r="68" ht="23" customHeight="1">
      <x:c r="A68" s="36"/>
      <x:c r="B68" s="36"/>
      <x:c r="C68" s="36"/>
      <x:c r="D68" s="37" t="str">
        <x:f>IF(A68="","",SUMIFS('Entries'!$S$6:$S$505,'Entries'!$Q$6:$Q$505,A68,'Entries'!$B$6:$B$505,"&gt;="&amp;'Settings'!$B$6,'Entries'!$B$6:$B$505,"&lt;="&amp;'Settings'!$B$7))</x:f>
      </x:c>
      <x:c r="E68" s="37" t="str">
        <x:f>IF(A68="","",SUMIFS('Entries'!$S$6:$S$505,'Entries'!$R$6:$R$505,A68,'Entries'!$B$6:$B$505,"&gt;="&amp;'Settings'!$B$6,'Entries'!$B$6:$B$505,"&lt;="&amp;'Settings'!$B$7))</x:f>
      </x:c>
      <x:c r="F68" s="37" t="str">
        <x:f>IF(A68="","",(D68-E68)*C68)</x:f>
      </x:c>
      <x:c r="G68" s="37" t="str">
        <x:f>IF(A68="","",SUMIFS('Entries'!$S$6:$S$505,'Entries'!$Q$6:$Q$505,A68,'Entries'!$B$6:$B$505,"&lt;="&amp;'Settings'!$B$7))</x:f>
      </x:c>
      <x:c r="H68" s="37" t="str">
        <x:f>IF(A68="","",SUMIFS('Entries'!$S$6:$S$505,'Entries'!$R$6:$R$505,A68,'Entries'!$B$6:$B$505,"&lt;="&amp;'Settings'!$B$7))</x:f>
      </x:c>
      <x:c r="I68" s="37" t="str">
        <x:f>IF(A68="","",(G68-H68)*C68)</x:f>
      </x:c>
    </x:row>
    <x:row r="69" ht="23" customHeight="1">
      <x:c r="A69" s="36"/>
      <x:c r="B69" s="36"/>
      <x:c r="C69" s="36"/>
      <x:c r="D69" s="37" t="str">
        <x:f>IF(A69="","",SUMIFS('Entries'!$S$6:$S$505,'Entries'!$Q$6:$Q$505,A69,'Entries'!$B$6:$B$505,"&gt;="&amp;'Settings'!$B$6,'Entries'!$B$6:$B$505,"&lt;="&amp;'Settings'!$B$7))</x:f>
      </x:c>
      <x:c r="E69" s="37" t="str">
        <x:f>IF(A69="","",SUMIFS('Entries'!$S$6:$S$505,'Entries'!$R$6:$R$505,A69,'Entries'!$B$6:$B$505,"&gt;="&amp;'Settings'!$B$6,'Entries'!$B$6:$B$505,"&lt;="&amp;'Settings'!$B$7))</x:f>
      </x:c>
      <x:c r="F69" s="37" t="str">
        <x:f>IF(A69="","",(D69-E69)*C69)</x:f>
      </x:c>
      <x:c r="G69" s="37" t="str">
        <x:f>IF(A69="","",SUMIFS('Entries'!$S$6:$S$505,'Entries'!$Q$6:$Q$505,A69,'Entries'!$B$6:$B$505,"&lt;="&amp;'Settings'!$B$7))</x:f>
      </x:c>
      <x:c r="H69" s="37" t="str">
        <x:f>IF(A69="","",SUMIFS('Entries'!$S$6:$S$505,'Entries'!$R$6:$R$505,A69,'Entries'!$B$6:$B$505,"&lt;="&amp;'Settings'!$B$7))</x:f>
      </x:c>
      <x:c r="I69" s="37" t="str">
        <x:f>IF(A69="","",(G69-H69)*C69)</x:f>
      </x:c>
    </x:row>
    <x:row r="70" ht="23" customHeight="1">
      <x:c r="A70" s="36"/>
      <x:c r="B70" s="36"/>
      <x:c r="C70" s="36"/>
      <x:c r="D70" s="37" t="str">
        <x:f>IF(A70="","",SUMIFS('Entries'!$S$6:$S$505,'Entries'!$Q$6:$Q$505,A70,'Entries'!$B$6:$B$505,"&gt;="&amp;'Settings'!$B$6,'Entries'!$B$6:$B$505,"&lt;="&amp;'Settings'!$B$7))</x:f>
      </x:c>
      <x:c r="E70" s="37" t="str">
        <x:f>IF(A70="","",SUMIFS('Entries'!$S$6:$S$505,'Entries'!$R$6:$R$505,A70,'Entries'!$B$6:$B$505,"&gt;="&amp;'Settings'!$B$6,'Entries'!$B$6:$B$505,"&lt;="&amp;'Settings'!$B$7))</x:f>
      </x:c>
      <x:c r="F70" s="37" t="str">
        <x:f>IF(A70="","",(D70-E70)*C70)</x:f>
      </x:c>
      <x:c r="G70" s="37" t="str">
        <x:f>IF(A70="","",SUMIFS('Entries'!$S$6:$S$505,'Entries'!$Q$6:$Q$505,A70,'Entries'!$B$6:$B$505,"&lt;="&amp;'Settings'!$B$7))</x:f>
      </x:c>
      <x:c r="H70" s="37" t="str">
        <x:f>IF(A70="","",SUMIFS('Entries'!$S$6:$S$505,'Entries'!$R$6:$R$505,A70,'Entries'!$B$6:$B$505,"&lt;="&amp;'Settings'!$B$7))</x:f>
      </x:c>
      <x:c r="I70" s="37" t="str">
        <x:f>IF(A70="","",(G70-H70)*C70)</x:f>
      </x:c>
    </x:row>
    <x:row r="71" ht="23" customHeight="1">
      <x:c r="A71" s="36"/>
      <x:c r="B71" s="36"/>
      <x:c r="C71" s="36"/>
      <x:c r="D71" s="37" t="str">
        <x:f>IF(A71="","",SUMIFS('Entries'!$S$6:$S$505,'Entries'!$Q$6:$Q$505,A71,'Entries'!$B$6:$B$505,"&gt;="&amp;'Settings'!$B$6,'Entries'!$B$6:$B$505,"&lt;="&amp;'Settings'!$B$7))</x:f>
      </x:c>
      <x:c r="E71" s="37" t="str">
        <x:f>IF(A71="","",SUMIFS('Entries'!$S$6:$S$505,'Entries'!$R$6:$R$505,A71,'Entries'!$B$6:$B$505,"&gt;="&amp;'Settings'!$B$6,'Entries'!$B$6:$B$505,"&lt;="&amp;'Settings'!$B$7))</x:f>
      </x:c>
      <x:c r="F71" s="37" t="str">
        <x:f>IF(A71="","",(D71-E71)*C71)</x:f>
      </x:c>
      <x:c r="G71" s="37" t="str">
        <x:f>IF(A71="","",SUMIFS('Entries'!$S$6:$S$505,'Entries'!$Q$6:$Q$505,A71,'Entries'!$B$6:$B$505,"&lt;="&amp;'Settings'!$B$7))</x:f>
      </x:c>
      <x:c r="H71" s="37" t="str">
        <x:f>IF(A71="","",SUMIFS('Entries'!$S$6:$S$505,'Entries'!$R$6:$R$505,A71,'Entries'!$B$6:$B$505,"&lt;="&amp;'Settings'!$B$7))</x:f>
      </x:c>
      <x:c r="I71" s="37" t="str">
        <x:f>IF(A71="","",(G71-H71)*C71)</x:f>
      </x:c>
    </x:row>
    <x:row r="72" ht="23" customHeight="1">
      <x:c r="A72" s="36"/>
      <x:c r="B72" s="36"/>
      <x:c r="C72" s="36"/>
      <x:c r="D72" s="37" t="str">
        <x:f>IF(A72="","",SUMIFS('Entries'!$S$6:$S$505,'Entries'!$Q$6:$Q$505,A72,'Entries'!$B$6:$B$505,"&gt;="&amp;'Settings'!$B$6,'Entries'!$B$6:$B$505,"&lt;="&amp;'Settings'!$B$7))</x:f>
      </x:c>
      <x:c r="E72" s="37" t="str">
        <x:f>IF(A72="","",SUMIFS('Entries'!$S$6:$S$505,'Entries'!$R$6:$R$505,A72,'Entries'!$B$6:$B$505,"&gt;="&amp;'Settings'!$B$6,'Entries'!$B$6:$B$505,"&lt;="&amp;'Settings'!$B$7))</x:f>
      </x:c>
      <x:c r="F72" s="37" t="str">
        <x:f>IF(A72="","",(D72-E72)*C72)</x:f>
      </x:c>
      <x:c r="G72" s="37" t="str">
        <x:f>IF(A72="","",SUMIFS('Entries'!$S$6:$S$505,'Entries'!$Q$6:$Q$505,A72,'Entries'!$B$6:$B$505,"&lt;="&amp;'Settings'!$B$7))</x:f>
      </x:c>
      <x:c r="H72" s="37" t="str">
        <x:f>IF(A72="","",SUMIFS('Entries'!$S$6:$S$505,'Entries'!$R$6:$R$505,A72,'Entries'!$B$6:$B$505,"&lt;="&amp;'Settings'!$B$7))</x:f>
      </x:c>
      <x:c r="I72" s="37" t="str">
        <x:f>IF(A72="","",(G72-H72)*C72)</x:f>
      </x:c>
    </x:row>
    <x:row r="73" ht="23" customHeight="1">
      <x:c r="A73" s="36"/>
      <x:c r="B73" s="36"/>
      <x:c r="C73" s="36"/>
      <x:c r="D73" s="37" t="str">
        <x:f>IF(A73="","",SUMIFS('Entries'!$S$6:$S$505,'Entries'!$Q$6:$Q$505,A73,'Entries'!$B$6:$B$505,"&gt;="&amp;'Settings'!$B$6,'Entries'!$B$6:$B$505,"&lt;="&amp;'Settings'!$B$7))</x:f>
      </x:c>
      <x:c r="E73" s="37" t="str">
        <x:f>IF(A73="","",SUMIFS('Entries'!$S$6:$S$505,'Entries'!$R$6:$R$505,A73,'Entries'!$B$6:$B$505,"&gt;="&amp;'Settings'!$B$6,'Entries'!$B$6:$B$505,"&lt;="&amp;'Settings'!$B$7))</x:f>
      </x:c>
      <x:c r="F73" s="37" t="str">
        <x:f>IF(A73="","",(D73-E73)*C73)</x:f>
      </x:c>
      <x:c r="G73" s="37" t="str">
        <x:f>IF(A73="","",SUMIFS('Entries'!$S$6:$S$505,'Entries'!$Q$6:$Q$505,A73,'Entries'!$B$6:$B$505,"&lt;="&amp;'Settings'!$B$7))</x:f>
      </x:c>
      <x:c r="H73" s="37" t="str">
        <x:f>IF(A73="","",SUMIFS('Entries'!$S$6:$S$505,'Entries'!$R$6:$R$505,A73,'Entries'!$B$6:$B$505,"&lt;="&amp;'Settings'!$B$7))</x:f>
      </x:c>
      <x:c r="I73" s="37" t="str">
        <x:f>IF(A73="","",(G73-H73)*C73)</x:f>
      </x:c>
    </x:row>
    <x:row r="74" ht="23" customHeight="1">
      <x:c r="A74" s="36"/>
      <x:c r="B74" s="36"/>
      <x:c r="C74" s="36"/>
      <x:c r="D74" s="37" t="str">
        <x:f>IF(A74="","",SUMIFS('Entries'!$S$6:$S$505,'Entries'!$Q$6:$Q$505,A74,'Entries'!$B$6:$B$505,"&gt;="&amp;'Settings'!$B$6,'Entries'!$B$6:$B$505,"&lt;="&amp;'Settings'!$B$7))</x:f>
      </x:c>
      <x:c r="E74" s="37" t="str">
        <x:f>IF(A74="","",SUMIFS('Entries'!$S$6:$S$505,'Entries'!$R$6:$R$505,A74,'Entries'!$B$6:$B$505,"&gt;="&amp;'Settings'!$B$6,'Entries'!$B$6:$B$505,"&lt;="&amp;'Settings'!$B$7))</x:f>
      </x:c>
      <x:c r="F74" s="37" t="str">
        <x:f>IF(A74="","",(D74-E74)*C74)</x:f>
      </x:c>
      <x:c r="G74" s="37" t="str">
        <x:f>IF(A74="","",SUMIFS('Entries'!$S$6:$S$505,'Entries'!$Q$6:$Q$505,A74,'Entries'!$B$6:$B$505,"&lt;="&amp;'Settings'!$B$7))</x:f>
      </x:c>
      <x:c r="H74" s="37" t="str">
        <x:f>IF(A74="","",SUMIFS('Entries'!$S$6:$S$505,'Entries'!$R$6:$R$505,A74,'Entries'!$B$6:$B$505,"&lt;="&amp;'Settings'!$B$7))</x:f>
      </x:c>
      <x:c r="I74" s="37" t="str">
        <x:f>IF(A74="","",(G74-H74)*C74)</x:f>
      </x:c>
    </x:row>
    <x:row r="75" ht="23" customHeight="1">
      <x:c r="A75" s="36"/>
      <x:c r="B75" s="36"/>
      <x:c r="C75" s="36"/>
      <x:c r="D75" s="37" t="str">
        <x:f>IF(A75="","",SUMIFS('Entries'!$S$6:$S$505,'Entries'!$Q$6:$Q$505,A75,'Entries'!$B$6:$B$505,"&gt;="&amp;'Settings'!$B$6,'Entries'!$B$6:$B$505,"&lt;="&amp;'Settings'!$B$7))</x:f>
      </x:c>
      <x:c r="E75" s="37" t="str">
        <x:f>IF(A75="","",SUMIFS('Entries'!$S$6:$S$505,'Entries'!$R$6:$R$505,A75,'Entries'!$B$6:$B$505,"&gt;="&amp;'Settings'!$B$6,'Entries'!$B$6:$B$505,"&lt;="&amp;'Settings'!$B$7))</x:f>
      </x:c>
      <x:c r="F75" s="37" t="str">
        <x:f>IF(A75="","",(D75-E75)*C75)</x:f>
      </x:c>
      <x:c r="G75" s="37" t="str">
        <x:f>IF(A75="","",SUMIFS('Entries'!$S$6:$S$505,'Entries'!$Q$6:$Q$505,A75,'Entries'!$B$6:$B$505,"&lt;="&amp;'Settings'!$B$7))</x:f>
      </x:c>
      <x:c r="H75" s="37" t="str">
        <x:f>IF(A75="","",SUMIFS('Entries'!$S$6:$S$505,'Entries'!$R$6:$R$505,A75,'Entries'!$B$6:$B$505,"&lt;="&amp;'Settings'!$B$7))</x:f>
      </x:c>
      <x:c r="I75" s="37" t="str">
        <x:f>IF(A75="","",(G75-H75)*C75)</x:f>
      </x:c>
    </x:row>
    <x:row r="76" ht="23" customHeight="1">
      <x:c r="A76" s="36"/>
      <x:c r="B76" s="36"/>
      <x:c r="C76" s="36"/>
      <x:c r="D76" s="37" t="str">
        <x:f>IF(A76="","",SUMIFS('Entries'!$S$6:$S$505,'Entries'!$Q$6:$Q$505,A76,'Entries'!$B$6:$B$505,"&gt;="&amp;'Settings'!$B$6,'Entries'!$B$6:$B$505,"&lt;="&amp;'Settings'!$B$7))</x:f>
      </x:c>
      <x:c r="E76" s="37" t="str">
        <x:f>IF(A76="","",SUMIFS('Entries'!$S$6:$S$505,'Entries'!$R$6:$R$505,A76,'Entries'!$B$6:$B$505,"&gt;="&amp;'Settings'!$B$6,'Entries'!$B$6:$B$505,"&lt;="&amp;'Settings'!$B$7))</x:f>
      </x:c>
      <x:c r="F76" s="37" t="str">
        <x:f>IF(A76="","",(D76-E76)*C76)</x:f>
      </x:c>
      <x:c r="G76" s="37" t="str">
        <x:f>IF(A76="","",SUMIFS('Entries'!$S$6:$S$505,'Entries'!$Q$6:$Q$505,A76,'Entries'!$B$6:$B$505,"&lt;="&amp;'Settings'!$B$7))</x:f>
      </x:c>
      <x:c r="H76" s="37" t="str">
        <x:f>IF(A76="","",SUMIFS('Entries'!$S$6:$S$505,'Entries'!$R$6:$R$505,A76,'Entries'!$B$6:$B$505,"&lt;="&amp;'Settings'!$B$7))</x:f>
      </x:c>
      <x:c r="I76" s="37" t="str">
        <x:f>IF(A76="","",(G76-H76)*C76)</x:f>
      </x:c>
    </x:row>
    <x:row r="77" ht="23" customHeight="1">
      <x:c r="A77" s="36"/>
      <x:c r="B77" s="36"/>
      <x:c r="C77" s="36"/>
      <x:c r="D77" s="37" t="str">
        <x:f>IF(A77="","",SUMIFS('Entries'!$S$6:$S$505,'Entries'!$Q$6:$Q$505,A77,'Entries'!$B$6:$B$505,"&gt;="&amp;'Settings'!$B$6,'Entries'!$B$6:$B$505,"&lt;="&amp;'Settings'!$B$7))</x:f>
      </x:c>
      <x:c r="E77" s="37" t="str">
        <x:f>IF(A77="","",SUMIFS('Entries'!$S$6:$S$505,'Entries'!$R$6:$R$505,A77,'Entries'!$B$6:$B$505,"&gt;="&amp;'Settings'!$B$6,'Entries'!$B$6:$B$505,"&lt;="&amp;'Settings'!$B$7))</x:f>
      </x:c>
      <x:c r="F77" s="37" t="str">
        <x:f>IF(A77="","",(D77-E77)*C77)</x:f>
      </x:c>
      <x:c r="G77" s="37" t="str">
        <x:f>IF(A77="","",SUMIFS('Entries'!$S$6:$S$505,'Entries'!$Q$6:$Q$505,A77,'Entries'!$B$6:$B$505,"&lt;="&amp;'Settings'!$B$7))</x:f>
      </x:c>
      <x:c r="H77" s="37" t="str">
        <x:f>IF(A77="","",SUMIFS('Entries'!$S$6:$S$505,'Entries'!$R$6:$R$505,A77,'Entries'!$B$6:$B$505,"&lt;="&amp;'Settings'!$B$7))</x:f>
      </x:c>
      <x:c r="I77" s="37" t="str">
        <x:f>IF(A77="","",(G77-H77)*C77)</x:f>
      </x:c>
    </x:row>
    <x:row r="78" ht="23" customHeight="1">
      <x:c r="A78" s="36"/>
      <x:c r="B78" s="36"/>
      <x:c r="C78" s="36"/>
      <x:c r="D78" s="37" t="str">
        <x:f>IF(A78="","",SUMIFS('Entries'!$S$6:$S$505,'Entries'!$Q$6:$Q$505,A78,'Entries'!$B$6:$B$505,"&gt;="&amp;'Settings'!$B$6,'Entries'!$B$6:$B$505,"&lt;="&amp;'Settings'!$B$7))</x:f>
      </x:c>
      <x:c r="E78" s="37" t="str">
        <x:f>IF(A78="","",SUMIFS('Entries'!$S$6:$S$505,'Entries'!$R$6:$R$505,A78,'Entries'!$B$6:$B$505,"&gt;="&amp;'Settings'!$B$6,'Entries'!$B$6:$B$505,"&lt;="&amp;'Settings'!$B$7))</x:f>
      </x:c>
      <x:c r="F78" s="37" t="str">
        <x:f>IF(A78="","",(D78-E78)*C78)</x:f>
      </x:c>
      <x:c r="G78" s="37" t="str">
        <x:f>IF(A78="","",SUMIFS('Entries'!$S$6:$S$505,'Entries'!$Q$6:$Q$505,A78,'Entries'!$B$6:$B$505,"&lt;="&amp;'Settings'!$B$7))</x:f>
      </x:c>
      <x:c r="H78" s="37" t="str">
        <x:f>IF(A78="","",SUMIFS('Entries'!$S$6:$S$505,'Entries'!$R$6:$R$505,A78,'Entries'!$B$6:$B$505,"&lt;="&amp;'Settings'!$B$7))</x:f>
      </x:c>
      <x:c r="I78" s="37" t="str">
        <x:f>IF(A78="","",(G78-H78)*C78)</x:f>
      </x:c>
    </x:row>
    <x:row r="79" ht="23" customHeight="1">
      <x:c r="A79" s="36"/>
      <x:c r="B79" s="36"/>
      <x:c r="C79" s="36"/>
      <x:c r="D79" s="37" t="str">
        <x:f>IF(A79="","",SUMIFS('Entries'!$S$6:$S$505,'Entries'!$Q$6:$Q$505,A79,'Entries'!$B$6:$B$505,"&gt;="&amp;'Settings'!$B$6,'Entries'!$B$6:$B$505,"&lt;="&amp;'Settings'!$B$7))</x:f>
      </x:c>
      <x:c r="E79" s="37" t="str">
        <x:f>IF(A79="","",SUMIFS('Entries'!$S$6:$S$505,'Entries'!$R$6:$R$505,A79,'Entries'!$B$6:$B$505,"&gt;="&amp;'Settings'!$B$6,'Entries'!$B$6:$B$505,"&lt;="&amp;'Settings'!$B$7))</x:f>
      </x:c>
      <x:c r="F79" s="37" t="str">
        <x:f>IF(A79="","",(D79-E79)*C79)</x:f>
      </x:c>
      <x:c r="G79" s="37" t="str">
        <x:f>IF(A79="","",SUMIFS('Entries'!$S$6:$S$505,'Entries'!$Q$6:$Q$505,A79,'Entries'!$B$6:$B$505,"&lt;="&amp;'Settings'!$B$7))</x:f>
      </x:c>
      <x:c r="H79" s="37" t="str">
        <x:f>IF(A79="","",SUMIFS('Entries'!$S$6:$S$505,'Entries'!$R$6:$R$505,A79,'Entries'!$B$6:$B$505,"&lt;="&amp;'Settings'!$B$7))</x:f>
      </x:c>
      <x:c r="I79" s="37" t="str">
        <x:f>IF(A79="","",(G79-H79)*C79)</x:f>
      </x:c>
    </x:row>
    <x:row r="80" ht="23" customHeight="1">
      <x:c r="A80" s="36"/>
      <x:c r="B80" s="36"/>
      <x:c r="C80" s="36"/>
      <x:c r="D80" s="37" t="str">
        <x:f>IF(A80="","",SUMIFS('Entries'!$S$6:$S$505,'Entries'!$Q$6:$Q$505,A80,'Entries'!$B$6:$B$505,"&gt;="&amp;'Settings'!$B$6,'Entries'!$B$6:$B$505,"&lt;="&amp;'Settings'!$B$7))</x:f>
      </x:c>
      <x:c r="E80" s="37" t="str">
        <x:f>IF(A80="","",SUMIFS('Entries'!$S$6:$S$505,'Entries'!$R$6:$R$505,A80,'Entries'!$B$6:$B$505,"&gt;="&amp;'Settings'!$B$6,'Entries'!$B$6:$B$505,"&lt;="&amp;'Settings'!$B$7))</x:f>
      </x:c>
      <x:c r="F80" s="37" t="str">
        <x:f>IF(A80="","",(D80-E80)*C80)</x:f>
      </x:c>
      <x:c r="G80" s="37" t="str">
        <x:f>IF(A80="","",SUMIFS('Entries'!$S$6:$S$505,'Entries'!$Q$6:$Q$505,A80,'Entries'!$B$6:$B$505,"&lt;="&amp;'Settings'!$B$7))</x:f>
      </x:c>
      <x:c r="H80" s="37" t="str">
        <x:f>IF(A80="","",SUMIFS('Entries'!$S$6:$S$505,'Entries'!$R$6:$R$505,A80,'Entries'!$B$6:$B$505,"&lt;="&amp;'Settings'!$B$7))</x:f>
      </x:c>
      <x:c r="I80" s="37" t="str">
        <x:f>IF(A80="","",(G80-H80)*C80)</x:f>
      </x:c>
    </x:row>
    <x:row r="81" ht="23" customHeight="1">
      <x:c r="A81" s="36"/>
      <x:c r="B81" s="36"/>
      <x:c r="C81" s="36"/>
      <x:c r="D81" s="37" t="str">
        <x:f>IF(A81="","",SUMIFS('Entries'!$S$6:$S$505,'Entries'!$Q$6:$Q$505,A81,'Entries'!$B$6:$B$505,"&gt;="&amp;'Settings'!$B$6,'Entries'!$B$6:$B$505,"&lt;="&amp;'Settings'!$B$7))</x:f>
      </x:c>
      <x:c r="E81" s="37" t="str">
        <x:f>IF(A81="","",SUMIFS('Entries'!$S$6:$S$505,'Entries'!$R$6:$R$505,A81,'Entries'!$B$6:$B$505,"&gt;="&amp;'Settings'!$B$6,'Entries'!$B$6:$B$505,"&lt;="&amp;'Settings'!$B$7))</x:f>
      </x:c>
      <x:c r="F81" s="37" t="str">
        <x:f>IF(A81="","",(D81-E81)*C81)</x:f>
      </x:c>
      <x:c r="G81" s="37" t="str">
        <x:f>IF(A81="","",SUMIFS('Entries'!$S$6:$S$505,'Entries'!$Q$6:$Q$505,A81,'Entries'!$B$6:$B$505,"&lt;="&amp;'Settings'!$B$7))</x:f>
      </x:c>
      <x:c r="H81" s="37" t="str">
        <x:f>IF(A81="","",SUMIFS('Entries'!$S$6:$S$505,'Entries'!$R$6:$R$505,A81,'Entries'!$B$6:$B$505,"&lt;="&amp;'Settings'!$B$7))</x:f>
      </x:c>
      <x:c r="I81" s="37" t="str">
        <x:f>IF(A81="","",(G81-H81)*C81)</x:f>
      </x:c>
    </x:row>
    <x:row r="82" ht="23" customHeight="1">
      <x:c r="A82" s="36"/>
      <x:c r="B82" s="36"/>
      <x:c r="C82" s="36"/>
      <x:c r="D82" s="37" t="str">
        <x:f>IF(A82="","",SUMIFS('Entries'!$S$6:$S$505,'Entries'!$Q$6:$Q$505,A82,'Entries'!$B$6:$B$505,"&gt;="&amp;'Settings'!$B$6,'Entries'!$B$6:$B$505,"&lt;="&amp;'Settings'!$B$7))</x:f>
      </x:c>
      <x:c r="E82" s="37" t="str">
        <x:f>IF(A82="","",SUMIFS('Entries'!$S$6:$S$505,'Entries'!$R$6:$R$505,A82,'Entries'!$B$6:$B$505,"&gt;="&amp;'Settings'!$B$6,'Entries'!$B$6:$B$505,"&lt;="&amp;'Settings'!$B$7))</x:f>
      </x:c>
      <x:c r="F82" s="37" t="str">
        <x:f>IF(A82="","",(D82-E82)*C82)</x:f>
      </x:c>
      <x:c r="G82" s="37" t="str">
        <x:f>IF(A82="","",SUMIFS('Entries'!$S$6:$S$505,'Entries'!$Q$6:$Q$505,A82,'Entries'!$B$6:$B$505,"&lt;="&amp;'Settings'!$B$7))</x:f>
      </x:c>
      <x:c r="H82" s="37" t="str">
        <x:f>IF(A82="","",SUMIFS('Entries'!$S$6:$S$505,'Entries'!$R$6:$R$505,A82,'Entries'!$B$6:$B$505,"&lt;="&amp;'Settings'!$B$7))</x:f>
      </x:c>
      <x:c r="I82" s="37" t="str">
        <x:f>IF(A82="","",(G82-H82)*C82)</x:f>
      </x:c>
    </x:row>
    <x:row r="83" ht="23" customHeight="1">
      <x:c r="A83" s="36"/>
      <x:c r="B83" s="36"/>
      <x:c r="C83" s="36"/>
      <x:c r="D83" s="37" t="str">
        <x:f>IF(A83="","",SUMIFS('Entries'!$S$6:$S$505,'Entries'!$Q$6:$Q$505,A83,'Entries'!$B$6:$B$505,"&gt;="&amp;'Settings'!$B$6,'Entries'!$B$6:$B$505,"&lt;="&amp;'Settings'!$B$7))</x:f>
      </x:c>
      <x:c r="E83" s="37" t="str">
        <x:f>IF(A83="","",SUMIFS('Entries'!$S$6:$S$505,'Entries'!$R$6:$R$505,A83,'Entries'!$B$6:$B$505,"&gt;="&amp;'Settings'!$B$6,'Entries'!$B$6:$B$505,"&lt;="&amp;'Settings'!$B$7))</x:f>
      </x:c>
      <x:c r="F83" s="37" t="str">
        <x:f>IF(A83="","",(D83-E83)*C83)</x:f>
      </x:c>
      <x:c r="G83" s="37" t="str">
        <x:f>IF(A83="","",SUMIFS('Entries'!$S$6:$S$505,'Entries'!$Q$6:$Q$505,A83,'Entries'!$B$6:$B$505,"&lt;="&amp;'Settings'!$B$7))</x:f>
      </x:c>
      <x:c r="H83" s="37" t="str">
        <x:f>IF(A83="","",SUMIFS('Entries'!$S$6:$S$505,'Entries'!$R$6:$R$505,A83,'Entries'!$B$6:$B$505,"&lt;="&amp;'Settings'!$B$7))</x:f>
      </x:c>
      <x:c r="I83" s="37" t="str">
        <x:f>IF(A83="","",(G83-H83)*C83)</x:f>
      </x:c>
    </x:row>
    <x:row r="84" ht="23" customHeight="1">
      <x:c r="A84" s="36"/>
      <x:c r="B84" s="36"/>
      <x:c r="C84" s="36"/>
      <x:c r="D84" s="37" t="str">
        <x:f>IF(A84="","",SUMIFS('Entries'!$S$6:$S$505,'Entries'!$Q$6:$Q$505,A84,'Entries'!$B$6:$B$505,"&gt;="&amp;'Settings'!$B$6,'Entries'!$B$6:$B$505,"&lt;="&amp;'Settings'!$B$7))</x:f>
      </x:c>
      <x:c r="E84" s="37" t="str">
        <x:f>IF(A84="","",SUMIFS('Entries'!$S$6:$S$505,'Entries'!$R$6:$R$505,A84,'Entries'!$B$6:$B$505,"&gt;="&amp;'Settings'!$B$6,'Entries'!$B$6:$B$505,"&lt;="&amp;'Settings'!$B$7))</x:f>
      </x:c>
      <x:c r="F84" s="37" t="str">
        <x:f>IF(A84="","",(D84-E84)*C84)</x:f>
      </x:c>
      <x:c r="G84" s="37" t="str">
        <x:f>IF(A84="","",SUMIFS('Entries'!$S$6:$S$505,'Entries'!$Q$6:$Q$505,A84,'Entries'!$B$6:$B$505,"&lt;="&amp;'Settings'!$B$7))</x:f>
      </x:c>
      <x:c r="H84" s="37" t="str">
        <x:f>IF(A84="","",SUMIFS('Entries'!$S$6:$S$505,'Entries'!$R$6:$R$505,A84,'Entries'!$B$6:$B$505,"&lt;="&amp;'Settings'!$B$7))</x:f>
      </x:c>
      <x:c r="I84" s="37" t="str">
        <x:f>IF(A84="","",(G84-H84)*C84)</x:f>
      </x:c>
    </x:row>
    <x:row r="85" ht="23" customHeight="1">
      <x:c r="A85" s="36"/>
      <x:c r="B85" s="36"/>
      <x:c r="C85" s="36"/>
      <x:c r="D85" s="37" t="str">
        <x:f>IF(A85="","",SUMIFS('Entries'!$S$6:$S$505,'Entries'!$Q$6:$Q$505,A85,'Entries'!$B$6:$B$505,"&gt;="&amp;'Settings'!$B$6,'Entries'!$B$6:$B$505,"&lt;="&amp;'Settings'!$B$7))</x:f>
      </x:c>
      <x:c r="E85" s="37" t="str">
        <x:f>IF(A85="","",SUMIFS('Entries'!$S$6:$S$505,'Entries'!$R$6:$R$505,A85,'Entries'!$B$6:$B$505,"&gt;="&amp;'Settings'!$B$6,'Entries'!$B$6:$B$505,"&lt;="&amp;'Settings'!$B$7))</x:f>
      </x:c>
      <x:c r="F85" s="37" t="str">
        <x:f>IF(A85="","",(D85-E85)*C85)</x:f>
      </x:c>
      <x:c r="G85" s="37" t="str">
        <x:f>IF(A85="","",SUMIFS('Entries'!$S$6:$S$505,'Entries'!$Q$6:$Q$505,A85,'Entries'!$B$6:$B$505,"&lt;="&amp;'Settings'!$B$7))</x:f>
      </x:c>
      <x:c r="H85" s="37" t="str">
        <x:f>IF(A85="","",SUMIFS('Entries'!$S$6:$S$505,'Entries'!$R$6:$R$505,A85,'Entries'!$B$6:$B$505,"&lt;="&amp;'Settings'!$B$7))</x:f>
      </x:c>
      <x:c r="I85" s="37" t="str">
        <x:f>IF(A85="","",(G85-H85)*C85)</x:f>
      </x:c>
    </x:row>
    <x:row r="86" ht="23" customHeight="1">
      <x:c r="A86" s="36"/>
      <x:c r="B86" s="36"/>
      <x:c r="C86" s="36"/>
      <x:c r="D86" s="37" t="str">
        <x:f>IF(A86="","",SUMIFS('Entries'!$S$6:$S$505,'Entries'!$Q$6:$Q$505,A86,'Entries'!$B$6:$B$505,"&gt;="&amp;'Settings'!$B$6,'Entries'!$B$6:$B$505,"&lt;="&amp;'Settings'!$B$7))</x:f>
      </x:c>
      <x:c r="E86" s="37" t="str">
        <x:f>IF(A86="","",SUMIFS('Entries'!$S$6:$S$505,'Entries'!$R$6:$R$505,A86,'Entries'!$B$6:$B$505,"&gt;="&amp;'Settings'!$B$6,'Entries'!$B$6:$B$505,"&lt;="&amp;'Settings'!$B$7))</x:f>
      </x:c>
      <x:c r="F86" s="37" t="str">
        <x:f>IF(A86="","",(D86-E86)*C86)</x:f>
      </x:c>
      <x:c r="G86" s="37" t="str">
        <x:f>IF(A86="","",SUMIFS('Entries'!$S$6:$S$505,'Entries'!$Q$6:$Q$505,A86,'Entries'!$B$6:$B$505,"&lt;="&amp;'Settings'!$B$7))</x:f>
      </x:c>
      <x:c r="H86" s="37" t="str">
        <x:f>IF(A86="","",SUMIFS('Entries'!$S$6:$S$505,'Entries'!$R$6:$R$505,A86,'Entries'!$B$6:$B$505,"&lt;="&amp;'Settings'!$B$7))</x:f>
      </x:c>
      <x:c r="I86" s="37" t="str">
        <x:f>IF(A86="","",(G86-H86)*C86)</x:f>
      </x:c>
    </x:row>
    <x:row r="87" ht="23" customHeight="1">
      <x:c r="A87" s="36"/>
      <x:c r="B87" s="36"/>
      <x:c r="C87" s="36"/>
      <x:c r="D87" s="37" t="str">
        <x:f>IF(A87="","",SUMIFS('Entries'!$S$6:$S$505,'Entries'!$Q$6:$Q$505,A87,'Entries'!$B$6:$B$505,"&gt;="&amp;'Settings'!$B$6,'Entries'!$B$6:$B$505,"&lt;="&amp;'Settings'!$B$7))</x:f>
      </x:c>
      <x:c r="E87" s="37" t="str">
        <x:f>IF(A87="","",SUMIFS('Entries'!$S$6:$S$505,'Entries'!$R$6:$R$505,A87,'Entries'!$B$6:$B$505,"&gt;="&amp;'Settings'!$B$6,'Entries'!$B$6:$B$505,"&lt;="&amp;'Settings'!$B$7))</x:f>
      </x:c>
      <x:c r="F87" s="37" t="str">
        <x:f>IF(A87="","",(D87-E87)*C87)</x:f>
      </x:c>
      <x:c r="G87" s="37" t="str">
        <x:f>IF(A87="","",SUMIFS('Entries'!$S$6:$S$505,'Entries'!$Q$6:$Q$505,A87,'Entries'!$B$6:$B$505,"&lt;="&amp;'Settings'!$B$7))</x:f>
      </x:c>
      <x:c r="H87" s="37" t="str">
        <x:f>IF(A87="","",SUMIFS('Entries'!$S$6:$S$505,'Entries'!$R$6:$R$505,A87,'Entries'!$B$6:$B$505,"&lt;="&amp;'Settings'!$B$7))</x:f>
      </x:c>
      <x:c r="I87" s="37" t="str">
        <x:f>IF(A87="","",(G87-H87)*C87)</x:f>
      </x:c>
    </x:row>
    <x:row r="88" ht="23" customHeight="1">
      <x:c r="A88" s="36"/>
      <x:c r="B88" s="36"/>
      <x:c r="C88" s="36"/>
      <x:c r="D88" s="37" t="str">
        <x:f>IF(A88="","",SUMIFS('Entries'!$S$6:$S$505,'Entries'!$Q$6:$Q$505,A88,'Entries'!$B$6:$B$505,"&gt;="&amp;'Settings'!$B$6,'Entries'!$B$6:$B$505,"&lt;="&amp;'Settings'!$B$7))</x:f>
      </x:c>
      <x:c r="E88" s="37" t="str">
        <x:f>IF(A88="","",SUMIFS('Entries'!$S$6:$S$505,'Entries'!$R$6:$R$505,A88,'Entries'!$B$6:$B$505,"&gt;="&amp;'Settings'!$B$6,'Entries'!$B$6:$B$505,"&lt;="&amp;'Settings'!$B$7))</x:f>
      </x:c>
      <x:c r="F88" s="37" t="str">
        <x:f>IF(A88="","",(D88-E88)*C88)</x:f>
      </x:c>
      <x:c r="G88" s="37" t="str">
        <x:f>IF(A88="","",SUMIFS('Entries'!$S$6:$S$505,'Entries'!$Q$6:$Q$505,A88,'Entries'!$B$6:$B$505,"&lt;="&amp;'Settings'!$B$7))</x:f>
      </x:c>
      <x:c r="H88" s="37" t="str">
        <x:f>IF(A88="","",SUMIFS('Entries'!$S$6:$S$505,'Entries'!$R$6:$R$505,A88,'Entries'!$B$6:$B$505,"&lt;="&amp;'Settings'!$B$7))</x:f>
      </x:c>
      <x:c r="I88" s="37" t="str">
        <x:f>IF(A88="","",(G88-H88)*C88)</x:f>
      </x:c>
    </x:row>
    <x:row r="89" ht="23" customHeight="1">
      <x:c r="A89" s="36"/>
      <x:c r="B89" s="36"/>
      <x:c r="C89" s="36"/>
      <x:c r="D89" s="37" t="str">
        <x:f>IF(A89="","",SUMIFS('Entries'!$S$6:$S$505,'Entries'!$Q$6:$Q$505,A89,'Entries'!$B$6:$B$505,"&gt;="&amp;'Settings'!$B$6,'Entries'!$B$6:$B$505,"&lt;="&amp;'Settings'!$B$7))</x:f>
      </x:c>
      <x:c r="E89" s="37" t="str">
        <x:f>IF(A89="","",SUMIFS('Entries'!$S$6:$S$505,'Entries'!$R$6:$R$505,A89,'Entries'!$B$6:$B$505,"&gt;="&amp;'Settings'!$B$6,'Entries'!$B$6:$B$505,"&lt;="&amp;'Settings'!$B$7))</x:f>
      </x:c>
      <x:c r="F89" s="37" t="str">
        <x:f>IF(A89="","",(D89-E89)*C89)</x:f>
      </x:c>
      <x:c r="G89" s="37" t="str">
        <x:f>IF(A89="","",SUMIFS('Entries'!$S$6:$S$505,'Entries'!$Q$6:$Q$505,A89,'Entries'!$B$6:$B$505,"&lt;="&amp;'Settings'!$B$7))</x:f>
      </x:c>
      <x:c r="H89" s="37" t="str">
        <x:f>IF(A89="","",SUMIFS('Entries'!$S$6:$S$505,'Entries'!$R$6:$R$505,A89,'Entries'!$B$6:$B$505,"&lt;="&amp;'Settings'!$B$7))</x:f>
      </x:c>
      <x:c r="I89" s="37" t="str">
        <x:f>IF(A89="","",(G89-H89)*C89)</x:f>
      </x:c>
    </x:row>
    <x:row r="90" ht="23" customHeight="1">
      <x:c r="A90" s="36"/>
      <x:c r="B90" s="36"/>
      <x:c r="C90" s="36"/>
      <x:c r="D90" s="37" t="str">
        <x:f>IF(A90="","",SUMIFS('Entries'!$S$6:$S$505,'Entries'!$Q$6:$Q$505,A90,'Entries'!$B$6:$B$505,"&gt;="&amp;'Settings'!$B$6,'Entries'!$B$6:$B$505,"&lt;="&amp;'Settings'!$B$7))</x:f>
      </x:c>
      <x:c r="E90" s="37" t="str">
        <x:f>IF(A90="","",SUMIFS('Entries'!$S$6:$S$505,'Entries'!$R$6:$R$505,A90,'Entries'!$B$6:$B$505,"&gt;="&amp;'Settings'!$B$6,'Entries'!$B$6:$B$505,"&lt;="&amp;'Settings'!$B$7))</x:f>
      </x:c>
      <x:c r="F90" s="37" t="str">
        <x:f>IF(A90="","",(D90-E90)*C90)</x:f>
      </x:c>
      <x:c r="G90" s="37" t="str">
        <x:f>IF(A90="","",SUMIFS('Entries'!$S$6:$S$505,'Entries'!$Q$6:$Q$505,A90,'Entries'!$B$6:$B$505,"&lt;="&amp;'Settings'!$B$7))</x:f>
      </x:c>
      <x:c r="H90" s="37" t="str">
        <x:f>IF(A90="","",SUMIFS('Entries'!$S$6:$S$505,'Entries'!$R$6:$R$505,A90,'Entries'!$B$6:$B$505,"&lt;="&amp;'Settings'!$B$7))</x:f>
      </x:c>
      <x:c r="I90" s="37" t="str">
        <x:f>IF(A90="","",(G90-H90)*C90)</x:f>
      </x:c>
    </x:row>
    <x:row r="91" ht="23" customHeight="1">
      <x:c r="A91" s="36"/>
      <x:c r="B91" s="36"/>
      <x:c r="C91" s="36"/>
      <x:c r="D91" s="37" t="str">
        <x:f>IF(A91="","",SUMIFS('Entries'!$S$6:$S$505,'Entries'!$Q$6:$Q$505,A91,'Entries'!$B$6:$B$505,"&gt;="&amp;'Settings'!$B$6,'Entries'!$B$6:$B$505,"&lt;="&amp;'Settings'!$B$7))</x:f>
      </x:c>
      <x:c r="E91" s="37" t="str">
        <x:f>IF(A91="","",SUMIFS('Entries'!$S$6:$S$505,'Entries'!$R$6:$R$505,A91,'Entries'!$B$6:$B$505,"&gt;="&amp;'Settings'!$B$6,'Entries'!$B$6:$B$505,"&lt;="&amp;'Settings'!$B$7))</x:f>
      </x:c>
      <x:c r="F91" s="37" t="str">
        <x:f>IF(A91="","",(D91-E91)*C91)</x:f>
      </x:c>
      <x:c r="G91" s="37" t="str">
        <x:f>IF(A91="","",SUMIFS('Entries'!$S$6:$S$505,'Entries'!$Q$6:$Q$505,A91,'Entries'!$B$6:$B$505,"&lt;="&amp;'Settings'!$B$7))</x:f>
      </x:c>
      <x:c r="H91" s="37" t="str">
        <x:f>IF(A91="","",SUMIFS('Entries'!$S$6:$S$505,'Entries'!$R$6:$R$505,A91,'Entries'!$B$6:$B$505,"&lt;="&amp;'Settings'!$B$7))</x:f>
      </x:c>
      <x:c r="I91" s="37" t="str">
        <x:f>IF(A91="","",(G91-H91)*C91)</x:f>
      </x:c>
    </x:row>
    <x:row r="92" ht="23" customHeight="1">
      <x:c r="A92" s="36"/>
      <x:c r="B92" s="36"/>
      <x:c r="C92" s="36"/>
      <x:c r="D92" s="37" t="str">
        <x:f>IF(A92="","",SUMIFS('Entries'!$S$6:$S$505,'Entries'!$Q$6:$Q$505,A92,'Entries'!$B$6:$B$505,"&gt;="&amp;'Settings'!$B$6,'Entries'!$B$6:$B$505,"&lt;="&amp;'Settings'!$B$7))</x:f>
      </x:c>
      <x:c r="E92" s="37" t="str">
        <x:f>IF(A92="","",SUMIFS('Entries'!$S$6:$S$505,'Entries'!$R$6:$R$505,A92,'Entries'!$B$6:$B$505,"&gt;="&amp;'Settings'!$B$6,'Entries'!$B$6:$B$505,"&lt;="&amp;'Settings'!$B$7))</x:f>
      </x:c>
      <x:c r="F92" s="37" t="str">
        <x:f>IF(A92="","",(D92-E92)*C92)</x:f>
      </x:c>
      <x:c r="G92" s="37" t="str">
        <x:f>IF(A92="","",SUMIFS('Entries'!$S$6:$S$505,'Entries'!$Q$6:$Q$505,A92,'Entries'!$B$6:$B$505,"&lt;="&amp;'Settings'!$B$7))</x:f>
      </x:c>
      <x:c r="H92" s="37" t="str">
        <x:f>IF(A92="","",SUMIFS('Entries'!$S$6:$S$505,'Entries'!$R$6:$R$505,A92,'Entries'!$B$6:$B$505,"&lt;="&amp;'Settings'!$B$7))</x:f>
      </x:c>
      <x:c r="I92" s="37" t="str">
        <x:f>IF(A92="","",(G92-H92)*C92)</x:f>
      </x:c>
    </x:row>
    <x:row r="93" ht="23" customHeight="1">
      <x:c r="A93" s="36"/>
      <x:c r="B93" s="36"/>
      <x:c r="C93" s="36"/>
      <x:c r="D93" s="37" t="str">
        <x:f>IF(A93="","",SUMIFS('Entries'!$S$6:$S$505,'Entries'!$Q$6:$Q$505,A93,'Entries'!$B$6:$B$505,"&gt;="&amp;'Settings'!$B$6,'Entries'!$B$6:$B$505,"&lt;="&amp;'Settings'!$B$7))</x:f>
      </x:c>
      <x:c r="E93" s="37" t="str">
        <x:f>IF(A93="","",SUMIFS('Entries'!$S$6:$S$505,'Entries'!$R$6:$R$505,A93,'Entries'!$B$6:$B$505,"&gt;="&amp;'Settings'!$B$6,'Entries'!$B$6:$B$505,"&lt;="&amp;'Settings'!$B$7))</x:f>
      </x:c>
      <x:c r="F93" s="37" t="str">
        <x:f>IF(A93="","",(D93-E93)*C93)</x:f>
      </x:c>
      <x:c r="G93" s="37" t="str">
        <x:f>IF(A93="","",SUMIFS('Entries'!$S$6:$S$505,'Entries'!$Q$6:$Q$505,A93,'Entries'!$B$6:$B$505,"&lt;="&amp;'Settings'!$B$7))</x:f>
      </x:c>
      <x:c r="H93" s="37" t="str">
        <x:f>IF(A93="","",SUMIFS('Entries'!$S$6:$S$505,'Entries'!$R$6:$R$505,A93,'Entries'!$B$6:$B$505,"&lt;="&amp;'Settings'!$B$7))</x:f>
      </x:c>
      <x:c r="I93" s="37" t="str">
        <x:f>IF(A93="","",(G93-H93)*C93)</x:f>
      </x:c>
    </x:row>
    <x:row r="94" ht="23" customHeight="1">
      <x:c r="A94" s="36"/>
      <x:c r="B94" s="36"/>
      <x:c r="C94" s="36"/>
      <x:c r="D94" s="37" t="str">
        <x:f>IF(A94="","",SUMIFS('Entries'!$S$6:$S$505,'Entries'!$Q$6:$Q$505,A94,'Entries'!$B$6:$B$505,"&gt;="&amp;'Settings'!$B$6,'Entries'!$B$6:$B$505,"&lt;="&amp;'Settings'!$B$7))</x:f>
      </x:c>
      <x:c r="E94" s="37" t="str">
        <x:f>IF(A94="","",SUMIFS('Entries'!$S$6:$S$505,'Entries'!$R$6:$R$505,A94,'Entries'!$B$6:$B$505,"&gt;="&amp;'Settings'!$B$6,'Entries'!$B$6:$B$505,"&lt;="&amp;'Settings'!$B$7))</x:f>
      </x:c>
      <x:c r="F94" s="37" t="str">
        <x:f>IF(A94="","",(D94-E94)*C94)</x:f>
      </x:c>
      <x:c r="G94" s="37" t="str">
        <x:f>IF(A94="","",SUMIFS('Entries'!$S$6:$S$505,'Entries'!$Q$6:$Q$505,A94,'Entries'!$B$6:$B$505,"&lt;="&amp;'Settings'!$B$7))</x:f>
      </x:c>
      <x:c r="H94" s="37" t="str">
        <x:f>IF(A94="","",SUMIFS('Entries'!$S$6:$S$505,'Entries'!$R$6:$R$505,A94,'Entries'!$B$6:$B$505,"&lt;="&amp;'Settings'!$B$7))</x:f>
      </x:c>
      <x:c r="I94" s="37" t="str">
        <x:f>IF(A94="","",(G94-H94)*C94)</x:f>
      </x:c>
    </x:row>
    <x:row r="95" ht="23" customHeight="1">
      <x:c r="A95" s="36"/>
      <x:c r="B95" s="36"/>
      <x:c r="C95" s="36"/>
      <x:c r="D95" s="37" t="str">
        <x:f>IF(A95="","",SUMIFS('Entries'!$S$6:$S$505,'Entries'!$Q$6:$Q$505,A95,'Entries'!$B$6:$B$505,"&gt;="&amp;'Settings'!$B$6,'Entries'!$B$6:$B$505,"&lt;="&amp;'Settings'!$B$7))</x:f>
      </x:c>
      <x:c r="E95" s="37" t="str">
        <x:f>IF(A95="","",SUMIFS('Entries'!$S$6:$S$505,'Entries'!$R$6:$R$505,A95,'Entries'!$B$6:$B$505,"&gt;="&amp;'Settings'!$B$6,'Entries'!$B$6:$B$505,"&lt;="&amp;'Settings'!$B$7))</x:f>
      </x:c>
      <x:c r="F95" s="37" t="str">
        <x:f>IF(A95="","",(D95-E95)*C95)</x:f>
      </x:c>
      <x:c r="G95" s="37" t="str">
        <x:f>IF(A95="","",SUMIFS('Entries'!$S$6:$S$505,'Entries'!$Q$6:$Q$505,A95,'Entries'!$B$6:$B$505,"&lt;="&amp;'Settings'!$B$7))</x:f>
      </x:c>
      <x:c r="H95" s="37" t="str">
        <x:f>IF(A95="","",SUMIFS('Entries'!$S$6:$S$505,'Entries'!$R$6:$R$505,A95,'Entries'!$B$6:$B$505,"&lt;="&amp;'Settings'!$B$7))</x:f>
      </x:c>
      <x:c r="I95" s="37" t="str">
        <x:f>IF(A95="","",(G95-H95)*C95)</x:f>
      </x:c>
    </x:row>
    <x:row r="96" ht="23" customHeight="1">
      <x:c r="A96" s="36"/>
      <x:c r="B96" s="36"/>
      <x:c r="C96" s="36"/>
      <x:c r="D96" s="37" t="str">
        <x:f>IF(A96="","",SUMIFS('Entries'!$S$6:$S$505,'Entries'!$Q$6:$Q$505,A96,'Entries'!$B$6:$B$505,"&gt;="&amp;'Settings'!$B$6,'Entries'!$B$6:$B$505,"&lt;="&amp;'Settings'!$B$7))</x:f>
      </x:c>
      <x:c r="E96" s="37" t="str">
        <x:f>IF(A96="","",SUMIFS('Entries'!$S$6:$S$505,'Entries'!$R$6:$R$505,A96,'Entries'!$B$6:$B$505,"&gt;="&amp;'Settings'!$B$6,'Entries'!$B$6:$B$505,"&lt;="&amp;'Settings'!$B$7))</x:f>
      </x:c>
      <x:c r="F96" s="37" t="str">
        <x:f>IF(A96="","",(D96-E96)*C96)</x:f>
      </x:c>
      <x:c r="G96" s="37" t="str">
        <x:f>IF(A96="","",SUMIFS('Entries'!$S$6:$S$505,'Entries'!$Q$6:$Q$505,A96,'Entries'!$B$6:$B$505,"&lt;="&amp;'Settings'!$B$7))</x:f>
      </x:c>
      <x:c r="H96" s="37" t="str">
        <x:f>IF(A96="","",SUMIFS('Entries'!$S$6:$S$505,'Entries'!$R$6:$R$505,A96,'Entries'!$B$6:$B$505,"&lt;="&amp;'Settings'!$B$7))</x:f>
      </x:c>
      <x:c r="I96" s="37" t="str">
        <x:f>IF(A96="","",(G96-H96)*C96)</x:f>
      </x:c>
    </x:row>
    <x:row r="97" ht="23" customHeight="1">
      <x:c r="A97" s="36"/>
      <x:c r="B97" s="36"/>
      <x:c r="C97" s="36"/>
      <x:c r="D97" s="37" t="str">
        <x:f>IF(A97="","",SUMIFS('Entries'!$S$6:$S$505,'Entries'!$Q$6:$Q$505,A97,'Entries'!$B$6:$B$505,"&gt;="&amp;'Settings'!$B$6,'Entries'!$B$6:$B$505,"&lt;="&amp;'Settings'!$B$7))</x:f>
      </x:c>
      <x:c r="E97" s="37" t="str">
        <x:f>IF(A97="","",SUMIFS('Entries'!$S$6:$S$505,'Entries'!$R$6:$R$505,A97,'Entries'!$B$6:$B$505,"&gt;="&amp;'Settings'!$B$6,'Entries'!$B$6:$B$505,"&lt;="&amp;'Settings'!$B$7))</x:f>
      </x:c>
      <x:c r="F97" s="37" t="str">
        <x:f>IF(A97="","",(D97-E97)*C97)</x:f>
      </x:c>
      <x:c r="G97" s="37" t="str">
        <x:f>IF(A97="","",SUMIFS('Entries'!$S$6:$S$505,'Entries'!$Q$6:$Q$505,A97,'Entries'!$B$6:$B$505,"&lt;="&amp;'Settings'!$B$7))</x:f>
      </x:c>
      <x:c r="H97" s="37" t="str">
        <x:f>IF(A97="","",SUMIFS('Entries'!$S$6:$S$505,'Entries'!$R$6:$R$505,A97,'Entries'!$B$6:$B$505,"&lt;="&amp;'Settings'!$B$7))</x:f>
      </x:c>
      <x:c r="I97" s="37" t="str">
        <x:f>IF(A97="","",(G97-H97)*C97)</x:f>
      </x:c>
    </x:row>
    <x:row r="98" ht="23" customHeight="1">
      <x:c r="A98" s="36"/>
      <x:c r="B98" s="36"/>
      <x:c r="C98" s="36"/>
      <x:c r="D98" s="37" t="str">
        <x:f>IF(A98="","",SUMIFS('Entries'!$S$6:$S$505,'Entries'!$Q$6:$Q$505,A98,'Entries'!$B$6:$B$505,"&gt;="&amp;'Settings'!$B$6,'Entries'!$B$6:$B$505,"&lt;="&amp;'Settings'!$B$7))</x:f>
      </x:c>
      <x:c r="E98" s="37" t="str">
        <x:f>IF(A98="","",SUMIFS('Entries'!$S$6:$S$505,'Entries'!$R$6:$R$505,A98,'Entries'!$B$6:$B$505,"&gt;="&amp;'Settings'!$B$6,'Entries'!$B$6:$B$505,"&lt;="&amp;'Settings'!$B$7))</x:f>
      </x:c>
      <x:c r="F98" s="37" t="str">
        <x:f>IF(A98="","",(D98-E98)*C98)</x:f>
      </x:c>
      <x:c r="G98" s="37" t="str">
        <x:f>IF(A98="","",SUMIFS('Entries'!$S$6:$S$505,'Entries'!$Q$6:$Q$505,A98,'Entries'!$B$6:$B$505,"&lt;="&amp;'Settings'!$B$7))</x:f>
      </x:c>
      <x:c r="H98" s="37" t="str">
        <x:f>IF(A98="","",SUMIFS('Entries'!$S$6:$S$505,'Entries'!$R$6:$R$505,A98,'Entries'!$B$6:$B$505,"&lt;="&amp;'Settings'!$B$7))</x:f>
      </x:c>
      <x:c r="I98" s="37" t="str">
        <x:f>IF(A98="","",(G98-H98)*C98)</x:f>
      </x:c>
    </x:row>
    <x:row r="99" ht="23" customHeight="1">
      <x:c r="A99" s="36"/>
      <x:c r="B99" s="36"/>
      <x:c r="C99" s="36"/>
      <x:c r="D99" s="37" t="str">
        <x:f>IF(A99="","",SUMIFS('Entries'!$S$6:$S$505,'Entries'!$Q$6:$Q$505,A99,'Entries'!$B$6:$B$505,"&gt;="&amp;'Settings'!$B$6,'Entries'!$B$6:$B$505,"&lt;="&amp;'Settings'!$B$7))</x:f>
      </x:c>
      <x:c r="E99" s="37" t="str">
        <x:f>IF(A99="","",SUMIFS('Entries'!$S$6:$S$505,'Entries'!$R$6:$R$505,A99,'Entries'!$B$6:$B$505,"&gt;="&amp;'Settings'!$B$6,'Entries'!$B$6:$B$505,"&lt;="&amp;'Settings'!$B$7))</x:f>
      </x:c>
      <x:c r="F99" s="37" t="str">
        <x:f>IF(A99="","",(D99-E99)*C99)</x:f>
      </x:c>
      <x:c r="G99" s="37" t="str">
        <x:f>IF(A99="","",SUMIFS('Entries'!$S$6:$S$505,'Entries'!$Q$6:$Q$505,A99,'Entries'!$B$6:$B$505,"&lt;="&amp;'Settings'!$B$7))</x:f>
      </x:c>
      <x:c r="H99" s="37" t="str">
        <x:f>IF(A99="","",SUMIFS('Entries'!$S$6:$S$505,'Entries'!$R$6:$R$505,A99,'Entries'!$B$6:$B$505,"&lt;="&amp;'Settings'!$B$7))</x:f>
      </x:c>
      <x:c r="I99" s="37" t="str">
        <x:f>IF(A99="","",(G99-H99)*C99)</x:f>
      </x:c>
    </x:row>
    <x:row r="100" ht="23" customHeight="1">
      <x:c r="A100" s="36"/>
      <x:c r="B100" s="36"/>
      <x:c r="C100" s="36"/>
      <x:c r="D100" s="37" t="str">
        <x:f>IF(A100="","",SUMIFS('Entries'!$S$6:$S$505,'Entries'!$Q$6:$Q$505,A100,'Entries'!$B$6:$B$505,"&gt;="&amp;'Settings'!$B$6,'Entries'!$B$6:$B$505,"&lt;="&amp;'Settings'!$B$7))</x:f>
      </x:c>
      <x:c r="E100" s="37" t="str">
        <x:f>IF(A100="","",SUMIFS('Entries'!$S$6:$S$505,'Entries'!$R$6:$R$505,A100,'Entries'!$B$6:$B$505,"&gt;="&amp;'Settings'!$B$6,'Entries'!$B$6:$B$505,"&lt;="&amp;'Settings'!$B$7))</x:f>
      </x:c>
      <x:c r="F100" s="37" t="str">
        <x:f>IF(A100="","",(D100-E100)*C100)</x:f>
      </x:c>
      <x:c r="G100" s="37" t="str">
        <x:f>IF(A100="","",SUMIFS('Entries'!$S$6:$S$505,'Entries'!$Q$6:$Q$505,A100,'Entries'!$B$6:$B$505,"&lt;="&amp;'Settings'!$B$7))</x:f>
      </x:c>
      <x:c r="H100" s="37" t="str">
        <x:f>IF(A100="","",SUMIFS('Entries'!$S$6:$S$505,'Entries'!$R$6:$R$505,A100,'Entries'!$B$6:$B$505,"&lt;="&amp;'Settings'!$B$7))</x:f>
      </x:c>
      <x:c r="I100" s="37" t="str">
        <x:f>IF(A100="","",(G100-H100)*C100)</x:f>
      </x:c>
    </x:row>
    <x:row r="101" ht="23" customHeight="1">
      <x:c r="A101" s="36"/>
      <x:c r="B101" s="36"/>
      <x:c r="C101" s="36"/>
      <x:c r="D101" s="37" t="str">
        <x:f>IF(A101="","",SUMIFS('Entries'!$S$6:$S$505,'Entries'!$Q$6:$Q$505,A101,'Entries'!$B$6:$B$505,"&gt;="&amp;'Settings'!$B$6,'Entries'!$B$6:$B$505,"&lt;="&amp;'Settings'!$B$7))</x:f>
      </x:c>
      <x:c r="E101" s="37" t="str">
        <x:f>IF(A101="","",SUMIFS('Entries'!$S$6:$S$505,'Entries'!$R$6:$R$505,A101,'Entries'!$B$6:$B$505,"&gt;="&amp;'Settings'!$B$6,'Entries'!$B$6:$B$505,"&lt;="&amp;'Settings'!$B$7))</x:f>
      </x:c>
      <x:c r="F101" s="37" t="str">
        <x:f>IF(A101="","",(D101-E101)*C101)</x:f>
      </x:c>
      <x:c r="G101" s="37" t="str">
        <x:f>IF(A101="","",SUMIFS('Entries'!$S$6:$S$505,'Entries'!$Q$6:$Q$505,A101,'Entries'!$B$6:$B$505,"&lt;="&amp;'Settings'!$B$7))</x:f>
      </x:c>
      <x:c r="H101" s="37" t="str">
        <x:f>IF(A101="","",SUMIFS('Entries'!$S$6:$S$505,'Entries'!$R$6:$R$505,A101,'Entries'!$B$6:$B$505,"&lt;="&amp;'Settings'!$B$7))</x:f>
      </x:c>
      <x:c r="I101" s="37" t="str">
        <x:f>IF(A101="","",(G101-H101)*C101)</x:f>
      </x:c>
    </x:row>
    <x:row r="102" ht="23" customHeight="1">
      <x:c r="A102" s="36"/>
      <x:c r="B102" s="36"/>
      <x:c r="C102" s="36"/>
      <x:c r="D102" s="37" t="str">
        <x:f>IF(A102="","",SUMIFS('Entries'!$S$6:$S$505,'Entries'!$Q$6:$Q$505,A102,'Entries'!$B$6:$B$505,"&gt;="&amp;'Settings'!$B$6,'Entries'!$B$6:$B$505,"&lt;="&amp;'Settings'!$B$7))</x:f>
      </x:c>
      <x:c r="E102" s="37" t="str">
        <x:f>IF(A102="","",SUMIFS('Entries'!$S$6:$S$505,'Entries'!$R$6:$R$505,A102,'Entries'!$B$6:$B$505,"&gt;="&amp;'Settings'!$B$6,'Entries'!$B$6:$B$505,"&lt;="&amp;'Settings'!$B$7))</x:f>
      </x:c>
      <x:c r="F102" s="37" t="str">
        <x:f>IF(A102="","",(D102-E102)*C102)</x:f>
      </x:c>
      <x:c r="G102" s="37" t="str">
        <x:f>IF(A102="","",SUMIFS('Entries'!$S$6:$S$505,'Entries'!$Q$6:$Q$505,A102,'Entries'!$B$6:$B$505,"&lt;="&amp;'Settings'!$B$7))</x:f>
      </x:c>
      <x:c r="H102" s="37" t="str">
        <x:f>IF(A102="","",SUMIFS('Entries'!$S$6:$S$505,'Entries'!$R$6:$R$505,A102,'Entries'!$B$6:$B$505,"&lt;="&amp;'Settings'!$B$7))</x:f>
      </x:c>
      <x:c r="I102" s="37" t="str">
        <x:f>IF(A102="","",(G102-H102)*C102)</x:f>
      </x:c>
    </x:row>
    <x:row r="103" ht="23" customHeight="1">
      <x:c r="A103" s="36"/>
      <x:c r="B103" s="36"/>
      <x:c r="C103" s="36"/>
      <x:c r="D103" s="37" t="str">
        <x:f>IF(A103="","",SUMIFS('Entries'!$S$6:$S$505,'Entries'!$Q$6:$Q$505,A103,'Entries'!$B$6:$B$505,"&gt;="&amp;'Settings'!$B$6,'Entries'!$B$6:$B$505,"&lt;="&amp;'Settings'!$B$7))</x:f>
      </x:c>
      <x:c r="E103" s="37" t="str">
        <x:f>IF(A103="","",SUMIFS('Entries'!$S$6:$S$505,'Entries'!$R$6:$R$505,A103,'Entries'!$B$6:$B$505,"&gt;="&amp;'Settings'!$B$6,'Entries'!$B$6:$B$505,"&lt;="&amp;'Settings'!$B$7))</x:f>
      </x:c>
      <x:c r="F103" s="37" t="str">
        <x:f>IF(A103="","",(D103-E103)*C103)</x:f>
      </x:c>
      <x:c r="G103" s="37" t="str">
        <x:f>IF(A103="","",SUMIFS('Entries'!$S$6:$S$505,'Entries'!$Q$6:$Q$505,A103,'Entries'!$B$6:$B$505,"&lt;="&amp;'Settings'!$B$7))</x:f>
      </x:c>
      <x:c r="H103" s="37" t="str">
        <x:f>IF(A103="","",SUMIFS('Entries'!$S$6:$S$505,'Entries'!$R$6:$R$505,A103,'Entries'!$B$6:$B$505,"&lt;="&amp;'Settings'!$B$7))</x:f>
      </x:c>
      <x:c r="I103" s="37" t="str">
        <x:f>IF(A103="","",(G103-H103)*C103)</x:f>
      </x:c>
    </x:row>
    <x:row r="104" ht="23" customHeight="1">
      <x:c r="A104" s="36"/>
      <x:c r="B104" s="36"/>
      <x:c r="C104" s="36"/>
      <x:c r="D104" s="37" t="str">
        <x:f>IF(A104="","",SUMIFS('Entries'!$S$6:$S$505,'Entries'!$Q$6:$Q$505,A104,'Entries'!$B$6:$B$505,"&gt;="&amp;'Settings'!$B$6,'Entries'!$B$6:$B$505,"&lt;="&amp;'Settings'!$B$7))</x:f>
      </x:c>
      <x:c r="E104" s="37" t="str">
        <x:f>IF(A104="","",SUMIFS('Entries'!$S$6:$S$505,'Entries'!$R$6:$R$505,A104,'Entries'!$B$6:$B$505,"&gt;="&amp;'Settings'!$B$6,'Entries'!$B$6:$B$505,"&lt;="&amp;'Settings'!$B$7))</x:f>
      </x:c>
      <x:c r="F104" s="37" t="str">
        <x:f>IF(A104="","",(D104-E104)*C104)</x:f>
      </x:c>
      <x:c r="G104" s="37" t="str">
        <x:f>IF(A104="","",SUMIFS('Entries'!$S$6:$S$505,'Entries'!$Q$6:$Q$505,A104,'Entries'!$B$6:$B$505,"&lt;="&amp;'Settings'!$B$7))</x:f>
      </x:c>
      <x:c r="H104" s="37" t="str">
        <x:f>IF(A104="","",SUMIFS('Entries'!$S$6:$S$505,'Entries'!$R$6:$R$505,A104,'Entries'!$B$6:$B$505,"&lt;="&amp;'Settings'!$B$7))</x:f>
      </x:c>
      <x:c r="I104" s="37" t="str">
        <x:f>IF(A104="","",(G104-H104)*C104)</x:f>
      </x:c>
    </x:row>
    <x:row r="105" ht="23" customHeight="1">
      <x:c r="A105" s="36"/>
      <x:c r="B105" s="36"/>
      <x:c r="C105" s="36"/>
      <x:c r="D105" s="37" t="str">
        <x:f>IF(A105="","",SUMIFS('Entries'!$S$6:$S$505,'Entries'!$Q$6:$Q$505,A105,'Entries'!$B$6:$B$505,"&gt;="&amp;'Settings'!$B$6,'Entries'!$B$6:$B$505,"&lt;="&amp;'Settings'!$B$7))</x:f>
      </x:c>
      <x:c r="E105" s="37" t="str">
        <x:f>IF(A105="","",SUMIFS('Entries'!$S$6:$S$505,'Entries'!$R$6:$R$505,A105,'Entries'!$B$6:$B$505,"&gt;="&amp;'Settings'!$B$6,'Entries'!$B$6:$B$505,"&lt;="&amp;'Settings'!$B$7))</x:f>
      </x:c>
      <x:c r="F105" s="37" t="str">
        <x:f>IF(A105="","",(D105-E105)*C105)</x:f>
      </x:c>
      <x:c r="G105" s="37" t="str">
        <x:f>IF(A105="","",SUMIFS('Entries'!$S$6:$S$505,'Entries'!$Q$6:$Q$505,A105,'Entries'!$B$6:$B$505,"&lt;="&amp;'Settings'!$B$7))</x:f>
      </x:c>
      <x:c r="H105" s="37" t="str">
        <x:f>IF(A105="","",SUMIFS('Entries'!$S$6:$S$505,'Entries'!$R$6:$R$505,A105,'Entries'!$B$6:$B$505,"&lt;="&amp;'Settings'!$B$7))</x:f>
      </x:c>
      <x:c r="I105" s="37" t="str">
        <x:f>IF(A105="","",(G105-H105)*C105)</x:f>
      </x:c>
    </x:row>
  </x:sheetData>
  <x:dataValidations count="2">
    <x:dataValidation type="list" sqref="B6:B105">
      <x:formula1>"Cash,Receivable,Other asset,Materials,WIP,Finished,Liability,Capital,Drawings,Revenue,COGS,Expense"</x:formula1>
    </x:dataValidation>
    <x:dataValidation type="list" sqref="C6:C105">
      <x:formula1>"1,-1"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e4f6490294467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5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</x:row>
    <x:row r="2" ht="23" customHeight="1">
      <x:c r="A2" s="32" t="str">
        <x:v>AFK THEORY / Partners</x:v>
      </x:c>
      <x:c r="B2" s="31"/>
      <x:c r="C2" s="31"/>
      <x:c r="D2" s="31"/>
      <x:c r="E2" s="31"/>
      <x:c r="F2" s="31"/>
      <x:c r="G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</x:row>
    <x:row r="4" ht="23" customHeight="1">
      <x:c r="A4" s="34"/>
      <x:c r="B4" s="34"/>
      <x:c r="C4" s="34"/>
      <x:c r="D4" s="34"/>
      <x:c r="E4" s="34"/>
      <x:c r="F4" s="34"/>
      <x:c r="G4" s="34"/>
    </x:row>
    <x:row r="5" ht="34" customHeight="1">
      <x:c r="A5" s="38" t="str">
        <x:v>Partner</x:v>
      </x:c>
      <x:c r="B5" s="38" t="str">
        <x:v>Ownership %</x:v>
      </x:c>
      <x:c r="C5" s="38" t="str">
        <x:v>Profit share %</x:v>
      </x:c>
      <x:c r="D5" s="38" t="str">
        <x:v>Role</x:v>
      </x:c>
      <x:c r="E5" s="38" t="str">
        <x:v>Email / phone</x:v>
      </x:c>
      <x:c r="F5" s="38" t="str">
        <x:v>Joined</x:v>
      </x:c>
      <x:c r="G5" s="38" t="str">
        <x:v>Notes</x:v>
      </x:c>
    </x:row>
    <x:row r="6" ht="23" customHeight="1">
      <x:c r="A6" s="36" t="str">
        <x:v>Shawon</x:v>
      </x:c>
      <x:c r="B6" s="39" t="n">
        <x:v>0.2</x:v>
      </x:c>
      <x:c r="C6" s="39" t="n">
        <x:v>0.2</x:v>
      </x:c>
      <x:c r="D6" s="36"/>
      <x:c r="E6" s="36"/>
      <x:c r="F6" s="40"/>
      <x:c r="G6" s="36"/>
    </x:row>
    <x:row r="7" ht="23" customHeight="1">
      <x:c r="A7" s="36" t="str">
        <x:v>Rafi</x:v>
      </x:c>
      <x:c r="B7" s="39" t="n">
        <x:v>0.2</x:v>
      </x:c>
      <x:c r="C7" s="39" t="n">
        <x:v>0.2</x:v>
      </x:c>
      <x:c r="D7" s="36"/>
      <x:c r="E7" s="36"/>
      <x:c r="F7" s="40"/>
      <x:c r="G7" s="36"/>
    </x:row>
    <x:row r="8" ht="23" customHeight="1">
      <x:c r="A8" s="36" t="str">
        <x:v>Tousif</x:v>
      </x:c>
      <x:c r="B8" s="39" t="n">
        <x:v>0.2</x:v>
      </x:c>
      <x:c r="C8" s="39" t="n">
        <x:v>0.2</x:v>
      </x:c>
      <x:c r="D8" s="36"/>
      <x:c r="E8" s="36"/>
      <x:c r="F8" s="40"/>
      <x:c r="G8" s="36"/>
    </x:row>
    <x:row r="9" ht="23" customHeight="1">
      <x:c r="A9" s="36" t="str">
        <x:v>Midhat</x:v>
      </x:c>
      <x:c r="B9" s="39" t="n">
        <x:v>0.2</x:v>
      </x:c>
      <x:c r="C9" s="39" t="n">
        <x:v>0.2</x:v>
      </x:c>
      <x:c r="D9" s="36"/>
      <x:c r="E9" s="36"/>
      <x:c r="F9" s="40"/>
      <x:c r="G9" s="36"/>
    </x:row>
    <x:row r="10" ht="23" customHeight="1">
      <x:c r="A10" s="36" t="str">
        <x:v>Mueid</x:v>
      </x:c>
      <x:c r="B10" s="39" t="n">
        <x:v>0.2</x:v>
      </x:c>
      <x:c r="C10" s="39" t="n">
        <x:v>0.2</x:v>
      </x:c>
      <x:c r="D10" s="36"/>
      <x:c r="E10" s="36"/>
      <x:c r="F10" s="40"/>
      <x:c r="G10" s="36"/>
    </x:row>
    <x:row r="11" ht="23" customHeight="1">
      <x:c r="A11" s="36"/>
      <x:c r="B11" s="39"/>
      <x:c r="C11" s="39"/>
      <x:c r="D11" s="36"/>
      <x:c r="E11" s="36"/>
      <x:c r="F11" s="40"/>
      <x:c r="G11" s="36"/>
    </x:row>
    <x:row r="12" ht="23" customHeight="1">
      <x:c r="A12" s="36"/>
      <x:c r="B12" s="39"/>
      <x:c r="C12" s="39"/>
      <x:c r="D12" s="36"/>
      <x:c r="E12" s="36"/>
      <x:c r="F12" s="40"/>
      <x:c r="G12" s="36"/>
    </x:row>
    <x:row r="13" ht="23" customHeight="1">
      <x:c r="A13" s="36"/>
      <x:c r="B13" s="39"/>
      <x:c r="C13" s="39"/>
      <x:c r="D13" s="36"/>
      <x:c r="E13" s="36"/>
      <x:c r="F13" s="40"/>
      <x:c r="G13" s="36"/>
    </x:row>
    <x:row r="14" ht="23" customHeight="1">
      <x:c r="A14" s="36"/>
      <x:c r="B14" s="39"/>
      <x:c r="C14" s="39"/>
      <x:c r="D14" s="36"/>
      <x:c r="E14" s="36"/>
      <x:c r="F14" s="40"/>
      <x:c r="G14" s="36"/>
    </x:row>
    <x:row r="15" ht="23" customHeight="1">
      <x:c r="A15" s="36"/>
      <x:c r="B15" s="39"/>
      <x:c r="C15" s="39"/>
      <x:c r="D15" s="36"/>
      <x:c r="E15" s="36"/>
      <x:c r="F15" s="40"/>
      <x:c r="G15" s="36"/>
    </x:row>
  </x:sheetData>
  <x:pageMargins left="0.7" right="0.7" top="0.75" bottom="0.75" header="0.3" footer="0.3"/>
  <x:tableParts count="1">
    <x:tablePart xmlns:r="http://schemas.openxmlformats.org/officeDocument/2006/relationships" r:id="R94c5169e61074f5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18" hidden="0" customWidth="1"/>
    <x:col min="5" max="5" width="29" hidden="0" customWidth="1"/>
    <x:col min="6" max="6" width="29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3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9" hidden="0" customWidth="1"/>
    <x:col min="18" max="18" width="29" hidden="0" customWidth="1"/>
    <x:col min="19" max="19" width="18" hidden="0" customWidth="1"/>
    <x:col min="20" max="20" width="32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</x:row>
    <x:row r="2" ht="23" customHeight="1">
      <x:c r="A2" s="32" t="str">
        <x:v>AFK THEORY / Entries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</x:row>
    <x:row r="5" ht="34" customHeight="1">
      <x:c r="A5" s="38" t="str">
        <x:v>Entry ID</x:v>
      </x:c>
      <x:c r="B5" s="38" t="str">
        <x:v>Date</x:v>
      </x:c>
      <x:c r="C5" s="38" t="str">
        <x:v>Event</x:v>
      </x:c>
      <x:c r="D5" s="38" t="str">
        <x:v>Amount BDT</x:v>
      </x:c>
      <x:c r="E5" s="38" t="str">
        <x:v>Payment account</x:v>
      </x:c>
      <x:c r="F5" s="38" t="str">
        <x:v>Other account</x:v>
      </x:c>
      <x:c r="G5" s="38" t="str">
        <x:v>Partner</x:v>
      </x:c>
      <x:c r="H5" s="38" t="str">
        <x:v>Contact ID</x:v>
      </x:c>
      <x:c r="I5" s="38" t="str">
        <x:v>Reference ID</x:v>
      </x:c>
      <x:c r="J5" s="38" t="str">
        <x:v>Purpose / details</x:v>
      </x:c>
      <x:c r="K5" s="38" t="str">
        <x:v>Evidence URL</x:v>
      </x:c>
      <x:c r="L5" s="38" t="str">
        <x:v>Entered by</x:v>
      </x:c>
      <x:c r="M5" s="38" t="str">
        <x:v>Reviewed by</x:v>
      </x:c>
      <x:c r="N5" s="38" t="str">
        <x:v>Status</x:v>
      </x:c>
      <x:c r="O5" s="38" t="str">
        <x:v>Debit rule</x:v>
      </x:c>
      <x:c r="P5" s="38" t="str">
        <x:v>Credit rule</x:v>
      </x:c>
      <x:c r="Q5" s="38" t="str">
        <x:v>Debit account</x:v>
      </x:c>
      <x:c r="R5" s="38" t="str">
        <x:v>Credit account</x:v>
      </x:c>
      <x:c r="S5" s="38" t="str">
        <x:v>Posted BDT</x:v>
      </x:c>
      <x:c r="T5" s="38" t="str">
        <x:v>Check</x:v>
      </x:c>
    </x:row>
    <x:row r="6" ht="23" customHeight="1">
      <x:c r="A6" s="36"/>
      <x:c r="B6" s="40"/>
      <x:c r="C6" s="36"/>
      <x:c r="D6" s="41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42" t="str">
        <x:f>IF(A6="","",IF(COUNTIFS('Event Guide'!$A$6:$A$29,C6)=1,VLOOKUP(C6,'Event Guide'!$A$6:$C$29,2,FALSE),"Unknown event"))</x:f>
      </x:c>
      <x:c r="P6" s="42" t="str">
        <x:f>IF(A6="","",IF(COUNTIFS('Event Guide'!$A$6:$A$29,C6)=1,VLOOKUP(C6,'Event Guide'!$A$6:$C$29,3,FALSE),"Unknown event"))</x:f>
      </x:c>
      <x:c r="Q6" s="42" t="str">
        <x:f>IF(A6="","",IF(O6="PAY",E6,IF(O6="OTHER",F6,IF(O6="CAPITAL","Capital - "&amp;G6,IF(O6="DUE","Due to - "&amp;G6,IF(O6="DRAW","Drawings - "&amp;G6,O6))))))</x:f>
      </x:c>
      <x:c r="R6" s="42" t="str">
        <x:f>IF(A6="","",IF(P6="PAY",E6,IF(P6="OTHER",F6,IF(P6="CAPITAL","Capital - "&amp;G6,IF(P6="DUE","Due to - "&amp;G6,IF(P6="DRAW","Drawings - "&amp;G6,P6))))))</x:f>
      </x:c>
      <x:c r="S6" s="37" t="n">
        <x:f>IF(AND(N6="Approved",T6="OK"),D6,0)</x:f>
        <x:v>0</x:v>
      </x:c>
      <x:c r="T6" s="42" t="str">
        <x:f>IF(A6="","",IF(COUNTIFS($A$6:$A$505,A6)&lt;&gt;1,"Duplicate ID",IF(OR(NOT(ISNUMBER(B6)),D6&lt;=0,NOT(ISNUMBER(D6)),I6="",J6="",L6=""),"Missing date/amount/ref/details",IF(OR(COUNTIFS('Accounts'!$A$6:$A$105,Q6)&lt;&gt;1,COUNTIFS('Accounts'!$A$6:$A$105,R6)&lt;&gt;1,Q6=R6),"Check accounts/event",IF(AND(OR(Q6="Trade payables",R6="Trade payables",Q6="Customer receivables",R6="Customer receivables",Q6="Courier receivables",R6="Courier receivables",Q6="Supplier advances",R6="Supplier advances"),H6=""),"Contact ID required",IF(AND(N6="Approved",OR(M6="",M6=L6)),"Independent review needed",IF(OR(N6="Draft",N6="Approved",N6="Void"),"OK","Status required")))))))</x:f>
      </x:c>
    </x:row>
    <x:row r="7" ht="23" customHeight="1">
      <x:c r="A7" s="36"/>
      <x:c r="B7" s="40"/>
      <x:c r="C7" s="36"/>
      <x:c r="D7" s="41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42" t="str">
        <x:f>IF(A7="","",IF(COUNTIFS('Event Guide'!$A$6:$A$29,C7)=1,VLOOKUP(C7,'Event Guide'!$A$6:$C$29,2,FALSE),"Unknown event"))</x:f>
      </x:c>
      <x:c r="P7" s="42" t="str">
        <x:f>IF(A7="","",IF(COUNTIFS('Event Guide'!$A$6:$A$29,C7)=1,VLOOKUP(C7,'Event Guide'!$A$6:$C$29,3,FALSE),"Unknown event"))</x:f>
      </x:c>
      <x:c r="Q7" s="42" t="str">
        <x:f>IF(A7="","",IF(O7="PAY",E7,IF(O7="OTHER",F7,IF(O7="CAPITAL","Capital - "&amp;G7,IF(O7="DUE","Due to - "&amp;G7,IF(O7="DRAW","Drawings - "&amp;G7,O7))))))</x:f>
      </x:c>
      <x:c r="R7" s="42" t="str">
        <x:f>IF(A7="","",IF(P7="PAY",E7,IF(P7="OTHER",F7,IF(P7="CAPITAL","Capital - "&amp;G7,IF(P7="DUE","Due to - "&amp;G7,IF(P7="DRAW","Drawings - "&amp;G7,P7))))))</x:f>
      </x:c>
      <x:c r="S7" s="37" t="n">
        <x:f>IF(AND(N7="Approved",T7="OK"),D7,0)</x:f>
        <x:v>0</x:v>
      </x:c>
      <x:c r="T7" s="42" t="str">
        <x:f>IF(A7="","",IF(COUNTIFS($A$6:$A$505,A7)&lt;&gt;1,"Duplicate ID",IF(OR(NOT(ISNUMBER(B7)),D7&lt;=0,NOT(ISNUMBER(D7)),I7="",J7="",L7=""),"Missing date/amount/ref/details",IF(OR(COUNTIFS('Accounts'!$A$6:$A$105,Q7)&lt;&gt;1,COUNTIFS('Accounts'!$A$6:$A$105,R7)&lt;&gt;1,Q7=R7),"Check accounts/event",IF(AND(OR(Q7="Trade payables",R7="Trade payables",Q7="Customer receivables",R7="Customer receivables",Q7="Courier receivables",R7="Courier receivables",Q7="Supplier advances",R7="Supplier advances"),H7=""),"Contact ID required",IF(AND(N7="Approved",OR(M7="",M7=L7)),"Independent review needed",IF(OR(N7="Draft",N7="Approved",N7="Void"),"OK","Status required")))))))</x:f>
      </x:c>
    </x:row>
    <x:row r="8" ht="23" customHeight="1">
      <x:c r="A8" s="36"/>
      <x:c r="B8" s="40"/>
      <x:c r="C8" s="36"/>
      <x:c r="D8" s="41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42" t="str">
        <x:f>IF(A8="","",IF(COUNTIFS('Event Guide'!$A$6:$A$29,C8)=1,VLOOKUP(C8,'Event Guide'!$A$6:$C$29,2,FALSE),"Unknown event"))</x:f>
      </x:c>
      <x:c r="P8" s="42" t="str">
        <x:f>IF(A8="","",IF(COUNTIFS('Event Guide'!$A$6:$A$29,C8)=1,VLOOKUP(C8,'Event Guide'!$A$6:$C$29,3,FALSE),"Unknown event"))</x:f>
      </x:c>
      <x:c r="Q8" s="42" t="str">
        <x:f>IF(A8="","",IF(O8="PAY",E8,IF(O8="OTHER",F8,IF(O8="CAPITAL","Capital - "&amp;G8,IF(O8="DUE","Due to - "&amp;G8,IF(O8="DRAW","Drawings - "&amp;G8,O8))))))</x:f>
      </x:c>
      <x:c r="R8" s="42" t="str">
        <x:f>IF(A8="","",IF(P8="PAY",E8,IF(P8="OTHER",F8,IF(P8="CAPITAL","Capital - "&amp;G8,IF(P8="DUE","Due to - "&amp;G8,IF(P8="DRAW","Drawings - "&amp;G8,P8))))))</x:f>
      </x:c>
      <x:c r="S8" s="37" t="n">
        <x:f>IF(AND(N8="Approved",T8="OK"),D8,0)</x:f>
        <x:v>0</x:v>
      </x:c>
      <x:c r="T8" s="42" t="str">
        <x:f>IF(A8="","",IF(COUNTIFS($A$6:$A$505,A8)&lt;&gt;1,"Duplicate ID",IF(OR(NOT(ISNUMBER(B8)),D8&lt;=0,NOT(ISNUMBER(D8)),I8="",J8="",L8=""),"Missing date/amount/ref/details",IF(OR(COUNTIFS('Accounts'!$A$6:$A$105,Q8)&lt;&gt;1,COUNTIFS('Accounts'!$A$6:$A$105,R8)&lt;&gt;1,Q8=R8),"Check accounts/event",IF(AND(OR(Q8="Trade payables",R8="Trade payables",Q8="Customer receivables",R8="Customer receivables",Q8="Courier receivables",R8="Courier receivables",Q8="Supplier advances",R8="Supplier advances"),H8=""),"Contact ID required",IF(AND(N8="Approved",OR(M8="",M8=L8)),"Independent review needed",IF(OR(N8="Draft",N8="Approved",N8="Void"),"OK","Status required")))))))</x:f>
      </x:c>
    </x:row>
    <x:row r="9" ht="23" customHeight="1">
      <x:c r="A9" s="36"/>
      <x:c r="B9" s="40"/>
      <x:c r="C9" s="36"/>
      <x:c r="D9" s="41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42" t="str">
        <x:f>IF(A9="","",IF(COUNTIFS('Event Guide'!$A$6:$A$29,C9)=1,VLOOKUP(C9,'Event Guide'!$A$6:$C$29,2,FALSE),"Unknown event"))</x:f>
      </x:c>
      <x:c r="P9" s="42" t="str">
        <x:f>IF(A9="","",IF(COUNTIFS('Event Guide'!$A$6:$A$29,C9)=1,VLOOKUP(C9,'Event Guide'!$A$6:$C$29,3,FALSE),"Unknown event"))</x:f>
      </x:c>
      <x:c r="Q9" s="42" t="str">
        <x:f>IF(A9="","",IF(O9="PAY",E9,IF(O9="OTHER",F9,IF(O9="CAPITAL","Capital - "&amp;G9,IF(O9="DUE","Due to - "&amp;G9,IF(O9="DRAW","Drawings - "&amp;G9,O9))))))</x:f>
      </x:c>
      <x:c r="R9" s="42" t="str">
        <x:f>IF(A9="","",IF(P9="PAY",E9,IF(P9="OTHER",F9,IF(P9="CAPITAL","Capital - "&amp;G9,IF(P9="DUE","Due to - "&amp;G9,IF(P9="DRAW","Drawings - "&amp;G9,P9))))))</x:f>
      </x:c>
      <x:c r="S9" s="37" t="n">
        <x:f>IF(AND(N9="Approved",T9="OK"),D9,0)</x:f>
        <x:v>0</x:v>
      </x:c>
      <x:c r="T9" s="42" t="str">
        <x:f>IF(A9="","",IF(COUNTIFS($A$6:$A$505,A9)&lt;&gt;1,"Duplicate ID",IF(OR(NOT(ISNUMBER(B9)),D9&lt;=0,NOT(ISNUMBER(D9)),I9="",J9="",L9=""),"Missing date/amount/ref/details",IF(OR(COUNTIFS('Accounts'!$A$6:$A$105,Q9)&lt;&gt;1,COUNTIFS('Accounts'!$A$6:$A$105,R9)&lt;&gt;1,Q9=R9),"Check accounts/event",IF(AND(OR(Q9="Trade payables",R9="Trade payables",Q9="Customer receivables",R9="Customer receivables",Q9="Courier receivables",R9="Courier receivables",Q9="Supplier advances",R9="Supplier advances"),H9=""),"Contact ID required",IF(AND(N9="Approved",OR(M9="",M9=L9)),"Independent review needed",IF(OR(N9="Draft",N9="Approved",N9="Void"),"OK","Status required")))))))</x:f>
      </x:c>
    </x:row>
    <x:row r="10" ht="23" customHeight="1">
      <x:c r="A10" s="36"/>
      <x:c r="B10" s="40"/>
      <x:c r="C10" s="36"/>
      <x:c r="D10" s="41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42" t="str">
        <x:f>IF(A10="","",IF(COUNTIFS('Event Guide'!$A$6:$A$29,C10)=1,VLOOKUP(C10,'Event Guide'!$A$6:$C$29,2,FALSE),"Unknown event"))</x:f>
      </x:c>
      <x:c r="P10" s="42" t="str">
        <x:f>IF(A10="","",IF(COUNTIFS('Event Guide'!$A$6:$A$29,C10)=1,VLOOKUP(C10,'Event Guide'!$A$6:$C$29,3,FALSE),"Unknown event"))</x:f>
      </x:c>
      <x:c r="Q10" s="42" t="str">
        <x:f>IF(A10="","",IF(O10="PAY",E10,IF(O10="OTHER",F10,IF(O10="CAPITAL","Capital - "&amp;G10,IF(O10="DUE","Due to - "&amp;G10,IF(O10="DRAW","Drawings - "&amp;G10,O10))))))</x:f>
      </x:c>
      <x:c r="R10" s="42" t="str">
        <x:f>IF(A10="","",IF(P10="PAY",E10,IF(P10="OTHER",F10,IF(P10="CAPITAL","Capital - "&amp;G10,IF(P10="DUE","Due to - "&amp;G10,IF(P10="DRAW","Drawings - "&amp;G10,P10))))))</x:f>
      </x:c>
      <x:c r="S10" s="37" t="n">
        <x:f>IF(AND(N10="Approved",T10="OK"),D10,0)</x:f>
        <x:v>0</x:v>
      </x:c>
      <x:c r="T10" s="42" t="str">
        <x:f>IF(A10="","",IF(COUNTIFS($A$6:$A$505,A10)&lt;&gt;1,"Duplicate ID",IF(OR(NOT(ISNUMBER(B10)),D10&lt;=0,NOT(ISNUMBER(D10)),I10="",J10="",L10=""),"Missing date/amount/ref/details",IF(OR(COUNTIFS('Accounts'!$A$6:$A$105,Q10)&lt;&gt;1,COUNTIFS('Accounts'!$A$6:$A$105,R10)&lt;&gt;1,Q10=R10),"Check accounts/event",IF(AND(OR(Q10="Trade payables",R10="Trade payables",Q10="Customer receivables",R10="Customer receivables",Q10="Courier receivables",R10="Courier receivables",Q10="Supplier advances",R10="Supplier advances"),H10=""),"Contact ID required",IF(AND(N10="Approved",OR(M10="",M10=L10)),"Independent review needed",IF(OR(N10="Draft",N10="Approved",N10="Void"),"OK","Status required")))))))</x:f>
      </x:c>
    </x:row>
    <x:row r="11" ht="23" customHeight="1">
      <x:c r="A11" s="36"/>
      <x:c r="B11" s="40"/>
      <x:c r="C11" s="36"/>
      <x:c r="D11" s="41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42" t="str">
        <x:f>IF(A11="","",IF(COUNTIFS('Event Guide'!$A$6:$A$29,C11)=1,VLOOKUP(C11,'Event Guide'!$A$6:$C$29,2,FALSE),"Unknown event"))</x:f>
      </x:c>
      <x:c r="P11" s="42" t="str">
        <x:f>IF(A11="","",IF(COUNTIFS('Event Guide'!$A$6:$A$29,C11)=1,VLOOKUP(C11,'Event Guide'!$A$6:$C$29,3,FALSE),"Unknown event"))</x:f>
      </x:c>
      <x:c r="Q11" s="42" t="str">
        <x:f>IF(A11="","",IF(O11="PAY",E11,IF(O11="OTHER",F11,IF(O11="CAPITAL","Capital - "&amp;G11,IF(O11="DUE","Due to - "&amp;G11,IF(O11="DRAW","Drawings - "&amp;G11,O11))))))</x:f>
      </x:c>
      <x:c r="R11" s="42" t="str">
        <x:f>IF(A11="","",IF(P11="PAY",E11,IF(P11="OTHER",F11,IF(P11="CAPITAL","Capital - "&amp;G11,IF(P11="DUE","Due to - "&amp;G11,IF(P11="DRAW","Drawings - "&amp;G11,P11))))))</x:f>
      </x:c>
      <x:c r="S11" s="37" t="n">
        <x:f>IF(AND(N11="Approved",T11="OK"),D11,0)</x:f>
        <x:v>0</x:v>
      </x:c>
      <x:c r="T11" s="42" t="str">
        <x:f>IF(A11="","",IF(COUNTIFS($A$6:$A$505,A11)&lt;&gt;1,"Duplicate ID",IF(OR(NOT(ISNUMBER(B11)),D11&lt;=0,NOT(ISNUMBER(D11)),I11="",J11="",L11=""),"Missing date/amount/ref/details",IF(OR(COUNTIFS('Accounts'!$A$6:$A$105,Q11)&lt;&gt;1,COUNTIFS('Accounts'!$A$6:$A$105,R11)&lt;&gt;1,Q11=R11),"Check accounts/event",IF(AND(OR(Q11="Trade payables",R11="Trade payables",Q11="Customer receivables",R11="Customer receivables",Q11="Courier receivables",R11="Courier receivables",Q11="Supplier advances",R11="Supplier advances"),H11=""),"Contact ID required",IF(AND(N11="Approved",OR(M11="",M11=L11)),"Independent review needed",IF(OR(N11="Draft",N11="Approved",N11="Void"),"OK","Status required")))))))</x:f>
      </x:c>
    </x:row>
    <x:row r="12" ht="23" customHeight="1">
      <x:c r="A12" s="36"/>
      <x:c r="B12" s="40"/>
      <x:c r="C12" s="36"/>
      <x:c r="D12" s="41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42" t="str">
        <x:f>IF(A12="","",IF(COUNTIFS('Event Guide'!$A$6:$A$29,C12)=1,VLOOKUP(C12,'Event Guide'!$A$6:$C$29,2,FALSE),"Unknown event"))</x:f>
      </x:c>
      <x:c r="P12" s="42" t="str">
        <x:f>IF(A12="","",IF(COUNTIFS('Event Guide'!$A$6:$A$29,C12)=1,VLOOKUP(C12,'Event Guide'!$A$6:$C$29,3,FALSE),"Unknown event"))</x:f>
      </x:c>
      <x:c r="Q12" s="42" t="str">
        <x:f>IF(A12="","",IF(O12="PAY",E12,IF(O12="OTHER",F12,IF(O12="CAPITAL","Capital - "&amp;G12,IF(O12="DUE","Due to - "&amp;G12,IF(O12="DRAW","Drawings - "&amp;G12,O12))))))</x:f>
      </x:c>
      <x:c r="R12" s="42" t="str">
        <x:f>IF(A12="","",IF(P12="PAY",E12,IF(P12="OTHER",F12,IF(P12="CAPITAL","Capital - "&amp;G12,IF(P12="DUE","Due to - "&amp;G12,IF(P12="DRAW","Drawings - "&amp;G12,P12))))))</x:f>
      </x:c>
      <x:c r="S12" s="37" t="n">
        <x:f>IF(AND(N12="Approved",T12="OK"),D12,0)</x:f>
        <x:v>0</x:v>
      </x:c>
      <x:c r="T12" s="42" t="str">
        <x:f>IF(A12="","",IF(COUNTIFS($A$6:$A$505,A12)&lt;&gt;1,"Duplicate ID",IF(OR(NOT(ISNUMBER(B12)),D12&lt;=0,NOT(ISNUMBER(D12)),I12="",J12="",L12=""),"Missing date/amount/ref/details",IF(OR(COUNTIFS('Accounts'!$A$6:$A$105,Q12)&lt;&gt;1,COUNTIFS('Accounts'!$A$6:$A$105,R12)&lt;&gt;1,Q12=R12),"Check accounts/event",IF(AND(OR(Q12="Trade payables",R12="Trade payables",Q12="Customer receivables",R12="Customer receivables",Q12="Courier receivables",R12="Courier receivables",Q12="Supplier advances",R12="Supplier advances"),H12=""),"Contact ID required",IF(AND(N12="Approved",OR(M12="",M12=L12)),"Independent review needed",IF(OR(N12="Draft",N12="Approved",N12="Void"),"OK","Status required")))))))</x:f>
      </x:c>
    </x:row>
    <x:row r="13" ht="23" customHeight="1">
      <x:c r="A13" s="36"/>
      <x:c r="B13" s="40"/>
      <x:c r="C13" s="36"/>
      <x:c r="D13" s="41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42" t="str">
        <x:f>IF(A13="","",IF(COUNTIFS('Event Guide'!$A$6:$A$29,C13)=1,VLOOKUP(C13,'Event Guide'!$A$6:$C$29,2,FALSE),"Unknown event"))</x:f>
      </x:c>
      <x:c r="P13" s="42" t="str">
        <x:f>IF(A13="","",IF(COUNTIFS('Event Guide'!$A$6:$A$29,C13)=1,VLOOKUP(C13,'Event Guide'!$A$6:$C$29,3,FALSE),"Unknown event"))</x:f>
      </x:c>
      <x:c r="Q13" s="42" t="str">
        <x:f>IF(A13="","",IF(O13="PAY",E13,IF(O13="OTHER",F13,IF(O13="CAPITAL","Capital - "&amp;G13,IF(O13="DUE","Due to - "&amp;G13,IF(O13="DRAW","Drawings - "&amp;G13,O13))))))</x:f>
      </x:c>
      <x:c r="R13" s="42" t="str">
        <x:f>IF(A13="","",IF(P13="PAY",E13,IF(P13="OTHER",F13,IF(P13="CAPITAL","Capital - "&amp;G13,IF(P13="DUE","Due to - "&amp;G13,IF(P13="DRAW","Drawings - "&amp;G13,P13))))))</x:f>
      </x:c>
      <x:c r="S13" s="37" t="n">
        <x:f>IF(AND(N13="Approved",T13="OK"),D13,0)</x:f>
        <x:v>0</x:v>
      </x:c>
      <x:c r="T13" s="42" t="str">
        <x:f>IF(A13="","",IF(COUNTIFS($A$6:$A$505,A13)&lt;&gt;1,"Duplicate ID",IF(OR(NOT(ISNUMBER(B13)),D13&lt;=0,NOT(ISNUMBER(D13)),I13="",J13="",L13=""),"Missing date/amount/ref/details",IF(OR(COUNTIFS('Accounts'!$A$6:$A$105,Q13)&lt;&gt;1,COUNTIFS('Accounts'!$A$6:$A$105,R13)&lt;&gt;1,Q13=R13),"Check accounts/event",IF(AND(OR(Q13="Trade payables",R13="Trade payables",Q13="Customer receivables",R13="Customer receivables",Q13="Courier receivables",R13="Courier receivables",Q13="Supplier advances",R13="Supplier advances"),H13=""),"Contact ID required",IF(AND(N13="Approved",OR(M13="",M13=L13)),"Independent review needed",IF(OR(N13="Draft",N13="Approved",N13="Void"),"OK","Status required")))))))</x:f>
      </x:c>
    </x:row>
    <x:row r="14" ht="23" customHeight="1">
      <x:c r="A14" s="36"/>
      <x:c r="B14" s="40"/>
      <x:c r="C14" s="36"/>
      <x:c r="D14" s="41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42" t="str">
        <x:f>IF(A14="","",IF(COUNTIFS('Event Guide'!$A$6:$A$29,C14)=1,VLOOKUP(C14,'Event Guide'!$A$6:$C$29,2,FALSE),"Unknown event"))</x:f>
      </x:c>
      <x:c r="P14" s="42" t="str">
        <x:f>IF(A14="","",IF(COUNTIFS('Event Guide'!$A$6:$A$29,C14)=1,VLOOKUP(C14,'Event Guide'!$A$6:$C$29,3,FALSE),"Unknown event"))</x:f>
      </x:c>
      <x:c r="Q14" s="42" t="str">
        <x:f>IF(A14="","",IF(O14="PAY",E14,IF(O14="OTHER",F14,IF(O14="CAPITAL","Capital - "&amp;G14,IF(O14="DUE","Due to - "&amp;G14,IF(O14="DRAW","Drawings - "&amp;G14,O14))))))</x:f>
      </x:c>
      <x:c r="R14" s="42" t="str">
        <x:f>IF(A14="","",IF(P14="PAY",E14,IF(P14="OTHER",F14,IF(P14="CAPITAL","Capital - "&amp;G14,IF(P14="DUE","Due to - "&amp;G14,IF(P14="DRAW","Drawings - "&amp;G14,P14))))))</x:f>
      </x:c>
      <x:c r="S14" s="37" t="n">
        <x:f>IF(AND(N14="Approved",T14="OK"),D14,0)</x:f>
        <x:v>0</x:v>
      </x:c>
      <x:c r="T14" s="42" t="str">
        <x:f>IF(A14="","",IF(COUNTIFS($A$6:$A$505,A14)&lt;&gt;1,"Duplicate ID",IF(OR(NOT(ISNUMBER(B14)),D14&lt;=0,NOT(ISNUMBER(D14)),I14="",J14="",L14=""),"Missing date/amount/ref/details",IF(OR(COUNTIFS('Accounts'!$A$6:$A$105,Q14)&lt;&gt;1,COUNTIFS('Accounts'!$A$6:$A$105,R14)&lt;&gt;1,Q14=R14),"Check accounts/event",IF(AND(OR(Q14="Trade payables",R14="Trade payables",Q14="Customer receivables",R14="Customer receivables",Q14="Courier receivables",R14="Courier receivables",Q14="Supplier advances",R14="Supplier advances"),H14=""),"Contact ID required",IF(AND(N14="Approved",OR(M14="",M14=L14)),"Independent review needed",IF(OR(N14="Draft",N14="Approved",N14="Void"),"OK","Status required")))))))</x:f>
      </x:c>
    </x:row>
    <x:row r="15" ht="23" customHeight="1">
      <x:c r="A15" s="36"/>
      <x:c r="B15" s="40"/>
      <x:c r="C15" s="36"/>
      <x:c r="D15" s="41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42" t="str">
        <x:f>IF(A15="","",IF(COUNTIFS('Event Guide'!$A$6:$A$29,C15)=1,VLOOKUP(C15,'Event Guide'!$A$6:$C$29,2,FALSE),"Unknown event"))</x:f>
      </x:c>
      <x:c r="P15" s="42" t="str">
        <x:f>IF(A15="","",IF(COUNTIFS('Event Guide'!$A$6:$A$29,C15)=1,VLOOKUP(C15,'Event Guide'!$A$6:$C$29,3,FALSE),"Unknown event"))</x:f>
      </x:c>
      <x:c r="Q15" s="42" t="str">
        <x:f>IF(A15="","",IF(O15="PAY",E15,IF(O15="OTHER",F15,IF(O15="CAPITAL","Capital - "&amp;G15,IF(O15="DUE","Due to - "&amp;G15,IF(O15="DRAW","Drawings - "&amp;G15,O15))))))</x:f>
      </x:c>
      <x:c r="R15" s="42" t="str">
        <x:f>IF(A15="","",IF(P15="PAY",E15,IF(P15="OTHER",F15,IF(P15="CAPITAL","Capital - "&amp;G15,IF(P15="DUE","Due to - "&amp;G15,IF(P15="DRAW","Drawings - "&amp;G15,P15))))))</x:f>
      </x:c>
      <x:c r="S15" s="37" t="n">
        <x:f>IF(AND(N15="Approved",T15="OK"),D15,0)</x:f>
        <x:v>0</x:v>
      </x:c>
      <x:c r="T15" s="42" t="str">
        <x:f>IF(A15="","",IF(COUNTIFS($A$6:$A$505,A15)&lt;&gt;1,"Duplicate ID",IF(OR(NOT(ISNUMBER(B15)),D15&lt;=0,NOT(ISNUMBER(D15)),I15="",J15="",L15=""),"Missing date/amount/ref/details",IF(OR(COUNTIFS('Accounts'!$A$6:$A$105,Q15)&lt;&gt;1,COUNTIFS('Accounts'!$A$6:$A$105,R15)&lt;&gt;1,Q15=R15),"Check accounts/event",IF(AND(OR(Q15="Trade payables",R15="Trade payables",Q15="Customer receivables",R15="Customer receivables",Q15="Courier receivables",R15="Courier receivables",Q15="Supplier advances",R15="Supplier advances"),H15=""),"Contact ID required",IF(AND(N15="Approved",OR(M15="",M15=L15)),"Independent review needed",IF(OR(N15="Draft",N15="Approved",N15="Void"),"OK","Status required")))))))</x:f>
      </x:c>
    </x:row>
    <x:row r="16" ht="23" customHeight="1">
      <x:c r="A16" s="36"/>
      <x:c r="B16" s="40"/>
      <x:c r="C16" s="36"/>
      <x:c r="D16" s="41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42" t="str">
        <x:f>IF(A16="","",IF(COUNTIFS('Event Guide'!$A$6:$A$29,C16)=1,VLOOKUP(C16,'Event Guide'!$A$6:$C$29,2,FALSE),"Unknown event"))</x:f>
      </x:c>
      <x:c r="P16" s="42" t="str">
        <x:f>IF(A16="","",IF(COUNTIFS('Event Guide'!$A$6:$A$29,C16)=1,VLOOKUP(C16,'Event Guide'!$A$6:$C$29,3,FALSE),"Unknown event"))</x:f>
      </x:c>
      <x:c r="Q16" s="42" t="str">
        <x:f>IF(A16="","",IF(O16="PAY",E16,IF(O16="OTHER",F16,IF(O16="CAPITAL","Capital - "&amp;G16,IF(O16="DUE","Due to - "&amp;G16,IF(O16="DRAW","Drawings - "&amp;G16,O16))))))</x:f>
      </x:c>
      <x:c r="R16" s="42" t="str">
        <x:f>IF(A16="","",IF(P16="PAY",E16,IF(P16="OTHER",F16,IF(P16="CAPITAL","Capital - "&amp;G16,IF(P16="DUE","Due to - "&amp;G16,IF(P16="DRAW","Drawings - "&amp;G16,P16))))))</x:f>
      </x:c>
      <x:c r="S16" s="37" t="n">
        <x:f>IF(AND(N16="Approved",T16="OK"),D16,0)</x:f>
        <x:v>0</x:v>
      </x:c>
      <x:c r="T16" s="42" t="str">
        <x:f>IF(A16="","",IF(COUNTIFS($A$6:$A$505,A16)&lt;&gt;1,"Duplicate ID",IF(OR(NOT(ISNUMBER(B16)),D16&lt;=0,NOT(ISNUMBER(D16)),I16="",J16="",L16=""),"Missing date/amount/ref/details",IF(OR(COUNTIFS('Accounts'!$A$6:$A$105,Q16)&lt;&gt;1,COUNTIFS('Accounts'!$A$6:$A$105,R16)&lt;&gt;1,Q16=R16),"Check accounts/event",IF(AND(OR(Q16="Trade payables",R16="Trade payables",Q16="Customer receivables",R16="Customer receivables",Q16="Courier receivables",R16="Courier receivables",Q16="Supplier advances",R16="Supplier advances"),H16=""),"Contact ID required",IF(AND(N16="Approved",OR(M16="",M16=L16)),"Independent review needed",IF(OR(N16="Draft",N16="Approved",N16="Void"),"OK","Status required")))))))</x:f>
      </x:c>
    </x:row>
    <x:row r="17" ht="23" customHeight="1">
      <x:c r="A17" s="36"/>
      <x:c r="B17" s="40"/>
      <x:c r="C17" s="36"/>
      <x:c r="D17" s="41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42" t="str">
        <x:f>IF(A17="","",IF(COUNTIFS('Event Guide'!$A$6:$A$29,C17)=1,VLOOKUP(C17,'Event Guide'!$A$6:$C$29,2,FALSE),"Unknown event"))</x:f>
      </x:c>
      <x:c r="P17" s="42" t="str">
        <x:f>IF(A17="","",IF(COUNTIFS('Event Guide'!$A$6:$A$29,C17)=1,VLOOKUP(C17,'Event Guide'!$A$6:$C$29,3,FALSE),"Unknown event"))</x:f>
      </x:c>
      <x:c r="Q17" s="42" t="str">
        <x:f>IF(A17="","",IF(O17="PAY",E17,IF(O17="OTHER",F17,IF(O17="CAPITAL","Capital - "&amp;G17,IF(O17="DUE","Due to - "&amp;G17,IF(O17="DRAW","Drawings - "&amp;G17,O17))))))</x:f>
      </x:c>
      <x:c r="R17" s="42" t="str">
        <x:f>IF(A17="","",IF(P17="PAY",E17,IF(P17="OTHER",F17,IF(P17="CAPITAL","Capital - "&amp;G17,IF(P17="DUE","Due to - "&amp;G17,IF(P17="DRAW","Drawings - "&amp;G17,P17))))))</x:f>
      </x:c>
      <x:c r="S17" s="37" t="n">
        <x:f>IF(AND(N17="Approved",T17="OK"),D17,0)</x:f>
        <x:v>0</x:v>
      </x:c>
      <x:c r="T17" s="42" t="str">
        <x:f>IF(A17="","",IF(COUNTIFS($A$6:$A$505,A17)&lt;&gt;1,"Duplicate ID",IF(OR(NOT(ISNUMBER(B17)),D17&lt;=0,NOT(ISNUMBER(D17)),I17="",J17="",L17=""),"Missing date/amount/ref/details",IF(OR(COUNTIFS('Accounts'!$A$6:$A$105,Q17)&lt;&gt;1,COUNTIFS('Accounts'!$A$6:$A$105,R17)&lt;&gt;1,Q17=R17),"Check accounts/event",IF(AND(OR(Q17="Trade payables",R17="Trade payables",Q17="Customer receivables",R17="Customer receivables",Q17="Courier receivables",R17="Courier receivables",Q17="Supplier advances",R17="Supplier advances"),H17=""),"Contact ID required",IF(AND(N17="Approved",OR(M17="",M17=L17)),"Independent review needed",IF(OR(N17="Draft",N17="Approved",N17="Void"),"OK","Status required")))))))</x:f>
      </x:c>
    </x:row>
    <x:row r="18" ht="23" customHeight="1">
      <x:c r="A18" s="36"/>
      <x:c r="B18" s="40"/>
      <x:c r="C18" s="36"/>
      <x:c r="D18" s="41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42" t="str">
        <x:f>IF(A18="","",IF(COUNTIFS('Event Guide'!$A$6:$A$29,C18)=1,VLOOKUP(C18,'Event Guide'!$A$6:$C$29,2,FALSE),"Unknown event"))</x:f>
      </x:c>
      <x:c r="P18" s="42" t="str">
        <x:f>IF(A18="","",IF(COUNTIFS('Event Guide'!$A$6:$A$29,C18)=1,VLOOKUP(C18,'Event Guide'!$A$6:$C$29,3,FALSE),"Unknown event"))</x:f>
      </x:c>
      <x:c r="Q18" s="42" t="str">
        <x:f>IF(A18="","",IF(O18="PAY",E18,IF(O18="OTHER",F18,IF(O18="CAPITAL","Capital - "&amp;G18,IF(O18="DUE","Due to - "&amp;G18,IF(O18="DRAW","Drawings - "&amp;G18,O18))))))</x:f>
      </x:c>
      <x:c r="R18" s="42" t="str">
        <x:f>IF(A18="","",IF(P18="PAY",E18,IF(P18="OTHER",F18,IF(P18="CAPITAL","Capital - "&amp;G18,IF(P18="DUE","Due to - "&amp;G18,IF(P18="DRAW","Drawings - "&amp;G18,P18))))))</x:f>
      </x:c>
      <x:c r="S18" s="37" t="n">
        <x:f>IF(AND(N18="Approved",T18="OK"),D18,0)</x:f>
        <x:v>0</x:v>
      </x:c>
      <x:c r="T18" s="42" t="str">
        <x:f>IF(A18="","",IF(COUNTIFS($A$6:$A$505,A18)&lt;&gt;1,"Duplicate ID",IF(OR(NOT(ISNUMBER(B18)),D18&lt;=0,NOT(ISNUMBER(D18)),I18="",J18="",L18=""),"Missing date/amount/ref/details",IF(OR(COUNTIFS('Accounts'!$A$6:$A$105,Q18)&lt;&gt;1,COUNTIFS('Accounts'!$A$6:$A$105,R18)&lt;&gt;1,Q18=R18),"Check accounts/event",IF(AND(OR(Q18="Trade payables",R18="Trade payables",Q18="Customer receivables",R18="Customer receivables",Q18="Courier receivables",R18="Courier receivables",Q18="Supplier advances",R18="Supplier advances"),H18=""),"Contact ID required",IF(AND(N18="Approved",OR(M18="",M18=L18)),"Independent review needed",IF(OR(N18="Draft",N18="Approved",N18="Void"),"OK","Status required")))))))</x:f>
      </x:c>
    </x:row>
    <x:row r="19" ht="23" customHeight="1">
      <x:c r="A19" s="36"/>
      <x:c r="B19" s="40"/>
      <x:c r="C19" s="36"/>
      <x:c r="D19" s="41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42" t="str">
        <x:f>IF(A19="","",IF(COUNTIFS('Event Guide'!$A$6:$A$29,C19)=1,VLOOKUP(C19,'Event Guide'!$A$6:$C$29,2,FALSE),"Unknown event"))</x:f>
      </x:c>
      <x:c r="P19" s="42" t="str">
        <x:f>IF(A19="","",IF(COUNTIFS('Event Guide'!$A$6:$A$29,C19)=1,VLOOKUP(C19,'Event Guide'!$A$6:$C$29,3,FALSE),"Unknown event"))</x:f>
      </x:c>
      <x:c r="Q19" s="42" t="str">
        <x:f>IF(A19="","",IF(O19="PAY",E19,IF(O19="OTHER",F19,IF(O19="CAPITAL","Capital - "&amp;G19,IF(O19="DUE","Due to - "&amp;G19,IF(O19="DRAW","Drawings - "&amp;G19,O19))))))</x:f>
      </x:c>
      <x:c r="R19" s="42" t="str">
        <x:f>IF(A19="","",IF(P19="PAY",E19,IF(P19="OTHER",F19,IF(P19="CAPITAL","Capital - "&amp;G19,IF(P19="DUE","Due to - "&amp;G19,IF(P19="DRAW","Drawings - "&amp;G19,P19))))))</x:f>
      </x:c>
      <x:c r="S19" s="37" t="n">
        <x:f>IF(AND(N19="Approved",T19="OK"),D19,0)</x:f>
        <x:v>0</x:v>
      </x:c>
      <x:c r="T19" s="42" t="str">
        <x:f>IF(A19="","",IF(COUNTIFS($A$6:$A$505,A19)&lt;&gt;1,"Duplicate ID",IF(OR(NOT(ISNUMBER(B19)),D19&lt;=0,NOT(ISNUMBER(D19)),I19="",J19="",L19=""),"Missing date/amount/ref/details",IF(OR(COUNTIFS('Accounts'!$A$6:$A$105,Q19)&lt;&gt;1,COUNTIFS('Accounts'!$A$6:$A$105,R19)&lt;&gt;1,Q19=R19),"Check accounts/event",IF(AND(OR(Q19="Trade payables",R19="Trade payables",Q19="Customer receivables",R19="Customer receivables",Q19="Courier receivables",R19="Courier receivables",Q19="Supplier advances",R19="Supplier advances"),H19=""),"Contact ID required",IF(AND(N19="Approved",OR(M19="",M19=L19)),"Independent review needed",IF(OR(N19="Draft",N19="Approved",N19="Void"),"OK","Status required")))))))</x:f>
      </x:c>
    </x:row>
    <x:row r="20" ht="23" customHeight="1">
      <x:c r="A20" s="36"/>
      <x:c r="B20" s="40"/>
      <x:c r="C20" s="36"/>
      <x:c r="D20" s="41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42" t="str">
        <x:f>IF(A20="","",IF(COUNTIFS('Event Guide'!$A$6:$A$29,C20)=1,VLOOKUP(C20,'Event Guide'!$A$6:$C$29,2,FALSE),"Unknown event"))</x:f>
      </x:c>
      <x:c r="P20" s="42" t="str">
        <x:f>IF(A20="","",IF(COUNTIFS('Event Guide'!$A$6:$A$29,C20)=1,VLOOKUP(C20,'Event Guide'!$A$6:$C$29,3,FALSE),"Unknown event"))</x:f>
      </x:c>
      <x:c r="Q20" s="42" t="str">
        <x:f>IF(A20="","",IF(O20="PAY",E20,IF(O20="OTHER",F20,IF(O20="CAPITAL","Capital - "&amp;G20,IF(O20="DUE","Due to - "&amp;G20,IF(O20="DRAW","Drawings - "&amp;G20,O20))))))</x:f>
      </x:c>
      <x:c r="R20" s="42" t="str">
        <x:f>IF(A20="","",IF(P20="PAY",E20,IF(P20="OTHER",F20,IF(P20="CAPITAL","Capital - "&amp;G20,IF(P20="DUE","Due to - "&amp;G20,IF(P20="DRAW","Drawings - "&amp;G20,P20))))))</x:f>
      </x:c>
      <x:c r="S20" s="37" t="n">
        <x:f>IF(AND(N20="Approved",T20="OK"),D20,0)</x:f>
        <x:v>0</x:v>
      </x:c>
      <x:c r="T20" s="42" t="str">
        <x:f>IF(A20="","",IF(COUNTIFS($A$6:$A$505,A20)&lt;&gt;1,"Duplicate ID",IF(OR(NOT(ISNUMBER(B20)),D20&lt;=0,NOT(ISNUMBER(D20)),I20="",J20="",L20=""),"Missing date/amount/ref/details",IF(OR(COUNTIFS('Accounts'!$A$6:$A$105,Q20)&lt;&gt;1,COUNTIFS('Accounts'!$A$6:$A$105,R20)&lt;&gt;1,Q20=R20),"Check accounts/event",IF(AND(OR(Q20="Trade payables",R20="Trade payables",Q20="Customer receivables",R20="Customer receivables",Q20="Courier receivables",R20="Courier receivables",Q20="Supplier advances",R20="Supplier advances"),H20=""),"Contact ID required",IF(AND(N20="Approved",OR(M20="",M20=L20)),"Independent review needed",IF(OR(N20="Draft",N20="Approved",N20="Void"),"OK","Status required")))))))</x:f>
      </x:c>
    </x:row>
    <x:row r="21" ht="23" customHeight="1">
      <x:c r="A21" s="36"/>
      <x:c r="B21" s="40"/>
      <x:c r="C21" s="36"/>
      <x:c r="D21" s="41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42" t="str">
        <x:f>IF(A21="","",IF(COUNTIFS('Event Guide'!$A$6:$A$29,C21)=1,VLOOKUP(C21,'Event Guide'!$A$6:$C$29,2,FALSE),"Unknown event"))</x:f>
      </x:c>
      <x:c r="P21" s="42" t="str">
        <x:f>IF(A21="","",IF(COUNTIFS('Event Guide'!$A$6:$A$29,C21)=1,VLOOKUP(C21,'Event Guide'!$A$6:$C$29,3,FALSE),"Unknown event"))</x:f>
      </x:c>
      <x:c r="Q21" s="42" t="str">
        <x:f>IF(A21="","",IF(O21="PAY",E21,IF(O21="OTHER",F21,IF(O21="CAPITAL","Capital - "&amp;G21,IF(O21="DUE","Due to - "&amp;G21,IF(O21="DRAW","Drawings - "&amp;G21,O21))))))</x:f>
      </x:c>
      <x:c r="R21" s="42" t="str">
        <x:f>IF(A21="","",IF(P21="PAY",E21,IF(P21="OTHER",F21,IF(P21="CAPITAL","Capital - "&amp;G21,IF(P21="DUE","Due to - "&amp;G21,IF(P21="DRAW","Drawings - "&amp;G21,P21))))))</x:f>
      </x:c>
      <x:c r="S21" s="37" t="n">
        <x:f>IF(AND(N21="Approved",T21="OK"),D21,0)</x:f>
        <x:v>0</x:v>
      </x:c>
      <x:c r="T21" s="42" t="str">
        <x:f>IF(A21="","",IF(COUNTIFS($A$6:$A$505,A21)&lt;&gt;1,"Duplicate ID",IF(OR(NOT(ISNUMBER(B21)),D21&lt;=0,NOT(ISNUMBER(D21)),I21="",J21="",L21=""),"Missing date/amount/ref/details",IF(OR(COUNTIFS('Accounts'!$A$6:$A$105,Q21)&lt;&gt;1,COUNTIFS('Accounts'!$A$6:$A$105,R21)&lt;&gt;1,Q21=R21),"Check accounts/event",IF(AND(OR(Q21="Trade payables",R21="Trade payables",Q21="Customer receivables",R21="Customer receivables",Q21="Courier receivables",R21="Courier receivables",Q21="Supplier advances",R21="Supplier advances"),H21=""),"Contact ID required",IF(AND(N21="Approved",OR(M21="",M21=L21)),"Independent review needed",IF(OR(N21="Draft",N21="Approved",N21="Void"),"OK","Status required")))))))</x:f>
      </x:c>
    </x:row>
    <x:row r="22" ht="23" customHeight="1">
      <x:c r="A22" s="36"/>
      <x:c r="B22" s="40"/>
      <x:c r="C22" s="36"/>
      <x:c r="D22" s="41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42" t="str">
        <x:f>IF(A22="","",IF(COUNTIFS('Event Guide'!$A$6:$A$29,C22)=1,VLOOKUP(C22,'Event Guide'!$A$6:$C$29,2,FALSE),"Unknown event"))</x:f>
      </x:c>
      <x:c r="P22" s="42" t="str">
        <x:f>IF(A22="","",IF(COUNTIFS('Event Guide'!$A$6:$A$29,C22)=1,VLOOKUP(C22,'Event Guide'!$A$6:$C$29,3,FALSE),"Unknown event"))</x:f>
      </x:c>
      <x:c r="Q22" s="42" t="str">
        <x:f>IF(A22="","",IF(O22="PAY",E22,IF(O22="OTHER",F22,IF(O22="CAPITAL","Capital - "&amp;G22,IF(O22="DUE","Due to - "&amp;G22,IF(O22="DRAW","Drawings - "&amp;G22,O22))))))</x:f>
      </x:c>
      <x:c r="R22" s="42" t="str">
        <x:f>IF(A22="","",IF(P22="PAY",E22,IF(P22="OTHER",F22,IF(P22="CAPITAL","Capital - "&amp;G22,IF(P22="DUE","Due to - "&amp;G22,IF(P22="DRAW","Drawings - "&amp;G22,P22))))))</x:f>
      </x:c>
      <x:c r="S22" s="37" t="n">
        <x:f>IF(AND(N22="Approved",T22="OK"),D22,0)</x:f>
        <x:v>0</x:v>
      </x:c>
      <x:c r="T22" s="42" t="str">
        <x:f>IF(A22="","",IF(COUNTIFS($A$6:$A$505,A22)&lt;&gt;1,"Duplicate ID",IF(OR(NOT(ISNUMBER(B22)),D22&lt;=0,NOT(ISNUMBER(D22)),I22="",J22="",L22=""),"Missing date/amount/ref/details",IF(OR(COUNTIFS('Accounts'!$A$6:$A$105,Q22)&lt;&gt;1,COUNTIFS('Accounts'!$A$6:$A$105,R22)&lt;&gt;1,Q22=R22),"Check accounts/event",IF(AND(OR(Q22="Trade payables",R22="Trade payables",Q22="Customer receivables",R22="Customer receivables",Q22="Courier receivables",R22="Courier receivables",Q22="Supplier advances",R22="Supplier advances"),H22=""),"Contact ID required",IF(AND(N22="Approved",OR(M22="",M22=L22)),"Independent review needed",IF(OR(N22="Draft",N22="Approved",N22="Void"),"OK","Status required")))))))</x:f>
      </x:c>
    </x:row>
    <x:row r="23" ht="23" customHeight="1">
      <x:c r="A23" s="36"/>
      <x:c r="B23" s="40"/>
      <x:c r="C23" s="36"/>
      <x:c r="D23" s="41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42" t="str">
        <x:f>IF(A23="","",IF(COUNTIFS('Event Guide'!$A$6:$A$29,C23)=1,VLOOKUP(C23,'Event Guide'!$A$6:$C$29,2,FALSE),"Unknown event"))</x:f>
      </x:c>
      <x:c r="P23" s="42" t="str">
        <x:f>IF(A23="","",IF(COUNTIFS('Event Guide'!$A$6:$A$29,C23)=1,VLOOKUP(C23,'Event Guide'!$A$6:$C$29,3,FALSE),"Unknown event"))</x:f>
      </x:c>
      <x:c r="Q23" s="42" t="str">
        <x:f>IF(A23="","",IF(O23="PAY",E23,IF(O23="OTHER",F23,IF(O23="CAPITAL","Capital - "&amp;G23,IF(O23="DUE","Due to - "&amp;G23,IF(O23="DRAW","Drawings - "&amp;G23,O23))))))</x:f>
      </x:c>
      <x:c r="R23" s="42" t="str">
        <x:f>IF(A23="","",IF(P23="PAY",E23,IF(P23="OTHER",F23,IF(P23="CAPITAL","Capital - "&amp;G23,IF(P23="DUE","Due to - "&amp;G23,IF(P23="DRAW","Drawings - "&amp;G23,P23))))))</x:f>
      </x:c>
      <x:c r="S23" s="37" t="n">
        <x:f>IF(AND(N23="Approved",T23="OK"),D23,0)</x:f>
        <x:v>0</x:v>
      </x:c>
      <x:c r="T23" s="42" t="str">
        <x:f>IF(A23="","",IF(COUNTIFS($A$6:$A$505,A23)&lt;&gt;1,"Duplicate ID",IF(OR(NOT(ISNUMBER(B23)),D23&lt;=0,NOT(ISNUMBER(D23)),I23="",J23="",L23=""),"Missing date/amount/ref/details",IF(OR(COUNTIFS('Accounts'!$A$6:$A$105,Q23)&lt;&gt;1,COUNTIFS('Accounts'!$A$6:$A$105,R23)&lt;&gt;1,Q23=R23),"Check accounts/event",IF(AND(OR(Q23="Trade payables",R23="Trade payables",Q23="Customer receivables",R23="Customer receivables",Q23="Courier receivables",R23="Courier receivables",Q23="Supplier advances",R23="Supplier advances"),H23=""),"Contact ID required",IF(AND(N23="Approved",OR(M23="",M23=L23)),"Independent review needed",IF(OR(N23="Draft",N23="Approved",N23="Void"),"OK","Status required")))))))</x:f>
      </x:c>
    </x:row>
    <x:row r="24" ht="23" customHeight="1">
      <x:c r="A24" s="36"/>
      <x:c r="B24" s="40"/>
      <x:c r="C24" s="36"/>
      <x:c r="D24" s="41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42" t="str">
        <x:f>IF(A24="","",IF(COUNTIFS('Event Guide'!$A$6:$A$29,C24)=1,VLOOKUP(C24,'Event Guide'!$A$6:$C$29,2,FALSE),"Unknown event"))</x:f>
      </x:c>
      <x:c r="P24" s="42" t="str">
        <x:f>IF(A24="","",IF(COUNTIFS('Event Guide'!$A$6:$A$29,C24)=1,VLOOKUP(C24,'Event Guide'!$A$6:$C$29,3,FALSE),"Unknown event"))</x:f>
      </x:c>
      <x:c r="Q24" s="42" t="str">
        <x:f>IF(A24="","",IF(O24="PAY",E24,IF(O24="OTHER",F24,IF(O24="CAPITAL","Capital - "&amp;G24,IF(O24="DUE","Due to - "&amp;G24,IF(O24="DRAW","Drawings - "&amp;G24,O24))))))</x:f>
      </x:c>
      <x:c r="R24" s="42" t="str">
        <x:f>IF(A24="","",IF(P24="PAY",E24,IF(P24="OTHER",F24,IF(P24="CAPITAL","Capital - "&amp;G24,IF(P24="DUE","Due to - "&amp;G24,IF(P24="DRAW","Drawings - "&amp;G24,P24))))))</x:f>
      </x:c>
      <x:c r="S24" s="37" t="n">
        <x:f>IF(AND(N24="Approved",T24="OK"),D24,0)</x:f>
        <x:v>0</x:v>
      </x:c>
      <x:c r="T24" s="42" t="str">
        <x:f>IF(A24="","",IF(COUNTIFS($A$6:$A$505,A24)&lt;&gt;1,"Duplicate ID",IF(OR(NOT(ISNUMBER(B24)),D24&lt;=0,NOT(ISNUMBER(D24)),I24="",J24="",L24=""),"Missing date/amount/ref/details",IF(OR(COUNTIFS('Accounts'!$A$6:$A$105,Q24)&lt;&gt;1,COUNTIFS('Accounts'!$A$6:$A$105,R24)&lt;&gt;1,Q24=R24),"Check accounts/event",IF(AND(OR(Q24="Trade payables",R24="Trade payables",Q24="Customer receivables",R24="Customer receivables",Q24="Courier receivables",R24="Courier receivables",Q24="Supplier advances",R24="Supplier advances"),H24=""),"Contact ID required",IF(AND(N24="Approved",OR(M24="",M24=L24)),"Independent review needed",IF(OR(N24="Draft",N24="Approved",N24="Void"),"OK","Status required")))))))</x:f>
      </x:c>
    </x:row>
    <x:row r="25" ht="23" customHeight="1">
      <x:c r="A25" s="36"/>
      <x:c r="B25" s="40"/>
      <x:c r="C25" s="36"/>
      <x:c r="D25" s="41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42" t="str">
        <x:f>IF(A25="","",IF(COUNTIFS('Event Guide'!$A$6:$A$29,C25)=1,VLOOKUP(C25,'Event Guide'!$A$6:$C$29,2,FALSE),"Unknown event"))</x:f>
      </x:c>
      <x:c r="P25" s="42" t="str">
        <x:f>IF(A25="","",IF(COUNTIFS('Event Guide'!$A$6:$A$29,C25)=1,VLOOKUP(C25,'Event Guide'!$A$6:$C$29,3,FALSE),"Unknown event"))</x:f>
      </x:c>
      <x:c r="Q25" s="42" t="str">
        <x:f>IF(A25="","",IF(O25="PAY",E25,IF(O25="OTHER",F25,IF(O25="CAPITAL","Capital - "&amp;G25,IF(O25="DUE","Due to - "&amp;G25,IF(O25="DRAW","Drawings - "&amp;G25,O25))))))</x:f>
      </x:c>
      <x:c r="R25" s="42" t="str">
        <x:f>IF(A25="","",IF(P25="PAY",E25,IF(P25="OTHER",F25,IF(P25="CAPITAL","Capital - "&amp;G25,IF(P25="DUE","Due to - "&amp;G25,IF(P25="DRAW","Drawings - "&amp;G25,P25))))))</x:f>
      </x:c>
      <x:c r="S25" s="37" t="n">
        <x:f>IF(AND(N25="Approved",T25="OK"),D25,0)</x:f>
        <x:v>0</x:v>
      </x:c>
      <x:c r="T25" s="42" t="str">
        <x:f>IF(A25="","",IF(COUNTIFS($A$6:$A$505,A25)&lt;&gt;1,"Duplicate ID",IF(OR(NOT(ISNUMBER(B25)),D25&lt;=0,NOT(ISNUMBER(D25)),I25="",J25="",L25=""),"Missing date/amount/ref/details",IF(OR(COUNTIFS('Accounts'!$A$6:$A$105,Q25)&lt;&gt;1,COUNTIFS('Accounts'!$A$6:$A$105,R25)&lt;&gt;1,Q25=R25),"Check accounts/event",IF(AND(OR(Q25="Trade payables",R25="Trade payables",Q25="Customer receivables",R25="Customer receivables",Q25="Courier receivables",R25="Courier receivables",Q25="Supplier advances",R25="Supplier advances"),H25=""),"Contact ID required",IF(AND(N25="Approved",OR(M25="",M25=L25)),"Independent review needed",IF(OR(N25="Draft",N25="Approved",N25="Void"),"OK","Status required")))))))</x:f>
      </x:c>
    </x:row>
    <x:row r="26" ht="23" customHeight="1">
      <x:c r="A26" s="36"/>
      <x:c r="B26" s="40"/>
      <x:c r="C26" s="36"/>
      <x:c r="D26" s="41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42" t="str">
        <x:f>IF(A26="","",IF(COUNTIFS('Event Guide'!$A$6:$A$29,C26)=1,VLOOKUP(C26,'Event Guide'!$A$6:$C$29,2,FALSE),"Unknown event"))</x:f>
      </x:c>
      <x:c r="P26" s="42" t="str">
        <x:f>IF(A26="","",IF(COUNTIFS('Event Guide'!$A$6:$A$29,C26)=1,VLOOKUP(C26,'Event Guide'!$A$6:$C$29,3,FALSE),"Unknown event"))</x:f>
      </x:c>
      <x:c r="Q26" s="42" t="str">
        <x:f>IF(A26="","",IF(O26="PAY",E26,IF(O26="OTHER",F26,IF(O26="CAPITAL","Capital - "&amp;G26,IF(O26="DUE","Due to - "&amp;G26,IF(O26="DRAW","Drawings - "&amp;G26,O26))))))</x:f>
      </x:c>
      <x:c r="R26" s="42" t="str">
        <x:f>IF(A26="","",IF(P26="PAY",E26,IF(P26="OTHER",F26,IF(P26="CAPITAL","Capital - "&amp;G26,IF(P26="DUE","Due to - "&amp;G26,IF(P26="DRAW","Drawings - "&amp;G26,P26))))))</x:f>
      </x:c>
      <x:c r="S26" s="37" t="n">
        <x:f>IF(AND(N26="Approved",T26="OK"),D26,0)</x:f>
        <x:v>0</x:v>
      </x:c>
      <x:c r="T26" s="42" t="str">
        <x:f>IF(A26="","",IF(COUNTIFS($A$6:$A$505,A26)&lt;&gt;1,"Duplicate ID",IF(OR(NOT(ISNUMBER(B26)),D26&lt;=0,NOT(ISNUMBER(D26)),I26="",J26="",L26=""),"Missing date/amount/ref/details",IF(OR(COUNTIFS('Accounts'!$A$6:$A$105,Q26)&lt;&gt;1,COUNTIFS('Accounts'!$A$6:$A$105,R26)&lt;&gt;1,Q26=R26),"Check accounts/event",IF(AND(OR(Q26="Trade payables",R26="Trade payables",Q26="Customer receivables",R26="Customer receivables",Q26="Courier receivables",R26="Courier receivables",Q26="Supplier advances",R26="Supplier advances"),H26=""),"Contact ID required",IF(AND(N26="Approved",OR(M26="",M26=L26)),"Independent review needed",IF(OR(N26="Draft",N26="Approved",N26="Void"),"OK","Status required")))))))</x:f>
      </x:c>
    </x:row>
    <x:row r="27" ht="23" customHeight="1">
      <x:c r="A27" s="36"/>
      <x:c r="B27" s="40"/>
      <x:c r="C27" s="36"/>
      <x:c r="D27" s="41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42" t="str">
        <x:f>IF(A27="","",IF(COUNTIFS('Event Guide'!$A$6:$A$29,C27)=1,VLOOKUP(C27,'Event Guide'!$A$6:$C$29,2,FALSE),"Unknown event"))</x:f>
      </x:c>
      <x:c r="P27" s="42" t="str">
        <x:f>IF(A27="","",IF(COUNTIFS('Event Guide'!$A$6:$A$29,C27)=1,VLOOKUP(C27,'Event Guide'!$A$6:$C$29,3,FALSE),"Unknown event"))</x:f>
      </x:c>
      <x:c r="Q27" s="42" t="str">
        <x:f>IF(A27="","",IF(O27="PAY",E27,IF(O27="OTHER",F27,IF(O27="CAPITAL","Capital - "&amp;G27,IF(O27="DUE","Due to - "&amp;G27,IF(O27="DRAW","Drawings - "&amp;G27,O27))))))</x:f>
      </x:c>
      <x:c r="R27" s="42" t="str">
        <x:f>IF(A27="","",IF(P27="PAY",E27,IF(P27="OTHER",F27,IF(P27="CAPITAL","Capital - "&amp;G27,IF(P27="DUE","Due to - "&amp;G27,IF(P27="DRAW","Drawings - "&amp;G27,P27))))))</x:f>
      </x:c>
      <x:c r="S27" s="37" t="n">
        <x:f>IF(AND(N27="Approved",T27="OK"),D27,0)</x:f>
        <x:v>0</x:v>
      </x:c>
      <x:c r="T27" s="42" t="str">
        <x:f>IF(A27="","",IF(COUNTIFS($A$6:$A$505,A27)&lt;&gt;1,"Duplicate ID",IF(OR(NOT(ISNUMBER(B27)),D27&lt;=0,NOT(ISNUMBER(D27)),I27="",J27="",L27=""),"Missing date/amount/ref/details",IF(OR(COUNTIFS('Accounts'!$A$6:$A$105,Q27)&lt;&gt;1,COUNTIFS('Accounts'!$A$6:$A$105,R27)&lt;&gt;1,Q27=R27),"Check accounts/event",IF(AND(OR(Q27="Trade payables",R27="Trade payables",Q27="Customer receivables",R27="Customer receivables",Q27="Courier receivables",R27="Courier receivables",Q27="Supplier advances",R27="Supplier advances"),H27=""),"Contact ID required",IF(AND(N27="Approved",OR(M27="",M27=L27)),"Independent review needed",IF(OR(N27="Draft",N27="Approved",N27="Void"),"OK","Status required")))))))</x:f>
      </x:c>
    </x:row>
    <x:row r="28" ht="23" customHeight="1">
      <x:c r="A28" s="36"/>
      <x:c r="B28" s="40"/>
      <x:c r="C28" s="36"/>
      <x:c r="D28" s="41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42" t="str">
        <x:f>IF(A28="","",IF(COUNTIFS('Event Guide'!$A$6:$A$29,C28)=1,VLOOKUP(C28,'Event Guide'!$A$6:$C$29,2,FALSE),"Unknown event"))</x:f>
      </x:c>
      <x:c r="P28" s="42" t="str">
        <x:f>IF(A28="","",IF(COUNTIFS('Event Guide'!$A$6:$A$29,C28)=1,VLOOKUP(C28,'Event Guide'!$A$6:$C$29,3,FALSE),"Unknown event"))</x:f>
      </x:c>
      <x:c r="Q28" s="42" t="str">
        <x:f>IF(A28="","",IF(O28="PAY",E28,IF(O28="OTHER",F28,IF(O28="CAPITAL","Capital - "&amp;G28,IF(O28="DUE","Due to - "&amp;G28,IF(O28="DRAW","Drawings - "&amp;G28,O28))))))</x:f>
      </x:c>
      <x:c r="R28" s="42" t="str">
        <x:f>IF(A28="","",IF(P28="PAY",E28,IF(P28="OTHER",F28,IF(P28="CAPITAL","Capital - "&amp;G28,IF(P28="DUE","Due to - "&amp;G28,IF(P28="DRAW","Drawings - "&amp;G28,P28))))))</x:f>
      </x:c>
      <x:c r="S28" s="37" t="n">
        <x:f>IF(AND(N28="Approved",T28="OK"),D28,0)</x:f>
        <x:v>0</x:v>
      </x:c>
      <x:c r="T28" s="42" t="str">
        <x:f>IF(A28="","",IF(COUNTIFS($A$6:$A$505,A28)&lt;&gt;1,"Duplicate ID",IF(OR(NOT(ISNUMBER(B28)),D28&lt;=0,NOT(ISNUMBER(D28)),I28="",J28="",L28=""),"Missing date/amount/ref/details",IF(OR(COUNTIFS('Accounts'!$A$6:$A$105,Q28)&lt;&gt;1,COUNTIFS('Accounts'!$A$6:$A$105,R28)&lt;&gt;1,Q28=R28),"Check accounts/event",IF(AND(OR(Q28="Trade payables",R28="Trade payables",Q28="Customer receivables",R28="Customer receivables",Q28="Courier receivables",R28="Courier receivables",Q28="Supplier advances",R28="Supplier advances"),H28=""),"Contact ID required",IF(AND(N28="Approved",OR(M28="",M28=L28)),"Independent review needed",IF(OR(N28="Draft",N28="Approved",N28="Void"),"OK","Status required")))))))</x:f>
      </x:c>
    </x:row>
    <x:row r="29" ht="23" customHeight="1">
      <x:c r="A29" s="36"/>
      <x:c r="B29" s="40"/>
      <x:c r="C29" s="36"/>
      <x:c r="D29" s="41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42" t="str">
        <x:f>IF(A29="","",IF(COUNTIFS('Event Guide'!$A$6:$A$29,C29)=1,VLOOKUP(C29,'Event Guide'!$A$6:$C$29,2,FALSE),"Unknown event"))</x:f>
      </x:c>
      <x:c r="P29" s="42" t="str">
        <x:f>IF(A29="","",IF(COUNTIFS('Event Guide'!$A$6:$A$29,C29)=1,VLOOKUP(C29,'Event Guide'!$A$6:$C$29,3,FALSE),"Unknown event"))</x:f>
      </x:c>
      <x:c r="Q29" s="42" t="str">
        <x:f>IF(A29="","",IF(O29="PAY",E29,IF(O29="OTHER",F29,IF(O29="CAPITAL","Capital - "&amp;G29,IF(O29="DUE","Due to - "&amp;G29,IF(O29="DRAW","Drawings - "&amp;G29,O29))))))</x:f>
      </x:c>
      <x:c r="R29" s="42" t="str">
        <x:f>IF(A29="","",IF(P29="PAY",E29,IF(P29="OTHER",F29,IF(P29="CAPITAL","Capital - "&amp;G29,IF(P29="DUE","Due to - "&amp;G29,IF(P29="DRAW","Drawings - "&amp;G29,P29))))))</x:f>
      </x:c>
      <x:c r="S29" s="37" t="n">
        <x:f>IF(AND(N29="Approved",T29="OK"),D29,0)</x:f>
        <x:v>0</x:v>
      </x:c>
      <x:c r="T29" s="42" t="str">
        <x:f>IF(A29="","",IF(COUNTIFS($A$6:$A$505,A29)&lt;&gt;1,"Duplicate ID",IF(OR(NOT(ISNUMBER(B29)),D29&lt;=0,NOT(ISNUMBER(D29)),I29="",J29="",L29=""),"Missing date/amount/ref/details",IF(OR(COUNTIFS('Accounts'!$A$6:$A$105,Q29)&lt;&gt;1,COUNTIFS('Accounts'!$A$6:$A$105,R29)&lt;&gt;1,Q29=R29),"Check accounts/event",IF(AND(OR(Q29="Trade payables",R29="Trade payables",Q29="Customer receivables",R29="Customer receivables",Q29="Courier receivables",R29="Courier receivables",Q29="Supplier advances",R29="Supplier advances"),H29=""),"Contact ID required",IF(AND(N29="Approved",OR(M29="",M29=L29)),"Independent review needed",IF(OR(N29="Draft",N29="Approved",N29="Void"),"OK","Status required")))))))</x:f>
      </x:c>
    </x:row>
    <x:row r="30" ht="23" customHeight="1">
      <x:c r="A30" s="36"/>
      <x:c r="B30" s="40"/>
      <x:c r="C30" s="36"/>
      <x:c r="D30" s="41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42" t="str">
        <x:f>IF(A30="","",IF(COUNTIFS('Event Guide'!$A$6:$A$29,C30)=1,VLOOKUP(C30,'Event Guide'!$A$6:$C$29,2,FALSE),"Unknown event"))</x:f>
      </x:c>
      <x:c r="P30" s="42" t="str">
        <x:f>IF(A30="","",IF(COUNTIFS('Event Guide'!$A$6:$A$29,C30)=1,VLOOKUP(C30,'Event Guide'!$A$6:$C$29,3,FALSE),"Unknown event"))</x:f>
      </x:c>
      <x:c r="Q30" s="42" t="str">
        <x:f>IF(A30="","",IF(O30="PAY",E30,IF(O30="OTHER",F30,IF(O30="CAPITAL","Capital - "&amp;G30,IF(O30="DUE","Due to - "&amp;G30,IF(O30="DRAW","Drawings - "&amp;G30,O30))))))</x:f>
      </x:c>
      <x:c r="R30" s="42" t="str">
        <x:f>IF(A30="","",IF(P30="PAY",E30,IF(P30="OTHER",F30,IF(P30="CAPITAL","Capital - "&amp;G30,IF(P30="DUE","Due to - "&amp;G30,IF(P30="DRAW","Drawings - "&amp;G30,P30))))))</x:f>
      </x:c>
      <x:c r="S30" s="37" t="n">
        <x:f>IF(AND(N30="Approved",T30="OK"),D30,0)</x:f>
        <x:v>0</x:v>
      </x:c>
      <x:c r="T30" s="42" t="str">
        <x:f>IF(A30="","",IF(COUNTIFS($A$6:$A$505,A30)&lt;&gt;1,"Duplicate ID",IF(OR(NOT(ISNUMBER(B30)),D30&lt;=0,NOT(ISNUMBER(D30)),I30="",J30="",L30=""),"Missing date/amount/ref/details",IF(OR(COUNTIFS('Accounts'!$A$6:$A$105,Q30)&lt;&gt;1,COUNTIFS('Accounts'!$A$6:$A$105,R30)&lt;&gt;1,Q30=R30),"Check accounts/event",IF(AND(OR(Q30="Trade payables",R30="Trade payables",Q30="Customer receivables",R30="Customer receivables",Q30="Courier receivables",R30="Courier receivables",Q30="Supplier advances",R30="Supplier advances"),H30=""),"Contact ID required",IF(AND(N30="Approved",OR(M30="",M30=L30)),"Independent review needed",IF(OR(N30="Draft",N30="Approved",N30="Void"),"OK","Status required")))))))</x:f>
      </x:c>
    </x:row>
    <x:row r="31" ht="23" customHeight="1">
      <x:c r="A31" s="36"/>
      <x:c r="B31" s="40"/>
      <x:c r="C31" s="36"/>
      <x:c r="D31" s="41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42" t="str">
        <x:f>IF(A31="","",IF(COUNTIFS('Event Guide'!$A$6:$A$29,C31)=1,VLOOKUP(C31,'Event Guide'!$A$6:$C$29,2,FALSE),"Unknown event"))</x:f>
      </x:c>
      <x:c r="P31" s="42" t="str">
        <x:f>IF(A31="","",IF(COUNTIFS('Event Guide'!$A$6:$A$29,C31)=1,VLOOKUP(C31,'Event Guide'!$A$6:$C$29,3,FALSE),"Unknown event"))</x:f>
      </x:c>
      <x:c r="Q31" s="42" t="str">
        <x:f>IF(A31="","",IF(O31="PAY",E31,IF(O31="OTHER",F31,IF(O31="CAPITAL","Capital - "&amp;G31,IF(O31="DUE","Due to - "&amp;G31,IF(O31="DRAW","Drawings - "&amp;G31,O31))))))</x:f>
      </x:c>
      <x:c r="R31" s="42" t="str">
        <x:f>IF(A31="","",IF(P31="PAY",E31,IF(P31="OTHER",F31,IF(P31="CAPITAL","Capital - "&amp;G31,IF(P31="DUE","Due to - "&amp;G31,IF(P31="DRAW","Drawings - "&amp;G31,P31))))))</x:f>
      </x:c>
      <x:c r="S31" s="37" t="n">
        <x:f>IF(AND(N31="Approved",T31="OK"),D31,0)</x:f>
        <x:v>0</x:v>
      </x:c>
      <x:c r="T31" s="42" t="str">
        <x:f>IF(A31="","",IF(COUNTIFS($A$6:$A$505,A31)&lt;&gt;1,"Duplicate ID",IF(OR(NOT(ISNUMBER(B31)),D31&lt;=0,NOT(ISNUMBER(D31)),I31="",J31="",L31=""),"Missing date/amount/ref/details",IF(OR(COUNTIFS('Accounts'!$A$6:$A$105,Q31)&lt;&gt;1,COUNTIFS('Accounts'!$A$6:$A$105,R31)&lt;&gt;1,Q31=R31),"Check accounts/event",IF(AND(OR(Q31="Trade payables",R31="Trade payables",Q31="Customer receivables",R31="Customer receivables",Q31="Courier receivables",R31="Courier receivables",Q31="Supplier advances",R31="Supplier advances"),H31=""),"Contact ID required",IF(AND(N31="Approved",OR(M31="",M31=L31)),"Independent review needed",IF(OR(N31="Draft",N31="Approved",N31="Void"),"OK","Status required")))))))</x:f>
      </x:c>
    </x:row>
    <x:row r="32" ht="23" customHeight="1">
      <x:c r="A32" s="36"/>
      <x:c r="B32" s="40"/>
      <x:c r="C32" s="36"/>
      <x:c r="D32" s="41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42" t="str">
        <x:f>IF(A32="","",IF(COUNTIFS('Event Guide'!$A$6:$A$29,C32)=1,VLOOKUP(C32,'Event Guide'!$A$6:$C$29,2,FALSE),"Unknown event"))</x:f>
      </x:c>
      <x:c r="P32" s="42" t="str">
        <x:f>IF(A32="","",IF(COUNTIFS('Event Guide'!$A$6:$A$29,C32)=1,VLOOKUP(C32,'Event Guide'!$A$6:$C$29,3,FALSE),"Unknown event"))</x:f>
      </x:c>
      <x:c r="Q32" s="42" t="str">
        <x:f>IF(A32="","",IF(O32="PAY",E32,IF(O32="OTHER",F32,IF(O32="CAPITAL","Capital - "&amp;G32,IF(O32="DUE","Due to - "&amp;G32,IF(O32="DRAW","Drawings - "&amp;G32,O32))))))</x:f>
      </x:c>
      <x:c r="R32" s="42" t="str">
        <x:f>IF(A32="","",IF(P32="PAY",E32,IF(P32="OTHER",F32,IF(P32="CAPITAL","Capital - "&amp;G32,IF(P32="DUE","Due to - "&amp;G32,IF(P32="DRAW","Drawings - "&amp;G32,P32))))))</x:f>
      </x:c>
      <x:c r="S32" s="37" t="n">
        <x:f>IF(AND(N32="Approved",T32="OK"),D32,0)</x:f>
        <x:v>0</x:v>
      </x:c>
      <x:c r="T32" s="42" t="str">
        <x:f>IF(A32="","",IF(COUNTIFS($A$6:$A$505,A32)&lt;&gt;1,"Duplicate ID",IF(OR(NOT(ISNUMBER(B32)),D32&lt;=0,NOT(ISNUMBER(D32)),I32="",J32="",L32=""),"Missing date/amount/ref/details",IF(OR(COUNTIFS('Accounts'!$A$6:$A$105,Q32)&lt;&gt;1,COUNTIFS('Accounts'!$A$6:$A$105,R32)&lt;&gt;1,Q32=R32),"Check accounts/event",IF(AND(OR(Q32="Trade payables",R32="Trade payables",Q32="Customer receivables",R32="Customer receivables",Q32="Courier receivables",R32="Courier receivables",Q32="Supplier advances",R32="Supplier advances"),H32=""),"Contact ID required",IF(AND(N32="Approved",OR(M32="",M32=L32)),"Independent review needed",IF(OR(N32="Draft",N32="Approved",N32="Void"),"OK","Status required")))))))</x:f>
      </x:c>
    </x:row>
    <x:row r="33" ht="23" customHeight="1">
      <x:c r="A33" s="36"/>
      <x:c r="B33" s="40"/>
      <x:c r="C33" s="36"/>
      <x:c r="D33" s="41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42" t="str">
        <x:f>IF(A33="","",IF(COUNTIFS('Event Guide'!$A$6:$A$29,C33)=1,VLOOKUP(C33,'Event Guide'!$A$6:$C$29,2,FALSE),"Unknown event"))</x:f>
      </x:c>
      <x:c r="P33" s="42" t="str">
        <x:f>IF(A33="","",IF(COUNTIFS('Event Guide'!$A$6:$A$29,C33)=1,VLOOKUP(C33,'Event Guide'!$A$6:$C$29,3,FALSE),"Unknown event"))</x:f>
      </x:c>
      <x:c r="Q33" s="42" t="str">
        <x:f>IF(A33="","",IF(O33="PAY",E33,IF(O33="OTHER",F33,IF(O33="CAPITAL","Capital - "&amp;G33,IF(O33="DUE","Due to - "&amp;G33,IF(O33="DRAW","Drawings - "&amp;G33,O33))))))</x:f>
      </x:c>
      <x:c r="R33" s="42" t="str">
        <x:f>IF(A33="","",IF(P33="PAY",E33,IF(P33="OTHER",F33,IF(P33="CAPITAL","Capital - "&amp;G33,IF(P33="DUE","Due to - "&amp;G33,IF(P33="DRAW","Drawings - "&amp;G33,P33))))))</x:f>
      </x:c>
      <x:c r="S33" s="37" t="n">
        <x:f>IF(AND(N33="Approved",T33="OK"),D33,0)</x:f>
        <x:v>0</x:v>
      </x:c>
      <x:c r="T33" s="42" t="str">
        <x:f>IF(A33="","",IF(COUNTIFS($A$6:$A$505,A33)&lt;&gt;1,"Duplicate ID",IF(OR(NOT(ISNUMBER(B33)),D33&lt;=0,NOT(ISNUMBER(D33)),I33="",J33="",L33=""),"Missing date/amount/ref/details",IF(OR(COUNTIFS('Accounts'!$A$6:$A$105,Q33)&lt;&gt;1,COUNTIFS('Accounts'!$A$6:$A$105,R33)&lt;&gt;1,Q33=R33),"Check accounts/event",IF(AND(OR(Q33="Trade payables",R33="Trade payables",Q33="Customer receivables",R33="Customer receivables",Q33="Courier receivables",R33="Courier receivables",Q33="Supplier advances",R33="Supplier advances"),H33=""),"Contact ID required",IF(AND(N33="Approved",OR(M33="",M33=L33)),"Independent review needed",IF(OR(N33="Draft",N33="Approved",N33="Void"),"OK","Status required")))))))</x:f>
      </x:c>
    </x:row>
    <x:row r="34" ht="23" customHeight="1">
      <x:c r="A34" s="36"/>
      <x:c r="B34" s="40"/>
      <x:c r="C34" s="36"/>
      <x:c r="D34" s="41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42" t="str">
        <x:f>IF(A34="","",IF(COUNTIFS('Event Guide'!$A$6:$A$29,C34)=1,VLOOKUP(C34,'Event Guide'!$A$6:$C$29,2,FALSE),"Unknown event"))</x:f>
      </x:c>
      <x:c r="P34" s="42" t="str">
        <x:f>IF(A34="","",IF(COUNTIFS('Event Guide'!$A$6:$A$29,C34)=1,VLOOKUP(C34,'Event Guide'!$A$6:$C$29,3,FALSE),"Unknown event"))</x:f>
      </x:c>
      <x:c r="Q34" s="42" t="str">
        <x:f>IF(A34="","",IF(O34="PAY",E34,IF(O34="OTHER",F34,IF(O34="CAPITAL","Capital - "&amp;G34,IF(O34="DUE","Due to - "&amp;G34,IF(O34="DRAW","Drawings - "&amp;G34,O34))))))</x:f>
      </x:c>
      <x:c r="R34" s="42" t="str">
        <x:f>IF(A34="","",IF(P34="PAY",E34,IF(P34="OTHER",F34,IF(P34="CAPITAL","Capital - "&amp;G34,IF(P34="DUE","Due to - "&amp;G34,IF(P34="DRAW","Drawings - "&amp;G34,P34))))))</x:f>
      </x:c>
      <x:c r="S34" s="37" t="n">
        <x:f>IF(AND(N34="Approved",T34="OK"),D34,0)</x:f>
        <x:v>0</x:v>
      </x:c>
      <x:c r="T34" s="42" t="str">
        <x:f>IF(A34="","",IF(COUNTIFS($A$6:$A$505,A34)&lt;&gt;1,"Duplicate ID",IF(OR(NOT(ISNUMBER(B34)),D34&lt;=0,NOT(ISNUMBER(D34)),I34="",J34="",L34=""),"Missing date/amount/ref/details",IF(OR(COUNTIFS('Accounts'!$A$6:$A$105,Q34)&lt;&gt;1,COUNTIFS('Accounts'!$A$6:$A$105,R34)&lt;&gt;1,Q34=R34),"Check accounts/event",IF(AND(OR(Q34="Trade payables",R34="Trade payables",Q34="Customer receivables",R34="Customer receivables",Q34="Courier receivables",R34="Courier receivables",Q34="Supplier advances",R34="Supplier advances"),H34=""),"Contact ID required",IF(AND(N34="Approved",OR(M34="",M34=L34)),"Independent review needed",IF(OR(N34="Draft",N34="Approved",N34="Void"),"OK","Status required")))))))</x:f>
      </x:c>
    </x:row>
    <x:row r="35" ht="23" customHeight="1">
      <x:c r="A35" s="36"/>
      <x:c r="B35" s="40"/>
      <x:c r="C35" s="36"/>
      <x:c r="D35" s="41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42" t="str">
        <x:f>IF(A35="","",IF(COUNTIFS('Event Guide'!$A$6:$A$29,C35)=1,VLOOKUP(C35,'Event Guide'!$A$6:$C$29,2,FALSE),"Unknown event"))</x:f>
      </x:c>
      <x:c r="P35" s="42" t="str">
        <x:f>IF(A35="","",IF(COUNTIFS('Event Guide'!$A$6:$A$29,C35)=1,VLOOKUP(C35,'Event Guide'!$A$6:$C$29,3,FALSE),"Unknown event"))</x:f>
      </x:c>
      <x:c r="Q35" s="42" t="str">
        <x:f>IF(A35="","",IF(O35="PAY",E35,IF(O35="OTHER",F35,IF(O35="CAPITAL","Capital - "&amp;G35,IF(O35="DUE","Due to - "&amp;G35,IF(O35="DRAW","Drawings - "&amp;G35,O35))))))</x:f>
      </x:c>
      <x:c r="R35" s="42" t="str">
        <x:f>IF(A35="","",IF(P35="PAY",E35,IF(P35="OTHER",F35,IF(P35="CAPITAL","Capital - "&amp;G35,IF(P35="DUE","Due to - "&amp;G35,IF(P35="DRAW","Drawings - "&amp;G35,P35))))))</x:f>
      </x:c>
      <x:c r="S35" s="37" t="n">
        <x:f>IF(AND(N35="Approved",T35="OK"),D35,0)</x:f>
        <x:v>0</x:v>
      </x:c>
      <x:c r="T35" s="42" t="str">
        <x:f>IF(A35="","",IF(COUNTIFS($A$6:$A$505,A35)&lt;&gt;1,"Duplicate ID",IF(OR(NOT(ISNUMBER(B35)),D35&lt;=0,NOT(ISNUMBER(D35)),I35="",J35="",L35=""),"Missing date/amount/ref/details",IF(OR(COUNTIFS('Accounts'!$A$6:$A$105,Q35)&lt;&gt;1,COUNTIFS('Accounts'!$A$6:$A$105,R35)&lt;&gt;1,Q35=R35),"Check accounts/event",IF(AND(OR(Q35="Trade payables",R35="Trade payables",Q35="Customer receivables",R35="Customer receivables",Q35="Courier receivables",R35="Courier receivables",Q35="Supplier advances",R35="Supplier advances"),H35=""),"Contact ID required",IF(AND(N35="Approved",OR(M35="",M35=L35)),"Independent review needed",IF(OR(N35="Draft",N35="Approved",N35="Void"),"OK","Status required")))))))</x:f>
      </x:c>
    </x:row>
    <x:row r="36" ht="23" customHeight="1">
      <x:c r="A36" s="36"/>
      <x:c r="B36" s="40"/>
      <x:c r="C36" s="36"/>
      <x:c r="D36" s="41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42" t="str">
        <x:f>IF(A36="","",IF(COUNTIFS('Event Guide'!$A$6:$A$29,C36)=1,VLOOKUP(C36,'Event Guide'!$A$6:$C$29,2,FALSE),"Unknown event"))</x:f>
      </x:c>
      <x:c r="P36" s="42" t="str">
        <x:f>IF(A36="","",IF(COUNTIFS('Event Guide'!$A$6:$A$29,C36)=1,VLOOKUP(C36,'Event Guide'!$A$6:$C$29,3,FALSE),"Unknown event"))</x:f>
      </x:c>
      <x:c r="Q36" s="42" t="str">
        <x:f>IF(A36="","",IF(O36="PAY",E36,IF(O36="OTHER",F36,IF(O36="CAPITAL","Capital - "&amp;G36,IF(O36="DUE","Due to - "&amp;G36,IF(O36="DRAW","Drawings - "&amp;G36,O36))))))</x:f>
      </x:c>
      <x:c r="R36" s="42" t="str">
        <x:f>IF(A36="","",IF(P36="PAY",E36,IF(P36="OTHER",F36,IF(P36="CAPITAL","Capital - "&amp;G36,IF(P36="DUE","Due to - "&amp;G36,IF(P36="DRAW","Drawings - "&amp;G36,P36))))))</x:f>
      </x:c>
      <x:c r="S36" s="37" t="n">
        <x:f>IF(AND(N36="Approved",T36="OK"),D36,0)</x:f>
        <x:v>0</x:v>
      </x:c>
      <x:c r="T36" s="42" t="str">
        <x:f>IF(A36="","",IF(COUNTIFS($A$6:$A$505,A36)&lt;&gt;1,"Duplicate ID",IF(OR(NOT(ISNUMBER(B36)),D36&lt;=0,NOT(ISNUMBER(D36)),I36="",J36="",L36=""),"Missing date/amount/ref/details",IF(OR(COUNTIFS('Accounts'!$A$6:$A$105,Q36)&lt;&gt;1,COUNTIFS('Accounts'!$A$6:$A$105,R36)&lt;&gt;1,Q36=R36),"Check accounts/event",IF(AND(OR(Q36="Trade payables",R36="Trade payables",Q36="Customer receivables",R36="Customer receivables",Q36="Courier receivables",R36="Courier receivables",Q36="Supplier advances",R36="Supplier advances"),H36=""),"Contact ID required",IF(AND(N36="Approved",OR(M36="",M36=L36)),"Independent review needed",IF(OR(N36="Draft",N36="Approved",N36="Void"),"OK","Status required")))))))</x:f>
      </x:c>
    </x:row>
    <x:row r="37" ht="23" customHeight="1">
      <x:c r="A37" s="36"/>
      <x:c r="B37" s="40"/>
      <x:c r="C37" s="36"/>
      <x:c r="D37" s="41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42" t="str">
        <x:f>IF(A37="","",IF(COUNTIFS('Event Guide'!$A$6:$A$29,C37)=1,VLOOKUP(C37,'Event Guide'!$A$6:$C$29,2,FALSE),"Unknown event"))</x:f>
      </x:c>
      <x:c r="P37" s="42" t="str">
        <x:f>IF(A37="","",IF(COUNTIFS('Event Guide'!$A$6:$A$29,C37)=1,VLOOKUP(C37,'Event Guide'!$A$6:$C$29,3,FALSE),"Unknown event"))</x:f>
      </x:c>
      <x:c r="Q37" s="42" t="str">
        <x:f>IF(A37="","",IF(O37="PAY",E37,IF(O37="OTHER",F37,IF(O37="CAPITAL","Capital - "&amp;G37,IF(O37="DUE","Due to - "&amp;G37,IF(O37="DRAW","Drawings - "&amp;G37,O37))))))</x:f>
      </x:c>
      <x:c r="R37" s="42" t="str">
        <x:f>IF(A37="","",IF(P37="PAY",E37,IF(P37="OTHER",F37,IF(P37="CAPITAL","Capital - "&amp;G37,IF(P37="DUE","Due to - "&amp;G37,IF(P37="DRAW","Drawings - "&amp;G37,P37))))))</x:f>
      </x:c>
      <x:c r="S37" s="37" t="n">
        <x:f>IF(AND(N37="Approved",T37="OK"),D37,0)</x:f>
        <x:v>0</x:v>
      </x:c>
      <x:c r="T37" s="42" t="str">
        <x:f>IF(A37="","",IF(COUNTIFS($A$6:$A$505,A37)&lt;&gt;1,"Duplicate ID",IF(OR(NOT(ISNUMBER(B37)),D37&lt;=0,NOT(ISNUMBER(D37)),I37="",J37="",L37=""),"Missing date/amount/ref/details",IF(OR(COUNTIFS('Accounts'!$A$6:$A$105,Q37)&lt;&gt;1,COUNTIFS('Accounts'!$A$6:$A$105,R37)&lt;&gt;1,Q37=R37),"Check accounts/event",IF(AND(OR(Q37="Trade payables",R37="Trade payables",Q37="Customer receivables",R37="Customer receivables",Q37="Courier receivables",R37="Courier receivables",Q37="Supplier advances",R37="Supplier advances"),H37=""),"Contact ID required",IF(AND(N37="Approved",OR(M37="",M37=L37)),"Independent review needed",IF(OR(N37="Draft",N37="Approved",N37="Void"),"OK","Status required")))))))</x:f>
      </x:c>
    </x:row>
    <x:row r="38" ht="23" customHeight="1">
      <x:c r="A38" s="36"/>
      <x:c r="B38" s="40"/>
      <x:c r="C38" s="36"/>
      <x:c r="D38" s="41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42" t="str">
        <x:f>IF(A38="","",IF(COUNTIFS('Event Guide'!$A$6:$A$29,C38)=1,VLOOKUP(C38,'Event Guide'!$A$6:$C$29,2,FALSE),"Unknown event"))</x:f>
      </x:c>
      <x:c r="P38" s="42" t="str">
        <x:f>IF(A38="","",IF(COUNTIFS('Event Guide'!$A$6:$A$29,C38)=1,VLOOKUP(C38,'Event Guide'!$A$6:$C$29,3,FALSE),"Unknown event"))</x:f>
      </x:c>
      <x:c r="Q38" s="42" t="str">
        <x:f>IF(A38="","",IF(O38="PAY",E38,IF(O38="OTHER",F38,IF(O38="CAPITAL","Capital - "&amp;G38,IF(O38="DUE","Due to - "&amp;G38,IF(O38="DRAW","Drawings - "&amp;G38,O38))))))</x:f>
      </x:c>
      <x:c r="R38" s="42" t="str">
        <x:f>IF(A38="","",IF(P38="PAY",E38,IF(P38="OTHER",F38,IF(P38="CAPITAL","Capital - "&amp;G38,IF(P38="DUE","Due to - "&amp;G38,IF(P38="DRAW","Drawings - "&amp;G38,P38))))))</x:f>
      </x:c>
      <x:c r="S38" s="37" t="n">
        <x:f>IF(AND(N38="Approved",T38="OK"),D38,0)</x:f>
        <x:v>0</x:v>
      </x:c>
      <x:c r="T38" s="42" t="str">
        <x:f>IF(A38="","",IF(COUNTIFS($A$6:$A$505,A38)&lt;&gt;1,"Duplicate ID",IF(OR(NOT(ISNUMBER(B38)),D38&lt;=0,NOT(ISNUMBER(D38)),I38="",J38="",L38=""),"Missing date/amount/ref/details",IF(OR(COUNTIFS('Accounts'!$A$6:$A$105,Q38)&lt;&gt;1,COUNTIFS('Accounts'!$A$6:$A$105,R38)&lt;&gt;1,Q38=R38),"Check accounts/event",IF(AND(OR(Q38="Trade payables",R38="Trade payables",Q38="Customer receivables",R38="Customer receivables",Q38="Courier receivables",R38="Courier receivables",Q38="Supplier advances",R38="Supplier advances"),H38=""),"Contact ID required",IF(AND(N38="Approved",OR(M38="",M38=L38)),"Independent review needed",IF(OR(N38="Draft",N38="Approved",N38="Void"),"OK","Status required")))))))</x:f>
      </x:c>
    </x:row>
    <x:row r="39" ht="23" customHeight="1">
      <x:c r="A39" s="36"/>
      <x:c r="B39" s="40"/>
      <x:c r="C39" s="36"/>
      <x:c r="D39" s="41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42" t="str">
        <x:f>IF(A39="","",IF(COUNTIFS('Event Guide'!$A$6:$A$29,C39)=1,VLOOKUP(C39,'Event Guide'!$A$6:$C$29,2,FALSE),"Unknown event"))</x:f>
      </x:c>
      <x:c r="P39" s="42" t="str">
        <x:f>IF(A39="","",IF(COUNTIFS('Event Guide'!$A$6:$A$29,C39)=1,VLOOKUP(C39,'Event Guide'!$A$6:$C$29,3,FALSE),"Unknown event"))</x:f>
      </x:c>
      <x:c r="Q39" s="42" t="str">
        <x:f>IF(A39="","",IF(O39="PAY",E39,IF(O39="OTHER",F39,IF(O39="CAPITAL","Capital - "&amp;G39,IF(O39="DUE","Due to - "&amp;G39,IF(O39="DRAW","Drawings - "&amp;G39,O39))))))</x:f>
      </x:c>
      <x:c r="R39" s="42" t="str">
        <x:f>IF(A39="","",IF(P39="PAY",E39,IF(P39="OTHER",F39,IF(P39="CAPITAL","Capital - "&amp;G39,IF(P39="DUE","Due to - "&amp;G39,IF(P39="DRAW","Drawings - "&amp;G39,P39))))))</x:f>
      </x:c>
      <x:c r="S39" s="37" t="n">
        <x:f>IF(AND(N39="Approved",T39="OK"),D39,0)</x:f>
        <x:v>0</x:v>
      </x:c>
      <x:c r="T39" s="42" t="str">
        <x:f>IF(A39="","",IF(COUNTIFS($A$6:$A$505,A39)&lt;&gt;1,"Duplicate ID",IF(OR(NOT(ISNUMBER(B39)),D39&lt;=0,NOT(ISNUMBER(D39)),I39="",J39="",L39=""),"Missing date/amount/ref/details",IF(OR(COUNTIFS('Accounts'!$A$6:$A$105,Q39)&lt;&gt;1,COUNTIFS('Accounts'!$A$6:$A$105,R39)&lt;&gt;1,Q39=R39),"Check accounts/event",IF(AND(OR(Q39="Trade payables",R39="Trade payables",Q39="Customer receivables",R39="Customer receivables",Q39="Courier receivables",R39="Courier receivables",Q39="Supplier advances",R39="Supplier advances"),H39=""),"Contact ID required",IF(AND(N39="Approved",OR(M39="",M39=L39)),"Independent review needed",IF(OR(N39="Draft",N39="Approved",N39="Void"),"OK","Status required")))))))</x:f>
      </x:c>
    </x:row>
    <x:row r="40" ht="23" customHeight="1">
      <x:c r="A40" s="36"/>
      <x:c r="B40" s="40"/>
      <x:c r="C40" s="36"/>
      <x:c r="D40" s="41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42" t="str">
        <x:f>IF(A40="","",IF(COUNTIFS('Event Guide'!$A$6:$A$29,C40)=1,VLOOKUP(C40,'Event Guide'!$A$6:$C$29,2,FALSE),"Unknown event"))</x:f>
      </x:c>
      <x:c r="P40" s="42" t="str">
        <x:f>IF(A40="","",IF(COUNTIFS('Event Guide'!$A$6:$A$29,C40)=1,VLOOKUP(C40,'Event Guide'!$A$6:$C$29,3,FALSE),"Unknown event"))</x:f>
      </x:c>
      <x:c r="Q40" s="42" t="str">
        <x:f>IF(A40="","",IF(O40="PAY",E40,IF(O40="OTHER",F40,IF(O40="CAPITAL","Capital - "&amp;G40,IF(O40="DUE","Due to - "&amp;G40,IF(O40="DRAW","Drawings - "&amp;G40,O40))))))</x:f>
      </x:c>
      <x:c r="R40" s="42" t="str">
        <x:f>IF(A40="","",IF(P40="PAY",E40,IF(P40="OTHER",F40,IF(P40="CAPITAL","Capital - "&amp;G40,IF(P40="DUE","Due to - "&amp;G40,IF(P40="DRAW","Drawings - "&amp;G40,P40))))))</x:f>
      </x:c>
      <x:c r="S40" s="37" t="n">
        <x:f>IF(AND(N40="Approved",T40="OK"),D40,0)</x:f>
        <x:v>0</x:v>
      </x:c>
      <x:c r="T40" s="42" t="str">
        <x:f>IF(A40="","",IF(COUNTIFS($A$6:$A$505,A40)&lt;&gt;1,"Duplicate ID",IF(OR(NOT(ISNUMBER(B40)),D40&lt;=0,NOT(ISNUMBER(D40)),I40="",J40="",L40=""),"Missing date/amount/ref/details",IF(OR(COUNTIFS('Accounts'!$A$6:$A$105,Q40)&lt;&gt;1,COUNTIFS('Accounts'!$A$6:$A$105,R40)&lt;&gt;1,Q40=R40),"Check accounts/event",IF(AND(OR(Q40="Trade payables",R40="Trade payables",Q40="Customer receivables",R40="Customer receivables",Q40="Courier receivables",R40="Courier receivables",Q40="Supplier advances",R40="Supplier advances"),H40=""),"Contact ID required",IF(AND(N40="Approved",OR(M40="",M40=L40)),"Independent review needed",IF(OR(N40="Draft",N40="Approved",N40="Void"),"OK","Status required")))))))</x:f>
      </x:c>
    </x:row>
    <x:row r="41" ht="23" customHeight="1">
      <x:c r="A41" s="36"/>
      <x:c r="B41" s="40"/>
      <x:c r="C41" s="36"/>
      <x:c r="D41" s="41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42" t="str">
        <x:f>IF(A41="","",IF(COUNTIFS('Event Guide'!$A$6:$A$29,C41)=1,VLOOKUP(C41,'Event Guide'!$A$6:$C$29,2,FALSE),"Unknown event"))</x:f>
      </x:c>
      <x:c r="P41" s="42" t="str">
        <x:f>IF(A41="","",IF(COUNTIFS('Event Guide'!$A$6:$A$29,C41)=1,VLOOKUP(C41,'Event Guide'!$A$6:$C$29,3,FALSE),"Unknown event"))</x:f>
      </x:c>
      <x:c r="Q41" s="42" t="str">
        <x:f>IF(A41="","",IF(O41="PAY",E41,IF(O41="OTHER",F41,IF(O41="CAPITAL","Capital - "&amp;G41,IF(O41="DUE","Due to - "&amp;G41,IF(O41="DRAW","Drawings - "&amp;G41,O41))))))</x:f>
      </x:c>
      <x:c r="R41" s="42" t="str">
        <x:f>IF(A41="","",IF(P41="PAY",E41,IF(P41="OTHER",F41,IF(P41="CAPITAL","Capital - "&amp;G41,IF(P41="DUE","Due to - "&amp;G41,IF(P41="DRAW","Drawings - "&amp;G41,P41))))))</x:f>
      </x:c>
      <x:c r="S41" s="37" t="n">
        <x:f>IF(AND(N41="Approved",T41="OK"),D41,0)</x:f>
        <x:v>0</x:v>
      </x:c>
      <x:c r="T41" s="42" t="str">
        <x:f>IF(A41="","",IF(COUNTIFS($A$6:$A$505,A41)&lt;&gt;1,"Duplicate ID",IF(OR(NOT(ISNUMBER(B41)),D41&lt;=0,NOT(ISNUMBER(D41)),I41="",J41="",L41=""),"Missing date/amount/ref/details",IF(OR(COUNTIFS('Accounts'!$A$6:$A$105,Q41)&lt;&gt;1,COUNTIFS('Accounts'!$A$6:$A$105,R41)&lt;&gt;1,Q41=R41),"Check accounts/event",IF(AND(OR(Q41="Trade payables",R41="Trade payables",Q41="Customer receivables",R41="Customer receivables",Q41="Courier receivables",R41="Courier receivables",Q41="Supplier advances",R41="Supplier advances"),H41=""),"Contact ID required",IF(AND(N41="Approved",OR(M41="",M41=L41)),"Independent review needed",IF(OR(N41="Draft",N41="Approved",N41="Void"),"OK","Status required")))))))</x:f>
      </x:c>
    </x:row>
    <x:row r="42" ht="23" customHeight="1">
      <x:c r="A42" s="36"/>
      <x:c r="B42" s="40"/>
      <x:c r="C42" s="36"/>
      <x:c r="D42" s="41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42" t="str">
        <x:f>IF(A42="","",IF(COUNTIFS('Event Guide'!$A$6:$A$29,C42)=1,VLOOKUP(C42,'Event Guide'!$A$6:$C$29,2,FALSE),"Unknown event"))</x:f>
      </x:c>
      <x:c r="P42" s="42" t="str">
        <x:f>IF(A42="","",IF(COUNTIFS('Event Guide'!$A$6:$A$29,C42)=1,VLOOKUP(C42,'Event Guide'!$A$6:$C$29,3,FALSE),"Unknown event"))</x:f>
      </x:c>
      <x:c r="Q42" s="42" t="str">
        <x:f>IF(A42="","",IF(O42="PAY",E42,IF(O42="OTHER",F42,IF(O42="CAPITAL","Capital - "&amp;G42,IF(O42="DUE","Due to - "&amp;G42,IF(O42="DRAW","Drawings - "&amp;G42,O42))))))</x:f>
      </x:c>
      <x:c r="R42" s="42" t="str">
        <x:f>IF(A42="","",IF(P42="PAY",E42,IF(P42="OTHER",F42,IF(P42="CAPITAL","Capital - "&amp;G42,IF(P42="DUE","Due to - "&amp;G42,IF(P42="DRAW","Drawings - "&amp;G42,P42))))))</x:f>
      </x:c>
      <x:c r="S42" s="37" t="n">
        <x:f>IF(AND(N42="Approved",T42="OK"),D42,0)</x:f>
        <x:v>0</x:v>
      </x:c>
      <x:c r="T42" s="42" t="str">
        <x:f>IF(A42="","",IF(COUNTIFS($A$6:$A$505,A42)&lt;&gt;1,"Duplicate ID",IF(OR(NOT(ISNUMBER(B42)),D42&lt;=0,NOT(ISNUMBER(D42)),I42="",J42="",L42=""),"Missing date/amount/ref/details",IF(OR(COUNTIFS('Accounts'!$A$6:$A$105,Q42)&lt;&gt;1,COUNTIFS('Accounts'!$A$6:$A$105,R42)&lt;&gt;1,Q42=R42),"Check accounts/event",IF(AND(OR(Q42="Trade payables",R42="Trade payables",Q42="Customer receivables",R42="Customer receivables",Q42="Courier receivables",R42="Courier receivables",Q42="Supplier advances",R42="Supplier advances"),H42=""),"Contact ID required",IF(AND(N42="Approved",OR(M42="",M42=L42)),"Independent review needed",IF(OR(N42="Draft",N42="Approved",N42="Void"),"OK","Status required")))))))</x:f>
      </x:c>
    </x:row>
    <x:row r="43" ht="23" customHeight="1">
      <x:c r="A43" s="36"/>
      <x:c r="B43" s="40"/>
      <x:c r="C43" s="36"/>
      <x:c r="D43" s="41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42" t="str">
        <x:f>IF(A43="","",IF(COUNTIFS('Event Guide'!$A$6:$A$29,C43)=1,VLOOKUP(C43,'Event Guide'!$A$6:$C$29,2,FALSE),"Unknown event"))</x:f>
      </x:c>
      <x:c r="P43" s="42" t="str">
        <x:f>IF(A43="","",IF(COUNTIFS('Event Guide'!$A$6:$A$29,C43)=1,VLOOKUP(C43,'Event Guide'!$A$6:$C$29,3,FALSE),"Unknown event"))</x:f>
      </x:c>
      <x:c r="Q43" s="42" t="str">
        <x:f>IF(A43="","",IF(O43="PAY",E43,IF(O43="OTHER",F43,IF(O43="CAPITAL","Capital - "&amp;G43,IF(O43="DUE","Due to - "&amp;G43,IF(O43="DRAW","Drawings - "&amp;G43,O43))))))</x:f>
      </x:c>
      <x:c r="R43" s="42" t="str">
        <x:f>IF(A43="","",IF(P43="PAY",E43,IF(P43="OTHER",F43,IF(P43="CAPITAL","Capital - "&amp;G43,IF(P43="DUE","Due to - "&amp;G43,IF(P43="DRAW","Drawings - "&amp;G43,P43))))))</x:f>
      </x:c>
      <x:c r="S43" s="37" t="n">
        <x:f>IF(AND(N43="Approved",T43="OK"),D43,0)</x:f>
        <x:v>0</x:v>
      </x:c>
      <x:c r="T43" s="42" t="str">
        <x:f>IF(A43="","",IF(COUNTIFS($A$6:$A$505,A43)&lt;&gt;1,"Duplicate ID",IF(OR(NOT(ISNUMBER(B43)),D43&lt;=0,NOT(ISNUMBER(D43)),I43="",J43="",L43=""),"Missing date/amount/ref/details",IF(OR(COUNTIFS('Accounts'!$A$6:$A$105,Q43)&lt;&gt;1,COUNTIFS('Accounts'!$A$6:$A$105,R43)&lt;&gt;1,Q43=R43),"Check accounts/event",IF(AND(OR(Q43="Trade payables",R43="Trade payables",Q43="Customer receivables",R43="Customer receivables",Q43="Courier receivables",R43="Courier receivables",Q43="Supplier advances",R43="Supplier advances"),H43=""),"Contact ID required",IF(AND(N43="Approved",OR(M43="",M43=L43)),"Independent review needed",IF(OR(N43="Draft",N43="Approved",N43="Void"),"OK","Status required")))))))</x:f>
      </x:c>
    </x:row>
    <x:row r="44" ht="23" customHeight="1">
      <x:c r="A44" s="36"/>
      <x:c r="B44" s="40"/>
      <x:c r="C44" s="36"/>
      <x:c r="D44" s="41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42" t="str">
        <x:f>IF(A44="","",IF(COUNTIFS('Event Guide'!$A$6:$A$29,C44)=1,VLOOKUP(C44,'Event Guide'!$A$6:$C$29,2,FALSE),"Unknown event"))</x:f>
      </x:c>
      <x:c r="P44" s="42" t="str">
        <x:f>IF(A44="","",IF(COUNTIFS('Event Guide'!$A$6:$A$29,C44)=1,VLOOKUP(C44,'Event Guide'!$A$6:$C$29,3,FALSE),"Unknown event"))</x:f>
      </x:c>
      <x:c r="Q44" s="42" t="str">
        <x:f>IF(A44="","",IF(O44="PAY",E44,IF(O44="OTHER",F44,IF(O44="CAPITAL","Capital - "&amp;G44,IF(O44="DUE","Due to - "&amp;G44,IF(O44="DRAW","Drawings - "&amp;G44,O44))))))</x:f>
      </x:c>
      <x:c r="R44" s="42" t="str">
        <x:f>IF(A44="","",IF(P44="PAY",E44,IF(P44="OTHER",F44,IF(P44="CAPITAL","Capital - "&amp;G44,IF(P44="DUE","Due to - "&amp;G44,IF(P44="DRAW","Drawings - "&amp;G44,P44))))))</x:f>
      </x:c>
      <x:c r="S44" s="37" t="n">
        <x:f>IF(AND(N44="Approved",T44="OK"),D44,0)</x:f>
        <x:v>0</x:v>
      </x:c>
      <x:c r="T44" s="42" t="str">
        <x:f>IF(A44="","",IF(COUNTIFS($A$6:$A$505,A44)&lt;&gt;1,"Duplicate ID",IF(OR(NOT(ISNUMBER(B44)),D44&lt;=0,NOT(ISNUMBER(D44)),I44="",J44="",L44=""),"Missing date/amount/ref/details",IF(OR(COUNTIFS('Accounts'!$A$6:$A$105,Q44)&lt;&gt;1,COUNTIFS('Accounts'!$A$6:$A$105,R44)&lt;&gt;1,Q44=R44),"Check accounts/event",IF(AND(OR(Q44="Trade payables",R44="Trade payables",Q44="Customer receivables",R44="Customer receivables",Q44="Courier receivables",R44="Courier receivables",Q44="Supplier advances",R44="Supplier advances"),H44=""),"Contact ID required",IF(AND(N44="Approved",OR(M44="",M44=L44)),"Independent review needed",IF(OR(N44="Draft",N44="Approved",N44="Void"),"OK","Status required")))))))</x:f>
      </x:c>
    </x:row>
    <x:row r="45" ht="23" customHeight="1">
      <x:c r="A45" s="36"/>
      <x:c r="B45" s="40"/>
      <x:c r="C45" s="36"/>
      <x:c r="D45" s="41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42" t="str">
        <x:f>IF(A45="","",IF(COUNTIFS('Event Guide'!$A$6:$A$29,C45)=1,VLOOKUP(C45,'Event Guide'!$A$6:$C$29,2,FALSE),"Unknown event"))</x:f>
      </x:c>
      <x:c r="P45" s="42" t="str">
        <x:f>IF(A45="","",IF(COUNTIFS('Event Guide'!$A$6:$A$29,C45)=1,VLOOKUP(C45,'Event Guide'!$A$6:$C$29,3,FALSE),"Unknown event"))</x:f>
      </x:c>
      <x:c r="Q45" s="42" t="str">
        <x:f>IF(A45="","",IF(O45="PAY",E45,IF(O45="OTHER",F45,IF(O45="CAPITAL","Capital - "&amp;G45,IF(O45="DUE","Due to - "&amp;G45,IF(O45="DRAW","Drawings - "&amp;G45,O45))))))</x:f>
      </x:c>
      <x:c r="R45" s="42" t="str">
        <x:f>IF(A45="","",IF(P45="PAY",E45,IF(P45="OTHER",F45,IF(P45="CAPITAL","Capital - "&amp;G45,IF(P45="DUE","Due to - "&amp;G45,IF(P45="DRAW","Drawings - "&amp;G45,P45))))))</x:f>
      </x:c>
      <x:c r="S45" s="37" t="n">
        <x:f>IF(AND(N45="Approved",T45="OK"),D45,0)</x:f>
        <x:v>0</x:v>
      </x:c>
      <x:c r="T45" s="42" t="str">
        <x:f>IF(A45="","",IF(COUNTIFS($A$6:$A$505,A45)&lt;&gt;1,"Duplicate ID",IF(OR(NOT(ISNUMBER(B45)),D45&lt;=0,NOT(ISNUMBER(D45)),I45="",J45="",L45=""),"Missing date/amount/ref/details",IF(OR(COUNTIFS('Accounts'!$A$6:$A$105,Q45)&lt;&gt;1,COUNTIFS('Accounts'!$A$6:$A$105,R45)&lt;&gt;1,Q45=R45),"Check accounts/event",IF(AND(OR(Q45="Trade payables",R45="Trade payables",Q45="Customer receivables",R45="Customer receivables",Q45="Courier receivables",R45="Courier receivables",Q45="Supplier advances",R45="Supplier advances"),H45=""),"Contact ID required",IF(AND(N45="Approved",OR(M45="",M45=L45)),"Independent review needed",IF(OR(N45="Draft",N45="Approved",N45="Void"),"OK","Status required")))))))</x:f>
      </x:c>
    </x:row>
    <x:row r="46" ht="23" customHeight="1">
      <x:c r="A46" s="36"/>
      <x:c r="B46" s="40"/>
      <x:c r="C46" s="36"/>
      <x:c r="D46" s="41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42" t="str">
        <x:f>IF(A46="","",IF(COUNTIFS('Event Guide'!$A$6:$A$29,C46)=1,VLOOKUP(C46,'Event Guide'!$A$6:$C$29,2,FALSE),"Unknown event"))</x:f>
      </x:c>
      <x:c r="P46" s="42" t="str">
        <x:f>IF(A46="","",IF(COUNTIFS('Event Guide'!$A$6:$A$29,C46)=1,VLOOKUP(C46,'Event Guide'!$A$6:$C$29,3,FALSE),"Unknown event"))</x:f>
      </x:c>
      <x:c r="Q46" s="42" t="str">
        <x:f>IF(A46="","",IF(O46="PAY",E46,IF(O46="OTHER",F46,IF(O46="CAPITAL","Capital - "&amp;G46,IF(O46="DUE","Due to - "&amp;G46,IF(O46="DRAW","Drawings - "&amp;G46,O46))))))</x:f>
      </x:c>
      <x:c r="R46" s="42" t="str">
        <x:f>IF(A46="","",IF(P46="PAY",E46,IF(P46="OTHER",F46,IF(P46="CAPITAL","Capital - "&amp;G46,IF(P46="DUE","Due to - "&amp;G46,IF(P46="DRAW","Drawings - "&amp;G46,P46))))))</x:f>
      </x:c>
      <x:c r="S46" s="37" t="n">
        <x:f>IF(AND(N46="Approved",T46="OK"),D46,0)</x:f>
        <x:v>0</x:v>
      </x:c>
      <x:c r="T46" s="42" t="str">
        <x:f>IF(A46="","",IF(COUNTIFS($A$6:$A$505,A46)&lt;&gt;1,"Duplicate ID",IF(OR(NOT(ISNUMBER(B46)),D46&lt;=0,NOT(ISNUMBER(D46)),I46="",J46="",L46=""),"Missing date/amount/ref/details",IF(OR(COUNTIFS('Accounts'!$A$6:$A$105,Q46)&lt;&gt;1,COUNTIFS('Accounts'!$A$6:$A$105,R46)&lt;&gt;1,Q46=R46),"Check accounts/event",IF(AND(OR(Q46="Trade payables",R46="Trade payables",Q46="Customer receivables",R46="Customer receivables",Q46="Courier receivables",R46="Courier receivables",Q46="Supplier advances",R46="Supplier advances"),H46=""),"Contact ID required",IF(AND(N46="Approved",OR(M46="",M46=L46)),"Independent review needed",IF(OR(N46="Draft",N46="Approved",N46="Void"),"OK","Status required")))))))</x:f>
      </x:c>
    </x:row>
    <x:row r="47" ht="23" customHeight="1">
      <x:c r="A47" s="36"/>
      <x:c r="B47" s="40"/>
      <x:c r="C47" s="36"/>
      <x:c r="D47" s="41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42" t="str">
        <x:f>IF(A47="","",IF(COUNTIFS('Event Guide'!$A$6:$A$29,C47)=1,VLOOKUP(C47,'Event Guide'!$A$6:$C$29,2,FALSE),"Unknown event"))</x:f>
      </x:c>
      <x:c r="P47" s="42" t="str">
        <x:f>IF(A47="","",IF(COUNTIFS('Event Guide'!$A$6:$A$29,C47)=1,VLOOKUP(C47,'Event Guide'!$A$6:$C$29,3,FALSE),"Unknown event"))</x:f>
      </x:c>
      <x:c r="Q47" s="42" t="str">
        <x:f>IF(A47="","",IF(O47="PAY",E47,IF(O47="OTHER",F47,IF(O47="CAPITAL","Capital - "&amp;G47,IF(O47="DUE","Due to - "&amp;G47,IF(O47="DRAW","Drawings - "&amp;G47,O47))))))</x:f>
      </x:c>
      <x:c r="R47" s="42" t="str">
        <x:f>IF(A47="","",IF(P47="PAY",E47,IF(P47="OTHER",F47,IF(P47="CAPITAL","Capital - "&amp;G47,IF(P47="DUE","Due to - "&amp;G47,IF(P47="DRAW","Drawings - "&amp;G47,P47))))))</x:f>
      </x:c>
      <x:c r="S47" s="37" t="n">
        <x:f>IF(AND(N47="Approved",T47="OK"),D47,0)</x:f>
        <x:v>0</x:v>
      </x:c>
      <x:c r="T47" s="42" t="str">
        <x:f>IF(A47="","",IF(COUNTIFS($A$6:$A$505,A47)&lt;&gt;1,"Duplicate ID",IF(OR(NOT(ISNUMBER(B47)),D47&lt;=0,NOT(ISNUMBER(D47)),I47="",J47="",L47=""),"Missing date/amount/ref/details",IF(OR(COUNTIFS('Accounts'!$A$6:$A$105,Q47)&lt;&gt;1,COUNTIFS('Accounts'!$A$6:$A$105,R47)&lt;&gt;1,Q47=R47),"Check accounts/event",IF(AND(OR(Q47="Trade payables",R47="Trade payables",Q47="Customer receivables",R47="Customer receivables",Q47="Courier receivables",R47="Courier receivables",Q47="Supplier advances",R47="Supplier advances"),H47=""),"Contact ID required",IF(AND(N47="Approved",OR(M47="",M47=L47)),"Independent review needed",IF(OR(N47="Draft",N47="Approved",N47="Void"),"OK","Status required")))))))</x:f>
      </x:c>
    </x:row>
    <x:row r="48" ht="23" customHeight="1">
      <x:c r="A48" s="36"/>
      <x:c r="B48" s="40"/>
      <x:c r="C48" s="36"/>
      <x:c r="D48" s="41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42" t="str">
        <x:f>IF(A48="","",IF(COUNTIFS('Event Guide'!$A$6:$A$29,C48)=1,VLOOKUP(C48,'Event Guide'!$A$6:$C$29,2,FALSE),"Unknown event"))</x:f>
      </x:c>
      <x:c r="P48" s="42" t="str">
        <x:f>IF(A48="","",IF(COUNTIFS('Event Guide'!$A$6:$A$29,C48)=1,VLOOKUP(C48,'Event Guide'!$A$6:$C$29,3,FALSE),"Unknown event"))</x:f>
      </x:c>
      <x:c r="Q48" s="42" t="str">
        <x:f>IF(A48="","",IF(O48="PAY",E48,IF(O48="OTHER",F48,IF(O48="CAPITAL","Capital - "&amp;G48,IF(O48="DUE","Due to - "&amp;G48,IF(O48="DRAW","Drawings - "&amp;G48,O48))))))</x:f>
      </x:c>
      <x:c r="R48" s="42" t="str">
        <x:f>IF(A48="","",IF(P48="PAY",E48,IF(P48="OTHER",F48,IF(P48="CAPITAL","Capital - "&amp;G48,IF(P48="DUE","Due to - "&amp;G48,IF(P48="DRAW","Drawings - "&amp;G48,P48))))))</x:f>
      </x:c>
      <x:c r="S48" s="37" t="n">
        <x:f>IF(AND(N48="Approved",T48="OK"),D48,0)</x:f>
        <x:v>0</x:v>
      </x:c>
      <x:c r="T48" s="42" t="str">
        <x:f>IF(A48="","",IF(COUNTIFS($A$6:$A$505,A48)&lt;&gt;1,"Duplicate ID",IF(OR(NOT(ISNUMBER(B48)),D48&lt;=0,NOT(ISNUMBER(D48)),I48="",J48="",L48=""),"Missing date/amount/ref/details",IF(OR(COUNTIFS('Accounts'!$A$6:$A$105,Q48)&lt;&gt;1,COUNTIFS('Accounts'!$A$6:$A$105,R48)&lt;&gt;1,Q48=R48),"Check accounts/event",IF(AND(OR(Q48="Trade payables",R48="Trade payables",Q48="Customer receivables",R48="Customer receivables",Q48="Courier receivables",R48="Courier receivables",Q48="Supplier advances",R48="Supplier advances"),H48=""),"Contact ID required",IF(AND(N48="Approved",OR(M48="",M48=L48)),"Independent review needed",IF(OR(N48="Draft",N48="Approved",N48="Void"),"OK","Status required")))))))</x:f>
      </x:c>
    </x:row>
    <x:row r="49" ht="23" customHeight="1">
      <x:c r="A49" s="36"/>
      <x:c r="B49" s="40"/>
      <x:c r="C49" s="36"/>
      <x:c r="D49" s="41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42" t="str">
        <x:f>IF(A49="","",IF(COUNTIFS('Event Guide'!$A$6:$A$29,C49)=1,VLOOKUP(C49,'Event Guide'!$A$6:$C$29,2,FALSE),"Unknown event"))</x:f>
      </x:c>
      <x:c r="P49" s="42" t="str">
        <x:f>IF(A49="","",IF(COUNTIFS('Event Guide'!$A$6:$A$29,C49)=1,VLOOKUP(C49,'Event Guide'!$A$6:$C$29,3,FALSE),"Unknown event"))</x:f>
      </x:c>
      <x:c r="Q49" s="42" t="str">
        <x:f>IF(A49="","",IF(O49="PAY",E49,IF(O49="OTHER",F49,IF(O49="CAPITAL","Capital - "&amp;G49,IF(O49="DUE","Due to - "&amp;G49,IF(O49="DRAW","Drawings - "&amp;G49,O49))))))</x:f>
      </x:c>
      <x:c r="R49" s="42" t="str">
        <x:f>IF(A49="","",IF(P49="PAY",E49,IF(P49="OTHER",F49,IF(P49="CAPITAL","Capital - "&amp;G49,IF(P49="DUE","Due to - "&amp;G49,IF(P49="DRAW","Drawings - "&amp;G49,P49))))))</x:f>
      </x:c>
      <x:c r="S49" s="37" t="n">
        <x:f>IF(AND(N49="Approved",T49="OK"),D49,0)</x:f>
        <x:v>0</x:v>
      </x:c>
      <x:c r="T49" s="42" t="str">
        <x:f>IF(A49="","",IF(COUNTIFS($A$6:$A$505,A49)&lt;&gt;1,"Duplicate ID",IF(OR(NOT(ISNUMBER(B49)),D49&lt;=0,NOT(ISNUMBER(D49)),I49="",J49="",L49=""),"Missing date/amount/ref/details",IF(OR(COUNTIFS('Accounts'!$A$6:$A$105,Q49)&lt;&gt;1,COUNTIFS('Accounts'!$A$6:$A$105,R49)&lt;&gt;1,Q49=R49),"Check accounts/event",IF(AND(OR(Q49="Trade payables",R49="Trade payables",Q49="Customer receivables",R49="Customer receivables",Q49="Courier receivables",R49="Courier receivables",Q49="Supplier advances",R49="Supplier advances"),H49=""),"Contact ID required",IF(AND(N49="Approved",OR(M49="",M49=L49)),"Independent review needed",IF(OR(N49="Draft",N49="Approved",N49="Void"),"OK","Status required")))))))</x:f>
      </x:c>
    </x:row>
    <x:row r="50" ht="23" customHeight="1">
      <x:c r="A50" s="36"/>
      <x:c r="B50" s="40"/>
      <x:c r="C50" s="36"/>
      <x:c r="D50" s="41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42" t="str">
        <x:f>IF(A50="","",IF(COUNTIFS('Event Guide'!$A$6:$A$29,C50)=1,VLOOKUP(C50,'Event Guide'!$A$6:$C$29,2,FALSE),"Unknown event"))</x:f>
      </x:c>
      <x:c r="P50" s="42" t="str">
        <x:f>IF(A50="","",IF(COUNTIFS('Event Guide'!$A$6:$A$29,C50)=1,VLOOKUP(C50,'Event Guide'!$A$6:$C$29,3,FALSE),"Unknown event"))</x:f>
      </x:c>
      <x:c r="Q50" s="42" t="str">
        <x:f>IF(A50="","",IF(O50="PAY",E50,IF(O50="OTHER",F50,IF(O50="CAPITAL","Capital - "&amp;G50,IF(O50="DUE","Due to - "&amp;G50,IF(O50="DRAW","Drawings - "&amp;G50,O50))))))</x:f>
      </x:c>
      <x:c r="R50" s="42" t="str">
        <x:f>IF(A50="","",IF(P50="PAY",E50,IF(P50="OTHER",F50,IF(P50="CAPITAL","Capital - "&amp;G50,IF(P50="DUE","Due to - "&amp;G50,IF(P50="DRAW","Drawings - "&amp;G50,P50))))))</x:f>
      </x:c>
      <x:c r="S50" s="37" t="n">
        <x:f>IF(AND(N50="Approved",T50="OK"),D50,0)</x:f>
        <x:v>0</x:v>
      </x:c>
      <x:c r="T50" s="42" t="str">
        <x:f>IF(A50="","",IF(COUNTIFS($A$6:$A$505,A50)&lt;&gt;1,"Duplicate ID",IF(OR(NOT(ISNUMBER(B50)),D50&lt;=0,NOT(ISNUMBER(D50)),I50="",J50="",L50=""),"Missing date/amount/ref/details",IF(OR(COUNTIFS('Accounts'!$A$6:$A$105,Q50)&lt;&gt;1,COUNTIFS('Accounts'!$A$6:$A$105,R50)&lt;&gt;1,Q50=R50),"Check accounts/event",IF(AND(OR(Q50="Trade payables",R50="Trade payables",Q50="Customer receivables",R50="Customer receivables",Q50="Courier receivables",R50="Courier receivables",Q50="Supplier advances",R50="Supplier advances"),H50=""),"Contact ID required",IF(AND(N50="Approved",OR(M50="",M50=L50)),"Independent review needed",IF(OR(N50="Draft",N50="Approved",N50="Void"),"OK","Status required")))))))</x:f>
      </x:c>
    </x:row>
    <x:row r="51" ht="23" customHeight="1">
      <x:c r="A51" s="36"/>
      <x:c r="B51" s="40"/>
      <x:c r="C51" s="36"/>
      <x:c r="D51" s="41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42" t="str">
        <x:f>IF(A51="","",IF(COUNTIFS('Event Guide'!$A$6:$A$29,C51)=1,VLOOKUP(C51,'Event Guide'!$A$6:$C$29,2,FALSE),"Unknown event"))</x:f>
      </x:c>
      <x:c r="P51" s="42" t="str">
        <x:f>IF(A51="","",IF(COUNTIFS('Event Guide'!$A$6:$A$29,C51)=1,VLOOKUP(C51,'Event Guide'!$A$6:$C$29,3,FALSE),"Unknown event"))</x:f>
      </x:c>
      <x:c r="Q51" s="42" t="str">
        <x:f>IF(A51="","",IF(O51="PAY",E51,IF(O51="OTHER",F51,IF(O51="CAPITAL","Capital - "&amp;G51,IF(O51="DUE","Due to - "&amp;G51,IF(O51="DRAW","Drawings - "&amp;G51,O51))))))</x:f>
      </x:c>
      <x:c r="R51" s="42" t="str">
        <x:f>IF(A51="","",IF(P51="PAY",E51,IF(P51="OTHER",F51,IF(P51="CAPITAL","Capital - "&amp;G51,IF(P51="DUE","Due to - "&amp;G51,IF(P51="DRAW","Drawings - "&amp;G51,P51))))))</x:f>
      </x:c>
      <x:c r="S51" s="37" t="n">
        <x:f>IF(AND(N51="Approved",T51="OK"),D51,0)</x:f>
        <x:v>0</x:v>
      </x:c>
      <x:c r="T51" s="42" t="str">
        <x:f>IF(A51="","",IF(COUNTIFS($A$6:$A$505,A51)&lt;&gt;1,"Duplicate ID",IF(OR(NOT(ISNUMBER(B51)),D51&lt;=0,NOT(ISNUMBER(D51)),I51="",J51="",L51=""),"Missing date/amount/ref/details",IF(OR(COUNTIFS('Accounts'!$A$6:$A$105,Q51)&lt;&gt;1,COUNTIFS('Accounts'!$A$6:$A$105,R51)&lt;&gt;1,Q51=R51),"Check accounts/event",IF(AND(OR(Q51="Trade payables",R51="Trade payables",Q51="Customer receivables",R51="Customer receivables",Q51="Courier receivables",R51="Courier receivables",Q51="Supplier advances",R51="Supplier advances"),H51=""),"Contact ID required",IF(AND(N51="Approved",OR(M51="",M51=L51)),"Independent review needed",IF(OR(N51="Draft",N51="Approved",N51="Void"),"OK","Status required")))))))</x:f>
      </x:c>
    </x:row>
    <x:row r="52" ht="23" customHeight="1">
      <x:c r="A52" s="36"/>
      <x:c r="B52" s="40"/>
      <x:c r="C52" s="36"/>
      <x:c r="D52" s="41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42" t="str">
        <x:f>IF(A52="","",IF(COUNTIFS('Event Guide'!$A$6:$A$29,C52)=1,VLOOKUP(C52,'Event Guide'!$A$6:$C$29,2,FALSE),"Unknown event"))</x:f>
      </x:c>
      <x:c r="P52" s="42" t="str">
        <x:f>IF(A52="","",IF(COUNTIFS('Event Guide'!$A$6:$A$29,C52)=1,VLOOKUP(C52,'Event Guide'!$A$6:$C$29,3,FALSE),"Unknown event"))</x:f>
      </x:c>
      <x:c r="Q52" s="42" t="str">
        <x:f>IF(A52="","",IF(O52="PAY",E52,IF(O52="OTHER",F52,IF(O52="CAPITAL","Capital - "&amp;G52,IF(O52="DUE","Due to - "&amp;G52,IF(O52="DRAW","Drawings - "&amp;G52,O52))))))</x:f>
      </x:c>
      <x:c r="R52" s="42" t="str">
        <x:f>IF(A52="","",IF(P52="PAY",E52,IF(P52="OTHER",F52,IF(P52="CAPITAL","Capital - "&amp;G52,IF(P52="DUE","Due to - "&amp;G52,IF(P52="DRAW","Drawings - "&amp;G52,P52))))))</x:f>
      </x:c>
      <x:c r="S52" s="37" t="n">
        <x:f>IF(AND(N52="Approved",T52="OK"),D52,0)</x:f>
        <x:v>0</x:v>
      </x:c>
      <x:c r="T52" s="42" t="str">
        <x:f>IF(A52="","",IF(COUNTIFS($A$6:$A$505,A52)&lt;&gt;1,"Duplicate ID",IF(OR(NOT(ISNUMBER(B52)),D52&lt;=0,NOT(ISNUMBER(D52)),I52="",J52="",L52=""),"Missing date/amount/ref/details",IF(OR(COUNTIFS('Accounts'!$A$6:$A$105,Q52)&lt;&gt;1,COUNTIFS('Accounts'!$A$6:$A$105,R52)&lt;&gt;1,Q52=R52),"Check accounts/event",IF(AND(OR(Q52="Trade payables",R52="Trade payables",Q52="Customer receivables",R52="Customer receivables",Q52="Courier receivables",R52="Courier receivables",Q52="Supplier advances",R52="Supplier advances"),H52=""),"Contact ID required",IF(AND(N52="Approved",OR(M52="",M52=L52)),"Independent review needed",IF(OR(N52="Draft",N52="Approved",N52="Void"),"OK","Status required")))))))</x:f>
      </x:c>
    </x:row>
    <x:row r="53" ht="23" customHeight="1">
      <x:c r="A53" s="36"/>
      <x:c r="B53" s="40"/>
      <x:c r="C53" s="36"/>
      <x:c r="D53" s="41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42" t="str">
        <x:f>IF(A53="","",IF(COUNTIFS('Event Guide'!$A$6:$A$29,C53)=1,VLOOKUP(C53,'Event Guide'!$A$6:$C$29,2,FALSE),"Unknown event"))</x:f>
      </x:c>
      <x:c r="P53" s="42" t="str">
        <x:f>IF(A53="","",IF(COUNTIFS('Event Guide'!$A$6:$A$29,C53)=1,VLOOKUP(C53,'Event Guide'!$A$6:$C$29,3,FALSE),"Unknown event"))</x:f>
      </x:c>
      <x:c r="Q53" s="42" t="str">
        <x:f>IF(A53="","",IF(O53="PAY",E53,IF(O53="OTHER",F53,IF(O53="CAPITAL","Capital - "&amp;G53,IF(O53="DUE","Due to - "&amp;G53,IF(O53="DRAW","Drawings - "&amp;G53,O53))))))</x:f>
      </x:c>
      <x:c r="R53" s="42" t="str">
        <x:f>IF(A53="","",IF(P53="PAY",E53,IF(P53="OTHER",F53,IF(P53="CAPITAL","Capital - "&amp;G53,IF(P53="DUE","Due to - "&amp;G53,IF(P53="DRAW","Drawings - "&amp;G53,P53))))))</x:f>
      </x:c>
      <x:c r="S53" s="37" t="n">
        <x:f>IF(AND(N53="Approved",T53="OK"),D53,0)</x:f>
        <x:v>0</x:v>
      </x:c>
      <x:c r="T53" s="42" t="str">
        <x:f>IF(A53="","",IF(COUNTIFS($A$6:$A$505,A53)&lt;&gt;1,"Duplicate ID",IF(OR(NOT(ISNUMBER(B53)),D53&lt;=0,NOT(ISNUMBER(D53)),I53="",J53="",L53=""),"Missing date/amount/ref/details",IF(OR(COUNTIFS('Accounts'!$A$6:$A$105,Q53)&lt;&gt;1,COUNTIFS('Accounts'!$A$6:$A$105,R53)&lt;&gt;1,Q53=R53),"Check accounts/event",IF(AND(OR(Q53="Trade payables",R53="Trade payables",Q53="Customer receivables",R53="Customer receivables",Q53="Courier receivables",R53="Courier receivables",Q53="Supplier advances",R53="Supplier advances"),H53=""),"Contact ID required",IF(AND(N53="Approved",OR(M53="",M53=L53)),"Independent review needed",IF(OR(N53="Draft",N53="Approved",N53="Void"),"OK","Status required")))))))</x:f>
      </x:c>
    </x:row>
    <x:row r="54" ht="23" customHeight="1">
      <x:c r="A54" s="36"/>
      <x:c r="B54" s="40"/>
      <x:c r="C54" s="36"/>
      <x:c r="D54" s="41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42" t="str">
        <x:f>IF(A54="","",IF(COUNTIFS('Event Guide'!$A$6:$A$29,C54)=1,VLOOKUP(C54,'Event Guide'!$A$6:$C$29,2,FALSE),"Unknown event"))</x:f>
      </x:c>
      <x:c r="P54" s="42" t="str">
        <x:f>IF(A54="","",IF(COUNTIFS('Event Guide'!$A$6:$A$29,C54)=1,VLOOKUP(C54,'Event Guide'!$A$6:$C$29,3,FALSE),"Unknown event"))</x:f>
      </x:c>
      <x:c r="Q54" s="42" t="str">
        <x:f>IF(A54="","",IF(O54="PAY",E54,IF(O54="OTHER",F54,IF(O54="CAPITAL","Capital - "&amp;G54,IF(O54="DUE","Due to - "&amp;G54,IF(O54="DRAW","Drawings - "&amp;G54,O54))))))</x:f>
      </x:c>
      <x:c r="R54" s="42" t="str">
        <x:f>IF(A54="","",IF(P54="PAY",E54,IF(P54="OTHER",F54,IF(P54="CAPITAL","Capital - "&amp;G54,IF(P54="DUE","Due to - "&amp;G54,IF(P54="DRAW","Drawings - "&amp;G54,P54))))))</x:f>
      </x:c>
      <x:c r="S54" s="37" t="n">
        <x:f>IF(AND(N54="Approved",T54="OK"),D54,0)</x:f>
        <x:v>0</x:v>
      </x:c>
      <x:c r="T54" s="42" t="str">
        <x:f>IF(A54="","",IF(COUNTIFS($A$6:$A$505,A54)&lt;&gt;1,"Duplicate ID",IF(OR(NOT(ISNUMBER(B54)),D54&lt;=0,NOT(ISNUMBER(D54)),I54="",J54="",L54=""),"Missing date/amount/ref/details",IF(OR(COUNTIFS('Accounts'!$A$6:$A$105,Q54)&lt;&gt;1,COUNTIFS('Accounts'!$A$6:$A$105,R54)&lt;&gt;1,Q54=R54),"Check accounts/event",IF(AND(OR(Q54="Trade payables",R54="Trade payables",Q54="Customer receivables",R54="Customer receivables",Q54="Courier receivables",R54="Courier receivables",Q54="Supplier advances",R54="Supplier advances"),H54=""),"Contact ID required",IF(AND(N54="Approved",OR(M54="",M54=L54)),"Independent review needed",IF(OR(N54="Draft",N54="Approved",N54="Void"),"OK","Status required")))))))</x:f>
      </x:c>
    </x:row>
    <x:row r="55" ht="23" customHeight="1">
      <x:c r="A55" s="36"/>
      <x:c r="B55" s="40"/>
      <x:c r="C55" s="36"/>
      <x:c r="D55" s="41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42" t="str">
        <x:f>IF(A55="","",IF(COUNTIFS('Event Guide'!$A$6:$A$29,C55)=1,VLOOKUP(C55,'Event Guide'!$A$6:$C$29,2,FALSE),"Unknown event"))</x:f>
      </x:c>
      <x:c r="P55" s="42" t="str">
        <x:f>IF(A55="","",IF(COUNTIFS('Event Guide'!$A$6:$A$29,C55)=1,VLOOKUP(C55,'Event Guide'!$A$6:$C$29,3,FALSE),"Unknown event"))</x:f>
      </x:c>
      <x:c r="Q55" s="42" t="str">
        <x:f>IF(A55="","",IF(O55="PAY",E55,IF(O55="OTHER",F55,IF(O55="CAPITAL","Capital - "&amp;G55,IF(O55="DUE","Due to - "&amp;G55,IF(O55="DRAW","Drawings - "&amp;G55,O55))))))</x:f>
      </x:c>
      <x:c r="R55" s="42" t="str">
        <x:f>IF(A55="","",IF(P55="PAY",E55,IF(P55="OTHER",F55,IF(P55="CAPITAL","Capital - "&amp;G55,IF(P55="DUE","Due to - "&amp;G55,IF(P55="DRAW","Drawings - "&amp;G55,P55))))))</x:f>
      </x:c>
      <x:c r="S55" s="37" t="n">
        <x:f>IF(AND(N55="Approved",T55="OK"),D55,0)</x:f>
        <x:v>0</x:v>
      </x:c>
      <x:c r="T55" s="42" t="str">
        <x:f>IF(A55="","",IF(COUNTIFS($A$6:$A$505,A55)&lt;&gt;1,"Duplicate ID",IF(OR(NOT(ISNUMBER(B55)),D55&lt;=0,NOT(ISNUMBER(D55)),I55="",J55="",L55=""),"Missing date/amount/ref/details",IF(OR(COUNTIFS('Accounts'!$A$6:$A$105,Q55)&lt;&gt;1,COUNTIFS('Accounts'!$A$6:$A$105,R55)&lt;&gt;1,Q55=R55),"Check accounts/event",IF(AND(OR(Q55="Trade payables",R55="Trade payables",Q55="Customer receivables",R55="Customer receivables",Q55="Courier receivables",R55="Courier receivables",Q55="Supplier advances",R55="Supplier advances"),H55=""),"Contact ID required",IF(AND(N55="Approved",OR(M55="",M55=L55)),"Independent review needed",IF(OR(N55="Draft",N55="Approved",N55="Void"),"OK","Status required")))))))</x:f>
      </x:c>
    </x:row>
    <x:row r="56" ht="23" customHeight="1">
      <x:c r="A56" s="36"/>
      <x:c r="B56" s="40"/>
      <x:c r="C56" s="36"/>
      <x:c r="D56" s="41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42" t="str">
        <x:f>IF(A56="","",IF(COUNTIFS('Event Guide'!$A$6:$A$29,C56)=1,VLOOKUP(C56,'Event Guide'!$A$6:$C$29,2,FALSE),"Unknown event"))</x:f>
      </x:c>
      <x:c r="P56" s="42" t="str">
        <x:f>IF(A56="","",IF(COUNTIFS('Event Guide'!$A$6:$A$29,C56)=1,VLOOKUP(C56,'Event Guide'!$A$6:$C$29,3,FALSE),"Unknown event"))</x:f>
      </x:c>
      <x:c r="Q56" s="42" t="str">
        <x:f>IF(A56="","",IF(O56="PAY",E56,IF(O56="OTHER",F56,IF(O56="CAPITAL","Capital - "&amp;G56,IF(O56="DUE","Due to - "&amp;G56,IF(O56="DRAW","Drawings - "&amp;G56,O56))))))</x:f>
      </x:c>
      <x:c r="R56" s="42" t="str">
        <x:f>IF(A56="","",IF(P56="PAY",E56,IF(P56="OTHER",F56,IF(P56="CAPITAL","Capital - "&amp;G56,IF(P56="DUE","Due to - "&amp;G56,IF(P56="DRAW","Drawings - "&amp;G56,P56))))))</x:f>
      </x:c>
      <x:c r="S56" s="37" t="n">
        <x:f>IF(AND(N56="Approved",T56="OK"),D56,0)</x:f>
        <x:v>0</x:v>
      </x:c>
      <x:c r="T56" s="42" t="str">
        <x:f>IF(A56="","",IF(COUNTIFS($A$6:$A$505,A56)&lt;&gt;1,"Duplicate ID",IF(OR(NOT(ISNUMBER(B56)),D56&lt;=0,NOT(ISNUMBER(D56)),I56="",J56="",L56=""),"Missing date/amount/ref/details",IF(OR(COUNTIFS('Accounts'!$A$6:$A$105,Q56)&lt;&gt;1,COUNTIFS('Accounts'!$A$6:$A$105,R56)&lt;&gt;1,Q56=R56),"Check accounts/event",IF(AND(OR(Q56="Trade payables",R56="Trade payables",Q56="Customer receivables",R56="Customer receivables",Q56="Courier receivables",R56="Courier receivables",Q56="Supplier advances",R56="Supplier advances"),H56=""),"Contact ID required",IF(AND(N56="Approved",OR(M56="",M56=L56)),"Independent review needed",IF(OR(N56="Draft",N56="Approved",N56="Void"),"OK","Status required")))))))</x:f>
      </x:c>
    </x:row>
    <x:row r="57" ht="23" customHeight="1">
      <x:c r="A57" s="36"/>
      <x:c r="B57" s="40"/>
      <x:c r="C57" s="36"/>
      <x:c r="D57" s="41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42" t="str">
        <x:f>IF(A57="","",IF(COUNTIFS('Event Guide'!$A$6:$A$29,C57)=1,VLOOKUP(C57,'Event Guide'!$A$6:$C$29,2,FALSE),"Unknown event"))</x:f>
      </x:c>
      <x:c r="P57" s="42" t="str">
        <x:f>IF(A57="","",IF(COUNTIFS('Event Guide'!$A$6:$A$29,C57)=1,VLOOKUP(C57,'Event Guide'!$A$6:$C$29,3,FALSE),"Unknown event"))</x:f>
      </x:c>
      <x:c r="Q57" s="42" t="str">
        <x:f>IF(A57="","",IF(O57="PAY",E57,IF(O57="OTHER",F57,IF(O57="CAPITAL","Capital - "&amp;G57,IF(O57="DUE","Due to - "&amp;G57,IF(O57="DRAW","Drawings - "&amp;G57,O57))))))</x:f>
      </x:c>
      <x:c r="R57" s="42" t="str">
        <x:f>IF(A57="","",IF(P57="PAY",E57,IF(P57="OTHER",F57,IF(P57="CAPITAL","Capital - "&amp;G57,IF(P57="DUE","Due to - "&amp;G57,IF(P57="DRAW","Drawings - "&amp;G57,P57))))))</x:f>
      </x:c>
      <x:c r="S57" s="37" t="n">
        <x:f>IF(AND(N57="Approved",T57="OK"),D57,0)</x:f>
        <x:v>0</x:v>
      </x:c>
      <x:c r="T57" s="42" t="str">
        <x:f>IF(A57="","",IF(COUNTIFS($A$6:$A$505,A57)&lt;&gt;1,"Duplicate ID",IF(OR(NOT(ISNUMBER(B57)),D57&lt;=0,NOT(ISNUMBER(D57)),I57="",J57="",L57=""),"Missing date/amount/ref/details",IF(OR(COUNTIFS('Accounts'!$A$6:$A$105,Q57)&lt;&gt;1,COUNTIFS('Accounts'!$A$6:$A$105,R57)&lt;&gt;1,Q57=R57),"Check accounts/event",IF(AND(OR(Q57="Trade payables",R57="Trade payables",Q57="Customer receivables",R57="Customer receivables",Q57="Courier receivables",R57="Courier receivables",Q57="Supplier advances",R57="Supplier advances"),H57=""),"Contact ID required",IF(AND(N57="Approved",OR(M57="",M57=L57)),"Independent review needed",IF(OR(N57="Draft",N57="Approved",N57="Void"),"OK","Status required")))))))</x:f>
      </x:c>
    </x:row>
    <x:row r="58" ht="23" customHeight="1">
      <x:c r="A58" s="36"/>
      <x:c r="B58" s="40"/>
      <x:c r="C58" s="36"/>
      <x:c r="D58" s="41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42" t="str">
        <x:f>IF(A58="","",IF(COUNTIFS('Event Guide'!$A$6:$A$29,C58)=1,VLOOKUP(C58,'Event Guide'!$A$6:$C$29,2,FALSE),"Unknown event"))</x:f>
      </x:c>
      <x:c r="P58" s="42" t="str">
        <x:f>IF(A58="","",IF(COUNTIFS('Event Guide'!$A$6:$A$29,C58)=1,VLOOKUP(C58,'Event Guide'!$A$6:$C$29,3,FALSE),"Unknown event"))</x:f>
      </x:c>
      <x:c r="Q58" s="42" t="str">
        <x:f>IF(A58="","",IF(O58="PAY",E58,IF(O58="OTHER",F58,IF(O58="CAPITAL","Capital - "&amp;G58,IF(O58="DUE","Due to - "&amp;G58,IF(O58="DRAW","Drawings - "&amp;G58,O58))))))</x:f>
      </x:c>
      <x:c r="R58" s="42" t="str">
        <x:f>IF(A58="","",IF(P58="PAY",E58,IF(P58="OTHER",F58,IF(P58="CAPITAL","Capital - "&amp;G58,IF(P58="DUE","Due to - "&amp;G58,IF(P58="DRAW","Drawings - "&amp;G58,P58))))))</x:f>
      </x:c>
      <x:c r="S58" s="37" t="n">
        <x:f>IF(AND(N58="Approved",T58="OK"),D58,0)</x:f>
        <x:v>0</x:v>
      </x:c>
      <x:c r="T58" s="42" t="str">
        <x:f>IF(A58="","",IF(COUNTIFS($A$6:$A$505,A58)&lt;&gt;1,"Duplicate ID",IF(OR(NOT(ISNUMBER(B58)),D58&lt;=0,NOT(ISNUMBER(D58)),I58="",J58="",L58=""),"Missing date/amount/ref/details",IF(OR(COUNTIFS('Accounts'!$A$6:$A$105,Q58)&lt;&gt;1,COUNTIFS('Accounts'!$A$6:$A$105,R58)&lt;&gt;1,Q58=R58),"Check accounts/event",IF(AND(OR(Q58="Trade payables",R58="Trade payables",Q58="Customer receivables",R58="Customer receivables",Q58="Courier receivables",R58="Courier receivables",Q58="Supplier advances",R58="Supplier advances"),H58=""),"Contact ID required",IF(AND(N58="Approved",OR(M58="",M58=L58)),"Independent review needed",IF(OR(N58="Draft",N58="Approved",N58="Void"),"OK","Status required")))))))</x:f>
      </x:c>
    </x:row>
    <x:row r="59" ht="23" customHeight="1">
      <x:c r="A59" s="36"/>
      <x:c r="B59" s="40"/>
      <x:c r="C59" s="36"/>
      <x:c r="D59" s="41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42" t="str">
        <x:f>IF(A59="","",IF(COUNTIFS('Event Guide'!$A$6:$A$29,C59)=1,VLOOKUP(C59,'Event Guide'!$A$6:$C$29,2,FALSE),"Unknown event"))</x:f>
      </x:c>
      <x:c r="P59" s="42" t="str">
        <x:f>IF(A59="","",IF(COUNTIFS('Event Guide'!$A$6:$A$29,C59)=1,VLOOKUP(C59,'Event Guide'!$A$6:$C$29,3,FALSE),"Unknown event"))</x:f>
      </x:c>
      <x:c r="Q59" s="42" t="str">
        <x:f>IF(A59="","",IF(O59="PAY",E59,IF(O59="OTHER",F59,IF(O59="CAPITAL","Capital - "&amp;G59,IF(O59="DUE","Due to - "&amp;G59,IF(O59="DRAW","Drawings - "&amp;G59,O59))))))</x:f>
      </x:c>
      <x:c r="R59" s="42" t="str">
        <x:f>IF(A59="","",IF(P59="PAY",E59,IF(P59="OTHER",F59,IF(P59="CAPITAL","Capital - "&amp;G59,IF(P59="DUE","Due to - "&amp;G59,IF(P59="DRAW","Drawings - "&amp;G59,P59))))))</x:f>
      </x:c>
      <x:c r="S59" s="37" t="n">
        <x:f>IF(AND(N59="Approved",T59="OK"),D59,0)</x:f>
        <x:v>0</x:v>
      </x:c>
      <x:c r="T59" s="42" t="str">
        <x:f>IF(A59="","",IF(COUNTIFS($A$6:$A$505,A59)&lt;&gt;1,"Duplicate ID",IF(OR(NOT(ISNUMBER(B59)),D59&lt;=0,NOT(ISNUMBER(D59)),I59="",J59="",L59=""),"Missing date/amount/ref/details",IF(OR(COUNTIFS('Accounts'!$A$6:$A$105,Q59)&lt;&gt;1,COUNTIFS('Accounts'!$A$6:$A$105,R59)&lt;&gt;1,Q59=R59),"Check accounts/event",IF(AND(OR(Q59="Trade payables",R59="Trade payables",Q59="Customer receivables",R59="Customer receivables",Q59="Courier receivables",R59="Courier receivables",Q59="Supplier advances",R59="Supplier advances"),H59=""),"Contact ID required",IF(AND(N59="Approved",OR(M59="",M59=L59)),"Independent review needed",IF(OR(N59="Draft",N59="Approved",N59="Void"),"OK","Status required")))))))</x:f>
      </x:c>
    </x:row>
    <x:row r="60" ht="23" customHeight="1">
      <x:c r="A60" s="36"/>
      <x:c r="B60" s="40"/>
      <x:c r="C60" s="36"/>
      <x:c r="D60" s="41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42" t="str">
        <x:f>IF(A60="","",IF(COUNTIFS('Event Guide'!$A$6:$A$29,C60)=1,VLOOKUP(C60,'Event Guide'!$A$6:$C$29,2,FALSE),"Unknown event"))</x:f>
      </x:c>
      <x:c r="P60" s="42" t="str">
        <x:f>IF(A60="","",IF(COUNTIFS('Event Guide'!$A$6:$A$29,C60)=1,VLOOKUP(C60,'Event Guide'!$A$6:$C$29,3,FALSE),"Unknown event"))</x:f>
      </x:c>
      <x:c r="Q60" s="42" t="str">
        <x:f>IF(A60="","",IF(O60="PAY",E60,IF(O60="OTHER",F60,IF(O60="CAPITAL","Capital - "&amp;G60,IF(O60="DUE","Due to - "&amp;G60,IF(O60="DRAW","Drawings - "&amp;G60,O60))))))</x:f>
      </x:c>
      <x:c r="R60" s="42" t="str">
        <x:f>IF(A60="","",IF(P60="PAY",E60,IF(P60="OTHER",F60,IF(P60="CAPITAL","Capital - "&amp;G60,IF(P60="DUE","Due to - "&amp;G60,IF(P60="DRAW","Drawings - "&amp;G60,P60))))))</x:f>
      </x:c>
      <x:c r="S60" s="37" t="n">
        <x:f>IF(AND(N60="Approved",T60="OK"),D60,0)</x:f>
        <x:v>0</x:v>
      </x:c>
      <x:c r="T60" s="42" t="str">
        <x:f>IF(A60="","",IF(COUNTIFS($A$6:$A$505,A60)&lt;&gt;1,"Duplicate ID",IF(OR(NOT(ISNUMBER(B60)),D60&lt;=0,NOT(ISNUMBER(D60)),I60="",J60="",L60=""),"Missing date/amount/ref/details",IF(OR(COUNTIFS('Accounts'!$A$6:$A$105,Q60)&lt;&gt;1,COUNTIFS('Accounts'!$A$6:$A$105,R60)&lt;&gt;1,Q60=R60),"Check accounts/event",IF(AND(OR(Q60="Trade payables",R60="Trade payables",Q60="Customer receivables",R60="Customer receivables",Q60="Courier receivables",R60="Courier receivables",Q60="Supplier advances",R60="Supplier advances"),H60=""),"Contact ID required",IF(AND(N60="Approved",OR(M60="",M60=L60)),"Independent review needed",IF(OR(N60="Draft",N60="Approved",N60="Void"),"OK","Status required")))))))</x:f>
      </x:c>
    </x:row>
    <x:row r="61" ht="23" customHeight="1">
      <x:c r="A61" s="36"/>
      <x:c r="B61" s="40"/>
      <x:c r="C61" s="36"/>
      <x:c r="D61" s="41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42" t="str">
        <x:f>IF(A61="","",IF(COUNTIFS('Event Guide'!$A$6:$A$29,C61)=1,VLOOKUP(C61,'Event Guide'!$A$6:$C$29,2,FALSE),"Unknown event"))</x:f>
      </x:c>
      <x:c r="P61" s="42" t="str">
        <x:f>IF(A61="","",IF(COUNTIFS('Event Guide'!$A$6:$A$29,C61)=1,VLOOKUP(C61,'Event Guide'!$A$6:$C$29,3,FALSE),"Unknown event"))</x:f>
      </x:c>
      <x:c r="Q61" s="42" t="str">
        <x:f>IF(A61="","",IF(O61="PAY",E61,IF(O61="OTHER",F61,IF(O61="CAPITAL","Capital - "&amp;G61,IF(O61="DUE","Due to - "&amp;G61,IF(O61="DRAW","Drawings - "&amp;G61,O61))))))</x:f>
      </x:c>
      <x:c r="R61" s="42" t="str">
        <x:f>IF(A61="","",IF(P61="PAY",E61,IF(P61="OTHER",F61,IF(P61="CAPITAL","Capital - "&amp;G61,IF(P61="DUE","Due to - "&amp;G61,IF(P61="DRAW","Drawings - "&amp;G61,P61))))))</x:f>
      </x:c>
      <x:c r="S61" s="37" t="n">
        <x:f>IF(AND(N61="Approved",T61="OK"),D61,0)</x:f>
        <x:v>0</x:v>
      </x:c>
      <x:c r="T61" s="42" t="str">
        <x:f>IF(A61="","",IF(COUNTIFS($A$6:$A$505,A61)&lt;&gt;1,"Duplicate ID",IF(OR(NOT(ISNUMBER(B61)),D61&lt;=0,NOT(ISNUMBER(D61)),I61="",J61="",L61=""),"Missing date/amount/ref/details",IF(OR(COUNTIFS('Accounts'!$A$6:$A$105,Q61)&lt;&gt;1,COUNTIFS('Accounts'!$A$6:$A$105,R61)&lt;&gt;1,Q61=R61),"Check accounts/event",IF(AND(OR(Q61="Trade payables",R61="Trade payables",Q61="Customer receivables",R61="Customer receivables",Q61="Courier receivables",R61="Courier receivables",Q61="Supplier advances",R61="Supplier advances"),H61=""),"Contact ID required",IF(AND(N61="Approved",OR(M61="",M61=L61)),"Independent review needed",IF(OR(N61="Draft",N61="Approved",N61="Void"),"OK","Status required")))))))</x:f>
      </x:c>
    </x:row>
    <x:row r="62" ht="23" customHeight="1">
      <x:c r="A62" s="36"/>
      <x:c r="B62" s="40"/>
      <x:c r="C62" s="36"/>
      <x:c r="D62" s="41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42" t="str">
        <x:f>IF(A62="","",IF(COUNTIFS('Event Guide'!$A$6:$A$29,C62)=1,VLOOKUP(C62,'Event Guide'!$A$6:$C$29,2,FALSE),"Unknown event"))</x:f>
      </x:c>
      <x:c r="P62" s="42" t="str">
        <x:f>IF(A62="","",IF(COUNTIFS('Event Guide'!$A$6:$A$29,C62)=1,VLOOKUP(C62,'Event Guide'!$A$6:$C$29,3,FALSE),"Unknown event"))</x:f>
      </x:c>
      <x:c r="Q62" s="42" t="str">
        <x:f>IF(A62="","",IF(O62="PAY",E62,IF(O62="OTHER",F62,IF(O62="CAPITAL","Capital - "&amp;G62,IF(O62="DUE","Due to - "&amp;G62,IF(O62="DRAW","Drawings - "&amp;G62,O62))))))</x:f>
      </x:c>
      <x:c r="R62" s="42" t="str">
        <x:f>IF(A62="","",IF(P62="PAY",E62,IF(P62="OTHER",F62,IF(P62="CAPITAL","Capital - "&amp;G62,IF(P62="DUE","Due to - "&amp;G62,IF(P62="DRAW","Drawings - "&amp;G62,P62))))))</x:f>
      </x:c>
      <x:c r="S62" s="37" t="n">
        <x:f>IF(AND(N62="Approved",T62="OK"),D62,0)</x:f>
        <x:v>0</x:v>
      </x:c>
      <x:c r="T62" s="42" t="str">
        <x:f>IF(A62="","",IF(COUNTIFS($A$6:$A$505,A62)&lt;&gt;1,"Duplicate ID",IF(OR(NOT(ISNUMBER(B62)),D62&lt;=0,NOT(ISNUMBER(D62)),I62="",J62="",L62=""),"Missing date/amount/ref/details",IF(OR(COUNTIFS('Accounts'!$A$6:$A$105,Q62)&lt;&gt;1,COUNTIFS('Accounts'!$A$6:$A$105,R62)&lt;&gt;1,Q62=R62),"Check accounts/event",IF(AND(OR(Q62="Trade payables",R62="Trade payables",Q62="Customer receivables",R62="Customer receivables",Q62="Courier receivables",R62="Courier receivables",Q62="Supplier advances",R62="Supplier advances"),H62=""),"Contact ID required",IF(AND(N62="Approved",OR(M62="",M62=L62)),"Independent review needed",IF(OR(N62="Draft",N62="Approved",N62="Void"),"OK","Status required")))))))</x:f>
      </x:c>
    </x:row>
    <x:row r="63" ht="23" customHeight="1">
      <x:c r="A63" s="36"/>
      <x:c r="B63" s="40"/>
      <x:c r="C63" s="36"/>
      <x:c r="D63" s="41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42" t="str">
        <x:f>IF(A63="","",IF(COUNTIFS('Event Guide'!$A$6:$A$29,C63)=1,VLOOKUP(C63,'Event Guide'!$A$6:$C$29,2,FALSE),"Unknown event"))</x:f>
      </x:c>
      <x:c r="P63" s="42" t="str">
        <x:f>IF(A63="","",IF(COUNTIFS('Event Guide'!$A$6:$A$29,C63)=1,VLOOKUP(C63,'Event Guide'!$A$6:$C$29,3,FALSE),"Unknown event"))</x:f>
      </x:c>
      <x:c r="Q63" s="42" t="str">
        <x:f>IF(A63="","",IF(O63="PAY",E63,IF(O63="OTHER",F63,IF(O63="CAPITAL","Capital - "&amp;G63,IF(O63="DUE","Due to - "&amp;G63,IF(O63="DRAW","Drawings - "&amp;G63,O63))))))</x:f>
      </x:c>
      <x:c r="R63" s="42" t="str">
        <x:f>IF(A63="","",IF(P63="PAY",E63,IF(P63="OTHER",F63,IF(P63="CAPITAL","Capital - "&amp;G63,IF(P63="DUE","Due to - "&amp;G63,IF(P63="DRAW","Drawings - "&amp;G63,P63))))))</x:f>
      </x:c>
      <x:c r="S63" s="37" t="n">
        <x:f>IF(AND(N63="Approved",T63="OK"),D63,0)</x:f>
        <x:v>0</x:v>
      </x:c>
      <x:c r="T63" s="42" t="str">
        <x:f>IF(A63="","",IF(COUNTIFS($A$6:$A$505,A63)&lt;&gt;1,"Duplicate ID",IF(OR(NOT(ISNUMBER(B63)),D63&lt;=0,NOT(ISNUMBER(D63)),I63="",J63="",L63=""),"Missing date/amount/ref/details",IF(OR(COUNTIFS('Accounts'!$A$6:$A$105,Q63)&lt;&gt;1,COUNTIFS('Accounts'!$A$6:$A$105,R63)&lt;&gt;1,Q63=R63),"Check accounts/event",IF(AND(OR(Q63="Trade payables",R63="Trade payables",Q63="Customer receivables",R63="Customer receivables",Q63="Courier receivables",R63="Courier receivables",Q63="Supplier advances",R63="Supplier advances"),H63=""),"Contact ID required",IF(AND(N63="Approved",OR(M63="",M63=L63)),"Independent review needed",IF(OR(N63="Draft",N63="Approved",N63="Void"),"OK","Status required")))))))</x:f>
      </x:c>
    </x:row>
    <x:row r="64" ht="23" customHeight="1">
      <x:c r="A64" s="36"/>
      <x:c r="B64" s="40"/>
      <x:c r="C64" s="36"/>
      <x:c r="D64" s="41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42" t="str">
        <x:f>IF(A64="","",IF(COUNTIFS('Event Guide'!$A$6:$A$29,C64)=1,VLOOKUP(C64,'Event Guide'!$A$6:$C$29,2,FALSE),"Unknown event"))</x:f>
      </x:c>
      <x:c r="P64" s="42" t="str">
        <x:f>IF(A64="","",IF(COUNTIFS('Event Guide'!$A$6:$A$29,C64)=1,VLOOKUP(C64,'Event Guide'!$A$6:$C$29,3,FALSE),"Unknown event"))</x:f>
      </x:c>
      <x:c r="Q64" s="42" t="str">
        <x:f>IF(A64="","",IF(O64="PAY",E64,IF(O64="OTHER",F64,IF(O64="CAPITAL","Capital - "&amp;G64,IF(O64="DUE","Due to - "&amp;G64,IF(O64="DRAW","Drawings - "&amp;G64,O64))))))</x:f>
      </x:c>
      <x:c r="R64" s="42" t="str">
        <x:f>IF(A64="","",IF(P64="PAY",E64,IF(P64="OTHER",F64,IF(P64="CAPITAL","Capital - "&amp;G64,IF(P64="DUE","Due to - "&amp;G64,IF(P64="DRAW","Drawings - "&amp;G64,P64))))))</x:f>
      </x:c>
      <x:c r="S64" s="37" t="n">
        <x:f>IF(AND(N64="Approved",T64="OK"),D64,0)</x:f>
        <x:v>0</x:v>
      </x:c>
      <x:c r="T64" s="42" t="str">
        <x:f>IF(A64="","",IF(COUNTIFS($A$6:$A$505,A64)&lt;&gt;1,"Duplicate ID",IF(OR(NOT(ISNUMBER(B64)),D64&lt;=0,NOT(ISNUMBER(D64)),I64="",J64="",L64=""),"Missing date/amount/ref/details",IF(OR(COUNTIFS('Accounts'!$A$6:$A$105,Q64)&lt;&gt;1,COUNTIFS('Accounts'!$A$6:$A$105,R64)&lt;&gt;1,Q64=R64),"Check accounts/event",IF(AND(OR(Q64="Trade payables",R64="Trade payables",Q64="Customer receivables",R64="Customer receivables",Q64="Courier receivables",R64="Courier receivables",Q64="Supplier advances",R64="Supplier advances"),H64=""),"Contact ID required",IF(AND(N64="Approved",OR(M64="",M64=L64)),"Independent review needed",IF(OR(N64="Draft",N64="Approved",N64="Void"),"OK","Status required")))))))</x:f>
      </x:c>
    </x:row>
    <x:row r="65" ht="23" customHeight="1">
      <x:c r="A65" s="36"/>
      <x:c r="B65" s="40"/>
      <x:c r="C65" s="36"/>
      <x:c r="D65" s="41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42" t="str">
        <x:f>IF(A65="","",IF(COUNTIFS('Event Guide'!$A$6:$A$29,C65)=1,VLOOKUP(C65,'Event Guide'!$A$6:$C$29,2,FALSE),"Unknown event"))</x:f>
      </x:c>
      <x:c r="P65" s="42" t="str">
        <x:f>IF(A65="","",IF(COUNTIFS('Event Guide'!$A$6:$A$29,C65)=1,VLOOKUP(C65,'Event Guide'!$A$6:$C$29,3,FALSE),"Unknown event"))</x:f>
      </x:c>
      <x:c r="Q65" s="42" t="str">
        <x:f>IF(A65="","",IF(O65="PAY",E65,IF(O65="OTHER",F65,IF(O65="CAPITAL","Capital - "&amp;G65,IF(O65="DUE","Due to - "&amp;G65,IF(O65="DRAW","Drawings - "&amp;G65,O65))))))</x:f>
      </x:c>
      <x:c r="R65" s="42" t="str">
        <x:f>IF(A65="","",IF(P65="PAY",E65,IF(P65="OTHER",F65,IF(P65="CAPITAL","Capital - "&amp;G65,IF(P65="DUE","Due to - "&amp;G65,IF(P65="DRAW","Drawings - "&amp;G65,P65))))))</x:f>
      </x:c>
      <x:c r="S65" s="37" t="n">
        <x:f>IF(AND(N65="Approved",T65="OK"),D65,0)</x:f>
        <x:v>0</x:v>
      </x:c>
      <x:c r="T65" s="42" t="str">
        <x:f>IF(A65="","",IF(COUNTIFS($A$6:$A$505,A65)&lt;&gt;1,"Duplicate ID",IF(OR(NOT(ISNUMBER(B65)),D65&lt;=0,NOT(ISNUMBER(D65)),I65="",J65="",L65=""),"Missing date/amount/ref/details",IF(OR(COUNTIFS('Accounts'!$A$6:$A$105,Q65)&lt;&gt;1,COUNTIFS('Accounts'!$A$6:$A$105,R65)&lt;&gt;1,Q65=R65),"Check accounts/event",IF(AND(OR(Q65="Trade payables",R65="Trade payables",Q65="Customer receivables",R65="Customer receivables",Q65="Courier receivables",R65="Courier receivables",Q65="Supplier advances",R65="Supplier advances"),H65=""),"Contact ID required",IF(AND(N65="Approved",OR(M65="",M65=L65)),"Independent review needed",IF(OR(N65="Draft",N65="Approved",N65="Void"),"OK","Status required")))))))</x:f>
      </x:c>
    </x:row>
    <x:row r="66" ht="23" customHeight="1">
      <x:c r="A66" s="36"/>
      <x:c r="B66" s="40"/>
      <x:c r="C66" s="36"/>
      <x:c r="D66" s="41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42" t="str">
        <x:f>IF(A66="","",IF(COUNTIFS('Event Guide'!$A$6:$A$29,C66)=1,VLOOKUP(C66,'Event Guide'!$A$6:$C$29,2,FALSE),"Unknown event"))</x:f>
      </x:c>
      <x:c r="P66" s="42" t="str">
        <x:f>IF(A66="","",IF(COUNTIFS('Event Guide'!$A$6:$A$29,C66)=1,VLOOKUP(C66,'Event Guide'!$A$6:$C$29,3,FALSE),"Unknown event"))</x:f>
      </x:c>
      <x:c r="Q66" s="42" t="str">
        <x:f>IF(A66="","",IF(O66="PAY",E66,IF(O66="OTHER",F66,IF(O66="CAPITAL","Capital - "&amp;G66,IF(O66="DUE","Due to - "&amp;G66,IF(O66="DRAW","Drawings - "&amp;G66,O66))))))</x:f>
      </x:c>
      <x:c r="R66" s="42" t="str">
        <x:f>IF(A66="","",IF(P66="PAY",E66,IF(P66="OTHER",F66,IF(P66="CAPITAL","Capital - "&amp;G66,IF(P66="DUE","Due to - "&amp;G66,IF(P66="DRAW","Drawings - "&amp;G66,P66))))))</x:f>
      </x:c>
      <x:c r="S66" s="37" t="n">
        <x:f>IF(AND(N66="Approved",T66="OK"),D66,0)</x:f>
        <x:v>0</x:v>
      </x:c>
      <x:c r="T66" s="42" t="str">
        <x:f>IF(A66="","",IF(COUNTIFS($A$6:$A$505,A66)&lt;&gt;1,"Duplicate ID",IF(OR(NOT(ISNUMBER(B66)),D66&lt;=0,NOT(ISNUMBER(D66)),I66="",J66="",L66=""),"Missing date/amount/ref/details",IF(OR(COUNTIFS('Accounts'!$A$6:$A$105,Q66)&lt;&gt;1,COUNTIFS('Accounts'!$A$6:$A$105,R66)&lt;&gt;1,Q66=R66),"Check accounts/event",IF(AND(OR(Q66="Trade payables",R66="Trade payables",Q66="Customer receivables",R66="Customer receivables",Q66="Courier receivables",R66="Courier receivables",Q66="Supplier advances",R66="Supplier advances"),H66=""),"Contact ID required",IF(AND(N66="Approved",OR(M66="",M66=L66)),"Independent review needed",IF(OR(N66="Draft",N66="Approved",N66="Void"),"OK","Status required")))))))</x:f>
      </x:c>
    </x:row>
    <x:row r="67" ht="23" customHeight="1">
      <x:c r="A67" s="36"/>
      <x:c r="B67" s="40"/>
      <x:c r="C67" s="36"/>
      <x:c r="D67" s="41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42" t="str">
        <x:f>IF(A67="","",IF(COUNTIFS('Event Guide'!$A$6:$A$29,C67)=1,VLOOKUP(C67,'Event Guide'!$A$6:$C$29,2,FALSE),"Unknown event"))</x:f>
      </x:c>
      <x:c r="P67" s="42" t="str">
        <x:f>IF(A67="","",IF(COUNTIFS('Event Guide'!$A$6:$A$29,C67)=1,VLOOKUP(C67,'Event Guide'!$A$6:$C$29,3,FALSE),"Unknown event"))</x:f>
      </x:c>
      <x:c r="Q67" s="42" t="str">
        <x:f>IF(A67="","",IF(O67="PAY",E67,IF(O67="OTHER",F67,IF(O67="CAPITAL","Capital - "&amp;G67,IF(O67="DUE","Due to - "&amp;G67,IF(O67="DRAW","Drawings - "&amp;G67,O67))))))</x:f>
      </x:c>
      <x:c r="R67" s="42" t="str">
        <x:f>IF(A67="","",IF(P67="PAY",E67,IF(P67="OTHER",F67,IF(P67="CAPITAL","Capital - "&amp;G67,IF(P67="DUE","Due to - "&amp;G67,IF(P67="DRAW","Drawings - "&amp;G67,P67))))))</x:f>
      </x:c>
      <x:c r="S67" s="37" t="n">
        <x:f>IF(AND(N67="Approved",T67="OK"),D67,0)</x:f>
        <x:v>0</x:v>
      </x:c>
      <x:c r="T67" s="42" t="str">
        <x:f>IF(A67="","",IF(COUNTIFS($A$6:$A$505,A67)&lt;&gt;1,"Duplicate ID",IF(OR(NOT(ISNUMBER(B67)),D67&lt;=0,NOT(ISNUMBER(D67)),I67="",J67="",L67=""),"Missing date/amount/ref/details",IF(OR(COUNTIFS('Accounts'!$A$6:$A$105,Q67)&lt;&gt;1,COUNTIFS('Accounts'!$A$6:$A$105,R67)&lt;&gt;1,Q67=R67),"Check accounts/event",IF(AND(OR(Q67="Trade payables",R67="Trade payables",Q67="Customer receivables",R67="Customer receivables",Q67="Courier receivables",R67="Courier receivables",Q67="Supplier advances",R67="Supplier advances"),H67=""),"Contact ID required",IF(AND(N67="Approved",OR(M67="",M67=L67)),"Independent review needed",IF(OR(N67="Draft",N67="Approved",N67="Void"),"OK","Status required")))))))</x:f>
      </x:c>
    </x:row>
    <x:row r="68" ht="23" customHeight="1">
      <x:c r="A68" s="36"/>
      <x:c r="B68" s="40"/>
      <x:c r="C68" s="36"/>
      <x:c r="D68" s="41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42" t="str">
        <x:f>IF(A68="","",IF(COUNTIFS('Event Guide'!$A$6:$A$29,C68)=1,VLOOKUP(C68,'Event Guide'!$A$6:$C$29,2,FALSE),"Unknown event"))</x:f>
      </x:c>
      <x:c r="P68" s="42" t="str">
        <x:f>IF(A68="","",IF(COUNTIFS('Event Guide'!$A$6:$A$29,C68)=1,VLOOKUP(C68,'Event Guide'!$A$6:$C$29,3,FALSE),"Unknown event"))</x:f>
      </x:c>
      <x:c r="Q68" s="42" t="str">
        <x:f>IF(A68="","",IF(O68="PAY",E68,IF(O68="OTHER",F68,IF(O68="CAPITAL","Capital - "&amp;G68,IF(O68="DUE","Due to - "&amp;G68,IF(O68="DRAW","Drawings - "&amp;G68,O68))))))</x:f>
      </x:c>
      <x:c r="R68" s="42" t="str">
        <x:f>IF(A68="","",IF(P68="PAY",E68,IF(P68="OTHER",F68,IF(P68="CAPITAL","Capital - "&amp;G68,IF(P68="DUE","Due to - "&amp;G68,IF(P68="DRAW","Drawings - "&amp;G68,P68))))))</x:f>
      </x:c>
      <x:c r="S68" s="37" t="n">
        <x:f>IF(AND(N68="Approved",T68="OK"),D68,0)</x:f>
        <x:v>0</x:v>
      </x:c>
      <x:c r="T68" s="42" t="str">
        <x:f>IF(A68="","",IF(COUNTIFS($A$6:$A$505,A68)&lt;&gt;1,"Duplicate ID",IF(OR(NOT(ISNUMBER(B68)),D68&lt;=0,NOT(ISNUMBER(D68)),I68="",J68="",L68=""),"Missing date/amount/ref/details",IF(OR(COUNTIFS('Accounts'!$A$6:$A$105,Q68)&lt;&gt;1,COUNTIFS('Accounts'!$A$6:$A$105,R68)&lt;&gt;1,Q68=R68),"Check accounts/event",IF(AND(OR(Q68="Trade payables",R68="Trade payables",Q68="Customer receivables",R68="Customer receivables",Q68="Courier receivables",R68="Courier receivables",Q68="Supplier advances",R68="Supplier advances"),H68=""),"Contact ID required",IF(AND(N68="Approved",OR(M68="",M68=L68)),"Independent review needed",IF(OR(N68="Draft",N68="Approved",N68="Void"),"OK","Status required")))))))</x:f>
      </x:c>
    </x:row>
    <x:row r="69" ht="23" customHeight="1">
      <x:c r="A69" s="36"/>
      <x:c r="B69" s="40"/>
      <x:c r="C69" s="36"/>
      <x:c r="D69" s="41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42" t="str">
        <x:f>IF(A69="","",IF(COUNTIFS('Event Guide'!$A$6:$A$29,C69)=1,VLOOKUP(C69,'Event Guide'!$A$6:$C$29,2,FALSE),"Unknown event"))</x:f>
      </x:c>
      <x:c r="P69" s="42" t="str">
        <x:f>IF(A69="","",IF(COUNTIFS('Event Guide'!$A$6:$A$29,C69)=1,VLOOKUP(C69,'Event Guide'!$A$6:$C$29,3,FALSE),"Unknown event"))</x:f>
      </x:c>
      <x:c r="Q69" s="42" t="str">
        <x:f>IF(A69="","",IF(O69="PAY",E69,IF(O69="OTHER",F69,IF(O69="CAPITAL","Capital - "&amp;G69,IF(O69="DUE","Due to - "&amp;G69,IF(O69="DRAW","Drawings - "&amp;G69,O69))))))</x:f>
      </x:c>
      <x:c r="R69" s="42" t="str">
        <x:f>IF(A69="","",IF(P69="PAY",E69,IF(P69="OTHER",F69,IF(P69="CAPITAL","Capital - "&amp;G69,IF(P69="DUE","Due to - "&amp;G69,IF(P69="DRAW","Drawings - "&amp;G69,P69))))))</x:f>
      </x:c>
      <x:c r="S69" s="37" t="n">
        <x:f>IF(AND(N69="Approved",T69="OK"),D69,0)</x:f>
        <x:v>0</x:v>
      </x:c>
      <x:c r="T69" s="42" t="str">
        <x:f>IF(A69="","",IF(COUNTIFS($A$6:$A$505,A69)&lt;&gt;1,"Duplicate ID",IF(OR(NOT(ISNUMBER(B69)),D69&lt;=0,NOT(ISNUMBER(D69)),I69="",J69="",L69=""),"Missing date/amount/ref/details",IF(OR(COUNTIFS('Accounts'!$A$6:$A$105,Q69)&lt;&gt;1,COUNTIFS('Accounts'!$A$6:$A$105,R69)&lt;&gt;1,Q69=R69),"Check accounts/event",IF(AND(OR(Q69="Trade payables",R69="Trade payables",Q69="Customer receivables",R69="Customer receivables",Q69="Courier receivables",R69="Courier receivables",Q69="Supplier advances",R69="Supplier advances"),H69=""),"Contact ID required",IF(AND(N69="Approved",OR(M69="",M69=L69)),"Independent review needed",IF(OR(N69="Draft",N69="Approved",N69="Void"),"OK","Status required")))))))</x:f>
      </x:c>
    </x:row>
    <x:row r="70" ht="23" customHeight="1">
      <x:c r="A70" s="36"/>
      <x:c r="B70" s="40"/>
      <x:c r="C70" s="36"/>
      <x:c r="D70" s="41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42" t="str">
        <x:f>IF(A70="","",IF(COUNTIFS('Event Guide'!$A$6:$A$29,C70)=1,VLOOKUP(C70,'Event Guide'!$A$6:$C$29,2,FALSE),"Unknown event"))</x:f>
      </x:c>
      <x:c r="P70" s="42" t="str">
        <x:f>IF(A70="","",IF(COUNTIFS('Event Guide'!$A$6:$A$29,C70)=1,VLOOKUP(C70,'Event Guide'!$A$6:$C$29,3,FALSE),"Unknown event"))</x:f>
      </x:c>
      <x:c r="Q70" s="42" t="str">
        <x:f>IF(A70="","",IF(O70="PAY",E70,IF(O70="OTHER",F70,IF(O70="CAPITAL","Capital - "&amp;G70,IF(O70="DUE","Due to - "&amp;G70,IF(O70="DRAW","Drawings - "&amp;G70,O70))))))</x:f>
      </x:c>
      <x:c r="R70" s="42" t="str">
        <x:f>IF(A70="","",IF(P70="PAY",E70,IF(P70="OTHER",F70,IF(P70="CAPITAL","Capital - "&amp;G70,IF(P70="DUE","Due to - "&amp;G70,IF(P70="DRAW","Drawings - "&amp;G70,P70))))))</x:f>
      </x:c>
      <x:c r="S70" s="37" t="n">
        <x:f>IF(AND(N70="Approved",T70="OK"),D70,0)</x:f>
        <x:v>0</x:v>
      </x:c>
      <x:c r="T70" s="42" t="str">
        <x:f>IF(A70="","",IF(COUNTIFS($A$6:$A$505,A70)&lt;&gt;1,"Duplicate ID",IF(OR(NOT(ISNUMBER(B70)),D70&lt;=0,NOT(ISNUMBER(D70)),I70="",J70="",L70=""),"Missing date/amount/ref/details",IF(OR(COUNTIFS('Accounts'!$A$6:$A$105,Q70)&lt;&gt;1,COUNTIFS('Accounts'!$A$6:$A$105,R70)&lt;&gt;1,Q70=R70),"Check accounts/event",IF(AND(OR(Q70="Trade payables",R70="Trade payables",Q70="Customer receivables",R70="Customer receivables",Q70="Courier receivables",R70="Courier receivables",Q70="Supplier advances",R70="Supplier advances"),H70=""),"Contact ID required",IF(AND(N70="Approved",OR(M70="",M70=L70)),"Independent review needed",IF(OR(N70="Draft",N70="Approved",N70="Void"),"OK","Status required")))))))</x:f>
      </x:c>
    </x:row>
    <x:row r="71" ht="23" customHeight="1">
      <x:c r="A71" s="36"/>
      <x:c r="B71" s="40"/>
      <x:c r="C71" s="36"/>
      <x:c r="D71" s="41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42" t="str">
        <x:f>IF(A71="","",IF(COUNTIFS('Event Guide'!$A$6:$A$29,C71)=1,VLOOKUP(C71,'Event Guide'!$A$6:$C$29,2,FALSE),"Unknown event"))</x:f>
      </x:c>
      <x:c r="P71" s="42" t="str">
        <x:f>IF(A71="","",IF(COUNTIFS('Event Guide'!$A$6:$A$29,C71)=1,VLOOKUP(C71,'Event Guide'!$A$6:$C$29,3,FALSE),"Unknown event"))</x:f>
      </x:c>
      <x:c r="Q71" s="42" t="str">
        <x:f>IF(A71="","",IF(O71="PAY",E71,IF(O71="OTHER",F71,IF(O71="CAPITAL","Capital - "&amp;G71,IF(O71="DUE","Due to - "&amp;G71,IF(O71="DRAW","Drawings - "&amp;G71,O71))))))</x:f>
      </x:c>
      <x:c r="R71" s="42" t="str">
        <x:f>IF(A71="","",IF(P71="PAY",E71,IF(P71="OTHER",F71,IF(P71="CAPITAL","Capital - "&amp;G71,IF(P71="DUE","Due to - "&amp;G71,IF(P71="DRAW","Drawings - "&amp;G71,P71))))))</x:f>
      </x:c>
      <x:c r="S71" s="37" t="n">
        <x:f>IF(AND(N71="Approved",T71="OK"),D71,0)</x:f>
        <x:v>0</x:v>
      </x:c>
      <x:c r="T71" s="42" t="str">
        <x:f>IF(A71="","",IF(COUNTIFS($A$6:$A$505,A71)&lt;&gt;1,"Duplicate ID",IF(OR(NOT(ISNUMBER(B71)),D71&lt;=0,NOT(ISNUMBER(D71)),I71="",J71="",L71=""),"Missing date/amount/ref/details",IF(OR(COUNTIFS('Accounts'!$A$6:$A$105,Q71)&lt;&gt;1,COUNTIFS('Accounts'!$A$6:$A$105,R71)&lt;&gt;1,Q71=R71),"Check accounts/event",IF(AND(OR(Q71="Trade payables",R71="Trade payables",Q71="Customer receivables",R71="Customer receivables",Q71="Courier receivables",R71="Courier receivables",Q71="Supplier advances",R71="Supplier advances"),H71=""),"Contact ID required",IF(AND(N71="Approved",OR(M71="",M71=L71)),"Independent review needed",IF(OR(N71="Draft",N71="Approved",N71="Void"),"OK","Status required")))))))</x:f>
      </x:c>
    </x:row>
    <x:row r="72" ht="23" customHeight="1">
      <x:c r="A72" s="36"/>
      <x:c r="B72" s="40"/>
      <x:c r="C72" s="36"/>
      <x:c r="D72" s="41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42" t="str">
        <x:f>IF(A72="","",IF(COUNTIFS('Event Guide'!$A$6:$A$29,C72)=1,VLOOKUP(C72,'Event Guide'!$A$6:$C$29,2,FALSE),"Unknown event"))</x:f>
      </x:c>
      <x:c r="P72" s="42" t="str">
        <x:f>IF(A72="","",IF(COUNTIFS('Event Guide'!$A$6:$A$29,C72)=1,VLOOKUP(C72,'Event Guide'!$A$6:$C$29,3,FALSE),"Unknown event"))</x:f>
      </x:c>
      <x:c r="Q72" s="42" t="str">
        <x:f>IF(A72="","",IF(O72="PAY",E72,IF(O72="OTHER",F72,IF(O72="CAPITAL","Capital - "&amp;G72,IF(O72="DUE","Due to - "&amp;G72,IF(O72="DRAW","Drawings - "&amp;G72,O72))))))</x:f>
      </x:c>
      <x:c r="R72" s="42" t="str">
        <x:f>IF(A72="","",IF(P72="PAY",E72,IF(P72="OTHER",F72,IF(P72="CAPITAL","Capital - "&amp;G72,IF(P72="DUE","Due to - "&amp;G72,IF(P72="DRAW","Drawings - "&amp;G72,P72))))))</x:f>
      </x:c>
      <x:c r="S72" s="37" t="n">
        <x:f>IF(AND(N72="Approved",T72="OK"),D72,0)</x:f>
        <x:v>0</x:v>
      </x:c>
      <x:c r="T72" s="42" t="str">
        <x:f>IF(A72="","",IF(COUNTIFS($A$6:$A$505,A72)&lt;&gt;1,"Duplicate ID",IF(OR(NOT(ISNUMBER(B72)),D72&lt;=0,NOT(ISNUMBER(D72)),I72="",J72="",L72=""),"Missing date/amount/ref/details",IF(OR(COUNTIFS('Accounts'!$A$6:$A$105,Q72)&lt;&gt;1,COUNTIFS('Accounts'!$A$6:$A$105,R72)&lt;&gt;1,Q72=R72),"Check accounts/event",IF(AND(OR(Q72="Trade payables",R72="Trade payables",Q72="Customer receivables",R72="Customer receivables",Q72="Courier receivables",R72="Courier receivables",Q72="Supplier advances",R72="Supplier advances"),H72=""),"Contact ID required",IF(AND(N72="Approved",OR(M72="",M72=L72)),"Independent review needed",IF(OR(N72="Draft",N72="Approved",N72="Void"),"OK","Status required")))))))</x:f>
      </x:c>
    </x:row>
    <x:row r="73" ht="23" customHeight="1">
      <x:c r="A73" s="36"/>
      <x:c r="B73" s="40"/>
      <x:c r="C73" s="36"/>
      <x:c r="D73" s="41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42" t="str">
        <x:f>IF(A73="","",IF(COUNTIFS('Event Guide'!$A$6:$A$29,C73)=1,VLOOKUP(C73,'Event Guide'!$A$6:$C$29,2,FALSE),"Unknown event"))</x:f>
      </x:c>
      <x:c r="P73" s="42" t="str">
        <x:f>IF(A73="","",IF(COUNTIFS('Event Guide'!$A$6:$A$29,C73)=1,VLOOKUP(C73,'Event Guide'!$A$6:$C$29,3,FALSE),"Unknown event"))</x:f>
      </x:c>
      <x:c r="Q73" s="42" t="str">
        <x:f>IF(A73="","",IF(O73="PAY",E73,IF(O73="OTHER",F73,IF(O73="CAPITAL","Capital - "&amp;G73,IF(O73="DUE","Due to - "&amp;G73,IF(O73="DRAW","Drawings - "&amp;G73,O73))))))</x:f>
      </x:c>
      <x:c r="R73" s="42" t="str">
        <x:f>IF(A73="","",IF(P73="PAY",E73,IF(P73="OTHER",F73,IF(P73="CAPITAL","Capital - "&amp;G73,IF(P73="DUE","Due to - "&amp;G73,IF(P73="DRAW","Drawings - "&amp;G73,P73))))))</x:f>
      </x:c>
      <x:c r="S73" s="37" t="n">
        <x:f>IF(AND(N73="Approved",T73="OK"),D73,0)</x:f>
        <x:v>0</x:v>
      </x:c>
      <x:c r="T73" s="42" t="str">
        <x:f>IF(A73="","",IF(COUNTIFS($A$6:$A$505,A73)&lt;&gt;1,"Duplicate ID",IF(OR(NOT(ISNUMBER(B73)),D73&lt;=0,NOT(ISNUMBER(D73)),I73="",J73="",L73=""),"Missing date/amount/ref/details",IF(OR(COUNTIFS('Accounts'!$A$6:$A$105,Q73)&lt;&gt;1,COUNTIFS('Accounts'!$A$6:$A$105,R73)&lt;&gt;1,Q73=R73),"Check accounts/event",IF(AND(OR(Q73="Trade payables",R73="Trade payables",Q73="Customer receivables",R73="Customer receivables",Q73="Courier receivables",R73="Courier receivables",Q73="Supplier advances",R73="Supplier advances"),H73=""),"Contact ID required",IF(AND(N73="Approved",OR(M73="",M73=L73)),"Independent review needed",IF(OR(N73="Draft",N73="Approved",N73="Void"),"OK","Status required")))))))</x:f>
      </x:c>
    </x:row>
    <x:row r="74" ht="23" customHeight="1">
      <x:c r="A74" s="36"/>
      <x:c r="B74" s="40"/>
      <x:c r="C74" s="36"/>
      <x:c r="D74" s="41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42" t="str">
        <x:f>IF(A74="","",IF(COUNTIFS('Event Guide'!$A$6:$A$29,C74)=1,VLOOKUP(C74,'Event Guide'!$A$6:$C$29,2,FALSE),"Unknown event"))</x:f>
      </x:c>
      <x:c r="P74" s="42" t="str">
        <x:f>IF(A74="","",IF(COUNTIFS('Event Guide'!$A$6:$A$29,C74)=1,VLOOKUP(C74,'Event Guide'!$A$6:$C$29,3,FALSE),"Unknown event"))</x:f>
      </x:c>
      <x:c r="Q74" s="42" t="str">
        <x:f>IF(A74="","",IF(O74="PAY",E74,IF(O74="OTHER",F74,IF(O74="CAPITAL","Capital - "&amp;G74,IF(O74="DUE","Due to - "&amp;G74,IF(O74="DRAW","Drawings - "&amp;G74,O74))))))</x:f>
      </x:c>
      <x:c r="R74" s="42" t="str">
        <x:f>IF(A74="","",IF(P74="PAY",E74,IF(P74="OTHER",F74,IF(P74="CAPITAL","Capital - "&amp;G74,IF(P74="DUE","Due to - "&amp;G74,IF(P74="DRAW","Drawings - "&amp;G74,P74))))))</x:f>
      </x:c>
      <x:c r="S74" s="37" t="n">
        <x:f>IF(AND(N74="Approved",T74="OK"),D74,0)</x:f>
        <x:v>0</x:v>
      </x:c>
      <x:c r="T74" s="42" t="str">
        <x:f>IF(A74="","",IF(COUNTIFS($A$6:$A$505,A74)&lt;&gt;1,"Duplicate ID",IF(OR(NOT(ISNUMBER(B74)),D74&lt;=0,NOT(ISNUMBER(D74)),I74="",J74="",L74=""),"Missing date/amount/ref/details",IF(OR(COUNTIFS('Accounts'!$A$6:$A$105,Q74)&lt;&gt;1,COUNTIFS('Accounts'!$A$6:$A$105,R74)&lt;&gt;1,Q74=R74),"Check accounts/event",IF(AND(OR(Q74="Trade payables",R74="Trade payables",Q74="Customer receivables",R74="Customer receivables",Q74="Courier receivables",R74="Courier receivables",Q74="Supplier advances",R74="Supplier advances"),H74=""),"Contact ID required",IF(AND(N74="Approved",OR(M74="",M74=L74)),"Independent review needed",IF(OR(N74="Draft",N74="Approved",N74="Void"),"OK","Status required")))))))</x:f>
      </x:c>
    </x:row>
    <x:row r="75" ht="23" customHeight="1">
      <x:c r="A75" s="36"/>
      <x:c r="B75" s="40"/>
      <x:c r="C75" s="36"/>
      <x:c r="D75" s="41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42" t="str">
        <x:f>IF(A75="","",IF(COUNTIFS('Event Guide'!$A$6:$A$29,C75)=1,VLOOKUP(C75,'Event Guide'!$A$6:$C$29,2,FALSE),"Unknown event"))</x:f>
      </x:c>
      <x:c r="P75" s="42" t="str">
        <x:f>IF(A75="","",IF(COUNTIFS('Event Guide'!$A$6:$A$29,C75)=1,VLOOKUP(C75,'Event Guide'!$A$6:$C$29,3,FALSE),"Unknown event"))</x:f>
      </x:c>
      <x:c r="Q75" s="42" t="str">
        <x:f>IF(A75="","",IF(O75="PAY",E75,IF(O75="OTHER",F75,IF(O75="CAPITAL","Capital - "&amp;G75,IF(O75="DUE","Due to - "&amp;G75,IF(O75="DRAW","Drawings - "&amp;G75,O75))))))</x:f>
      </x:c>
      <x:c r="R75" s="42" t="str">
        <x:f>IF(A75="","",IF(P75="PAY",E75,IF(P75="OTHER",F75,IF(P75="CAPITAL","Capital - "&amp;G75,IF(P75="DUE","Due to - "&amp;G75,IF(P75="DRAW","Drawings - "&amp;G75,P75))))))</x:f>
      </x:c>
      <x:c r="S75" s="37" t="n">
        <x:f>IF(AND(N75="Approved",T75="OK"),D75,0)</x:f>
        <x:v>0</x:v>
      </x:c>
      <x:c r="T75" s="42" t="str">
        <x:f>IF(A75="","",IF(COUNTIFS($A$6:$A$505,A75)&lt;&gt;1,"Duplicate ID",IF(OR(NOT(ISNUMBER(B75)),D75&lt;=0,NOT(ISNUMBER(D75)),I75="",J75="",L75=""),"Missing date/amount/ref/details",IF(OR(COUNTIFS('Accounts'!$A$6:$A$105,Q75)&lt;&gt;1,COUNTIFS('Accounts'!$A$6:$A$105,R75)&lt;&gt;1,Q75=R75),"Check accounts/event",IF(AND(OR(Q75="Trade payables",R75="Trade payables",Q75="Customer receivables",R75="Customer receivables",Q75="Courier receivables",R75="Courier receivables",Q75="Supplier advances",R75="Supplier advances"),H75=""),"Contact ID required",IF(AND(N75="Approved",OR(M75="",M75=L75)),"Independent review needed",IF(OR(N75="Draft",N75="Approved",N75="Void"),"OK","Status required")))))))</x:f>
      </x:c>
    </x:row>
    <x:row r="76" ht="23" customHeight="1">
      <x:c r="A76" s="36"/>
      <x:c r="B76" s="40"/>
      <x:c r="C76" s="36"/>
      <x:c r="D76" s="41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42" t="str">
        <x:f>IF(A76="","",IF(COUNTIFS('Event Guide'!$A$6:$A$29,C76)=1,VLOOKUP(C76,'Event Guide'!$A$6:$C$29,2,FALSE),"Unknown event"))</x:f>
      </x:c>
      <x:c r="P76" s="42" t="str">
        <x:f>IF(A76="","",IF(COUNTIFS('Event Guide'!$A$6:$A$29,C76)=1,VLOOKUP(C76,'Event Guide'!$A$6:$C$29,3,FALSE),"Unknown event"))</x:f>
      </x:c>
      <x:c r="Q76" s="42" t="str">
        <x:f>IF(A76="","",IF(O76="PAY",E76,IF(O76="OTHER",F76,IF(O76="CAPITAL","Capital - "&amp;G76,IF(O76="DUE","Due to - "&amp;G76,IF(O76="DRAW","Drawings - "&amp;G76,O76))))))</x:f>
      </x:c>
      <x:c r="R76" s="42" t="str">
        <x:f>IF(A76="","",IF(P76="PAY",E76,IF(P76="OTHER",F76,IF(P76="CAPITAL","Capital - "&amp;G76,IF(P76="DUE","Due to - "&amp;G76,IF(P76="DRAW","Drawings - "&amp;G76,P76))))))</x:f>
      </x:c>
      <x:c r="S76" s="37" t="n">
        <x:f>IF(AND(N76="Approved",T76="OK"),D76,0)</x:f>
        <x:v>0</x:v>
      </x:c>
      <x:c r="T76" s="42" t="str">
        <x:f>IF(A76="","",IF(COUNTIFS($A$6:$A$505,A76)&lt;&gt;1,"Duplicate ID",IF(OR(NOT(ISNUMBER(B76)),D76&lt;=0,NOT(ISNUMBER(D76)),I76="",J76="",L76=""),"Missing date/amount/ref/details",IF(OR(COUNTIFS('Accounts'!$A$6:$A$105,Q76)&lt;&gt;1,COUNTIFS('Accounts'!$A$6:$A$105,R76)&lt;&gt;1,Q76=R76),"Check accounts/event",IF(AND(OR(Q76="Trade payables",R76="Trade payables",Q76="Customer receivables",R76="Customer receivables",Q76="Courier receivables",R76="Courier receivables",Q76="Supplier advances",R76="Supplier advances"),H76=""),"Contact ID required",IF(AND(N76="Approved",OR(M76="",M76=L76)),"Independent review needed",IF(OR(N76="Draft",N76="Approved",N76="Void"),"OK","Status required")))))))</x:f>
      </x:c>
    </x:row>
    <x:row r="77" ht="23" customHeight="1">
      <x:c r="A77" s="36"/>
      <x:c r="B77" s="40"/>
      <x:c r="C77" s="36"/>
      <x:c r="D77" s="41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42" t="str">
        <x:f>IF(A77="","",IF(COUNTIFS('Event Guide'!$A$6:$A$29,C77)=1,VLOOKUP(C77,'Event Guide'!$A$6:$C$29,2,FALSE),"Unknown event"))</x:f>
      </x:c>
      <x:c r="P77" s="42" t="str">
        <x:f>IF(A77="","",IF(COUNTIFS('Event Guide'!$A$6:$A$29,C77)=1,VLOOKUP(C77,'Event Guide'!$A$6:$C$29,3,FALSE),"Unknown event"))</x:f>
      </x:c>
      <x:c r="Q77" s="42" t="str">
        <x:f>IF(A77="","",IF(O77="PAY",E77,IF(O77="OTHER",F77,IF(O77="CAPITAL","Capital - "&amp;G77,IF(O77="DUE","Due to - "&amp;G77,IF(O77="DRAW","Drawings - "&amp;G77,O77))))))</x:f>
      </x:c>
      <x:c r="R77" s="42" t="str">
        <x:f>IF(A77="","",IF(P77="PAY",E77,IF(P77="OTHER",F77,IF(P77="CAPITAL","Capital - "&amp;G77,IF(P77="DUE","Due to - "&amp;G77,IF(P77="DRAW","Drawings - "&amp;G77,P77))))))</x:f>
      </x:c>
      <x:c r="S77" s="37" t="n">
        <x:f>IF(AND(N77="Approved",T77="OK"),D77,0)</x:f>
        <x:v>0</x:v>
      </x:c>
      <x:c r="T77" s="42" t="str">
        <x:f>IF(A77="","",IF(COUNTIFS($A$6:$A$505,A77)&lt;&gt;1,"Duplicate ID",IF(OR(NOT(ISNUMBER(B77)),D77&lt;=0,NOT(ISNUMBER(D77)),I77="",J77="",L77=""),"Missing date/amount/ref/details",IF(OR(COUNTIFS('Accounts'!$A$6:$A$105,Q77)&lt;&gt;1,COUNTIFS('Accounts'!$A$6:$A$105,R77)&lt;&gt;1,Q77=R77),"Check accounts/event",IF(AND(OR(Q77="Trade payables",R77="Trade payables",Q77="Customer receivables",R77="Customer receivables",Q77="Courier receivables",R77="Courier receivables",Q77="Supplier advances",R77="Supplier advances"),H77=""),"Contact ID required",IF(AND(N77="Approved",OR(M77="",M77=L77)),"Independent review needed",IF(OR(N77="Draft",N77="Approved",N77="Void"),"OK","Status required")))))))</x:f>
      </x:c>
    </x:row>
    <x:row r="78" ht="23" customHeight="1">
      <x:c r="A78" s="36"/>
      <x:c r="B78" s="40"/>
      <x:c r="C78" s="36"/>
      <x:c r="D78" s="41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42" t="str">
        <x:f>IF(A78="","",IF(COUNTIFS('Event Guide'!$A$6:$A$29,C78)=1,VLOOKUP(C78,'Event Guide'!$A$6:$C$29,2,FALSE),"Unknown event"))</x:f>
      </x:c>
      <x:c r="P78" s="42" t="str">
        <x:f>IF(A78="","",IF(COUNTIFS('Event Guide'!$A$6:$A$29,C78)=1,VLOOKUP(C78,'Event Guide'!$A$6:$C$29,3,FALSE),"Unknown event"))</x:f>
      </x:c>
      <x:c r="Q78" s="42" t="str">
        <x:f>IF(A78="","",IF(O78="PAY",E78,IF(O78="OTHER",F78,IF(O78="CAPITAL","Capital - "&amp;G78,IF(O78="DUE","Due to - "&amp;G78,IF(O78="DRAW","Drawings - "&amp;G78,O78))))))</x:f>
      </x:c>
      <x:c r="R78" s="42" t="str">
        <x:f>IF(A78="","",IF(P78="PAY",E78,IF(P78="OTHER",F78,IF(P78="CAPITAL","Capital - "&amp;G78,IF(P78="DUE","Due to - "&amp;G78,IF(P78="DRAW","Drawings - "&amp;G78,P78))))))</x:f>
      </x:c>
      <x:c r="S78" s="37" t="n">
        <x:f>IF(AND(N78="Approved",T78="OK"),D78,0)</x:f>
        <x:v>0</x:v>
      </x:c>
      <x:c r="T78" s="42" t="str">
        <x:f>IF(A78="","",IF(COUNTIFS($A$6:$A$505,A78)&lt;&gt;1,"Duplicate ID",IF(OR(NOT(ISNUMBER(B78)),D78&lt;=0,NOT(ISNUMBER(D78)),I78="",J78="",L78=""),"Missing date/amount/ref/details",IF(OR(COUNTIFS('Accounts'!$A$6:$A$105,Q78)&lt;&gt;1,COUNTIFS('Accounts'!$A$6:$A$105,R78)&lt;&gt;1,Q78=R78),"Check accounts/event",IF(AND(OR(Q78="Trade payables",R78="Trade payables",Q78="Customer receivables",R78="Customer receivables",Q78="Courier receivables",R78="Courier receivables",Q78="Supplier advances",R78="Supplier advances"),H78=""),"Contact ID required",IF(AND(N78="Approved",OR(M78="",M78=L78)),"Independent review needed",IF(OR(N78="Draft",N78="Approved",N78="Void"),"OK","Status required")))))))</x:f>
      </x:c>
    </x:row>
    <x:row r="79" ht="23" customHeight="1">
      <x:c r="A79" s="36"/>
      <x:c r="B79" s="40"/>
      <x:c r="C79" s="36"/>
      <x:c r="D79" s="41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42" t="str">
        <x:f>IF(A79="","",IF(COUNTIFS('Event Guide'!$A$6:$A$29,C79)=1,VLOOKUP(C79,'Event Guide'!$A$6:$C$29,2,FALSE),"Unknown event"))</x:f>
      </x:c>
      <x:c r="P79" s="42" t="str">
        <x:f>IF(A79="","",IF(COUNTIFS('Event Guide'!$A$6:$A$29,C79)=1,VLOOKUP(C79,'Event Guide'!$A$6:$C$29,3,FALSE),"Unknown event"))</x:f>
      </x:c>
      <x:c r="Q79" s="42" t="str">
        <x:f>IF(A79="","",IF(O79="PAY",E79,IF(O79="OTHER",F79,IF(O79="CAPITAL","Capital - "&amp;G79,IF(O79="DUE","Due to - "&amp;G79,IF(O79="DRAW","Drawings - "&amp;G79,O79))))))</x:f>
      </x:c>
      <x:c r="R79" s="42" t="str">
        <x:f>IF(A79="","",IF(P79="PAY",E79,IF(P79="OTHER",F79,IF(P79="CAPITAL","Capital - "&amp;G79,IF(P79="DUE","Due to - "&amp;G79,IF(P79="DRAW","Drawings - "&amp;G79,P79))))))</x:f>
      </x:c>
      <x:c r="S79" s="37" t="n">
        <x:f>IF(AND(N79="Approved",T79="OK"),D79,0)</x:f>
        <x:v>0</x:v>
      </x:c>
      <x:c r="T79" s="42" t="str">
        <x:f>IF(A79="","",IF(COUNTIFS($A$6:$A$505,A79)&lt;&gt;1,"Duplicate ID",IF(OR(NOT(ISNUMBER(B79)),D79&lt;=0,NOT(ISNUMBER(D79)),I79="",J79="",L79=""),"Missing date/amount/ref/details",IF(OR(COUNTIFS('Accounts'!$A$6:$A$105,Q79)&lt;&gt;1,COUNTIFS('Accounts'!$A$6:$A$105,R79)&lt;&gt;1,Q79=R79),"Check accounts/event",IF(AND(OR(Q79="Trade payables",R79="Trade payables",Q79="Customer receivables",R79="Customer receivables",Q79="Courier receivables",R79="Courier receivables",Q79="Supplier advances",R79="Supplier advances"),H79=""),"Contact ID required",IF(AND(N79="Approved",OR(M79="",M79=L79)),"Independent review needed",IF(OR(N79="Draft",N79="Approved",N79="Void"),"OK","Status required")))))))</x:f>
      </x:c>
    </x:row>
    <x:row r="80" ht="23" customHeight="1">
      <x:c r="A80" s="36"/>
      <x:c r="B80" s="40"/>
      <x:c r="C80" s="36"/>
      <x:c r="D80" s="41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42" t="str">
        <x:f>IF(A80="","",IF(COUNTIFS('Event Guide'!$A$6:$A$29,C80)=1,VLOOKUP(C80,'Event Guide'!$A$6:$C$29,2,FALSE),"Unknown event"))</x:f>
      </x:c>
      <x:c r="P80" s="42" t="str">
        <x:f>IF(A80="","",IF(COUNTIFS('Event Guide'!$A$6:$A$29,C80)=1,VLOOKUP(C80,'Event Guide'!$A$6:$C$29,3,FALSE),"Unknown event"))</x:f>
      </x:c>
      <x:c r="Q80" s="42" t="str">
        <x:f>IF(A80="","",IF(O80="PAY",E80,IF(O80="OTHER",F80,IF(O80="CAPITAL","Capital - "&amp;G80,IF(O80="DUE","Due to - "&amp;G80,IF(O80="DRAW","Drawings - "&amp;G80,O80))))))</x:f>
      </x:c>
      <x:c r="R80" s="42" t="str">
        <x:f>IF(A80="","",IF(P80="PAY",E80,IF(P80="OTHER",F80,IF(P80="CAPITAL","Capital - "&amp;G80,IF(P80="DUE","Due to - "&amp;G80,IF(P80="DRAW","Drawings - "&amp;G80,P80))))))</x:f>
      </x:c>
      <x:c r="S80" s="37" t="n">
        <x:f>IF(AND(N80="Approved",T80="OK"),D80,0)</x:f>
        <x:v>0</x:v>
      </x:c>
      <x:c r="T80" s="42" t="str">
        <x:f>IF(A80="","",IF(COUNTIFS($A$6:$A$505,A80)&lt;&gt;1,"Duplicate ID",IF(OR(NOT(ISNUMBER(B80)),D80&lt;=0,NOT(ISNUMBER(D80)),I80="",J80="",L80=""),"Missing date/amount/ref/details",IF(OR(COUNTIFS('Accounts'!$A$6:$A$105,Q80)&lt;&gt;1,COUNTIFS('Accounts'!$A$6:$A$105,R80)&lt;&gt;1,Q80=R80),"Check accounts/event",IF(AND(OR(Q80="Trade payables",R80="Trade payables",Q80="Customer receivables",R80="Customer receivables",Q80="Courier receivables",R80="Courier receivables",Q80="Supplier advances",R80="Supplier advances"),H80=""),"Contact ID required",IF(AND(N80="Approved",OR(M80="",M80=L80)),"Independent review needed",IF(OR(N80="Draft",N80="Approved",N80="Void"),"OK","Status required")))))))</x:f>
      </x:c>
    </x:row>
    <x:row r="81" ht="23" customHeight="1">
      <x:c r="A81" s="36"/>
      <x:c r="B81" s="40"/>
      <x:c r="C81" s="36"/>
      <x:c r="D81" s="41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42" t="str">
        <x:f>IF(A81="","",IF(COUNTIFS('Event Guide'!$A$6:$A$29,C81)=1,VLOOKUP(C81,'Event Guide'!$A$6:$C$29,2,FALSE),"Unknown event"))</x:f>
      </x:c>
      <x:c r="P81" s="42" t="str">
        <x:f>IF(A81="","",IF(COUNTIFS('Event Guide'!$A$6:$A$29,C81)=1,VLOOKUP(C81,'Event Guide'!$A$6:$C$29,3,FALSE),"Unknown event"))</x:f>
      </x:c>
      <x:c r="Q81" s="42" t="str">
        <x:f>IF(A81="","",IF(O81="PAY",E81,IF(O81="OTHER",F81,IF(O81="CAPITAL","Capital - "&amp;G81,IF(O81="DUE","Due to - "&amp;G81,IF(O81="DRAW","Drawings - "&amp;G81,O81))))))</x:f>
      </x:c>
      <x:c r="R81" s="42" t="str">
        <x:f>IF(A81="","",IF(P81="PAY",E81,IF(P81="OTHER",F81,IF(P81="CAPITAL","Capital - "&amp;G81,IF(P81="DUE","Due to - "&amp;G81,IF(P81="DRAW","Drawings - "&amp;G81,P81))))))</x:f>
      </x:c>
      <x:c r="S81" s="37" t="n">
        <x:f>IF(AND(N81="Approved",T81="OK"),D81,0)</x:f>
        <x:v>0</x:v>
      </x:c>
      <x:c r="T81" s="42" t="str">
        <x:f>IF(A81="","",IF(COUNTIFS($A$6:$A$505,A81)&lt;&gt;1,"Duplicate ID",IF(OR(NOT(ISNUMBER(B81)),D81&lt;=0,NOT(ISNUMBER(D81)),I81="",J81="",L81=""),"Missing date/amount/ref/details",IF(OR(COUNTIFS('Accounts'!$A$6:$A$105,Q81)&lt;&gt;1,COUNTIFS('Accounts'!$A$6:$A$105,R81)&lt;&gt;1,Q81=R81),"Check accounts/event",IF(AND(OR(Q81="Trade payables",R81="Trade payables",Q81="Customer receivables",R81="Customer receivables",Q81="Courier receivables",R81="Courier receivables",Q81="Supplier advances",R81="Supplier advances"),H81=""),"Contact ID required",IF(AND(N81="Approved",OR(M81="",M81=L81)),"Independent review needed",IF(OR(N81="Draft",N81="Approved",N81="Void"),"OK","Status required")))))))</x:f>
      </x:c>
    </x:row>
    <x:row r="82" ht="23" customHeight="1">
      <x:c r="A82" s="36"/>
      <x:c r="B82" s="40"/>
      <x:c r="C82" s="36"/>
      <x:c r="D82" s="41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42" t="str">
        <x:f>IF(A82="","",IF(COUNTIFS('Event Guide'!$A$6:$A$29,C82)=1,VLOOKUP(C82,'Event Guide'!$A$6:$C$29,2,FALSE),"Unknown event"))</x:f>
      </x:c>
      <x:c r="P82" s="42" t="str">
        <x:f>IF(A82="","",IF(COUNTIFS('Event Guide'!$A$6:$A$29,C82)=1,VLOOKUP(C82,'Event Guide'!$A$6:$C$29,3,FALSE),"Unknown event"))</x:f>
      </x:c>
      <x:c r="Q82" s="42" t="str">
        <x:f>IF(A82="","",IF(O82="PAY",E82,IF(O82="OTHER",F82,IF(O82="CAPITAL","Capital - "&amp;G82,IF(O82="DUE","Due to - "&amp;G82,IF(O82="DRAW","Drawings - "&amp;G82,O82))))))</x:f>
      </x:c>
      <x:c r="R82" s="42" t="str">
        <x:f>IF(A82="","",IF(P82="PAY",E82,IF(P82="OTHER",F82,IF(P82="CAPITAL","Capital - "&amp;G82,IF(P82="DUE","Due to - "&amp;G82,IF(P82="DRAW","Drawings - "&amp;G82,P82))))))</x:f>
      </x:c>
      <x:c r="S82" s="37" t="n">
        <x:f>IF(AND(N82="Approved",T82="OK"),D82,0)</x:f>
        <x:v>0</x:v>
      </x:c>
      <x:c r="T82" s="42" t="str">
        <x:f>IF(A82="","",IF(COUNTIFS($A$6:$A$505,A82)&lt;&gt;1,"Duplicate ID",IF(OR(NOT(ISNUMBER(B82)),D82&lt;=0,NOT(ISNUMBER(D82)),I82="",J82="",L82=""),"Missing date/amount/ref/details",IF(OR(COUNTIFS('Accounts'!$A$6:$A$105,Q82)&lt;&gt;1,COUNTIFS('Accounts'!$A$6:$A$105,R82)&lt;&gt;1,Q82=R82),"Check accounts/event",IF(AND(OR(Q82="Trade payables",R82="Trade payables",Q82="Customer receivables",R82="Customer receivables",Q82="Courier receivables",R82="Courier receivables",Q82="Supplier advances",R82="Supplier advances"),H82=""),"Contact ID required",IF(AND(N82="Approved",OR(M82="",M82=L82)),"Independent review needed",IF(OR(N82="Draft",N82="Approved",N82="Void"),"OK","Status required")))))))</x:f>
      </x:c>
    </x:row>
    <x:row r="83" ht="23" customHeight="1">
      <x:c r="A83" s="36"/>
      <x:c r="B83" s="40"/>
      <x:c r="C83" s="36"/>
      <x:c r="D83" s="41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42" t="str">
        <x:f>IF(A83="","",IF(COUNTIFS('Event Guide'!$A$6:$A$29,C83)=1,VLOOKUP(C83,'Event Guide'!$A$6:$C$29,2,FALSE),"Unknown event"))</x:f>
      </x:c>
      <x:c r="P83" s="42" t="str">
        <x:f>IF(A83="","",IF(COUNTIFS('Event Guide'!$A$6:$A$29,C83)=1,VLOOKUP(C83,'Event Guide'!$A$6:$C$29,3,FALSE),"Unknown event"))</x:f>
      </x:c>
      <x:c r="Q83" s="42" t="str">
        <x:f>IF(A83="","",IF(O83="PAY",E83,IF(O83="OTHER",F83,IF(O83="CAPITAL","Capital - "&amp;G83,IF(O83="DUE","Due to - "&amp;G83,IF(O83="DRAW","Drawings - "&amp;G83,O83))))))</x:f>
      </x:c>
      <x:c r="R83" s="42" t="str">
        <x:f>IF(A83="","",IF(P83="PAY",E83,IF(P83="OTHER",F83,IF(P83="CAPITAL","Capital - "&amp;G83,IF(P83="DUE","Due to - "&amp;G83,IF(P83="DRAW","Drawings - "&amp;G83,P83))))))</x:f>
      </x:c>
      <x:c r="S83" s="37" t="n">
        <x:f>IF(AND(N83="Approved",T83="OK"),D83,0)</x:f>
        <x:v>0</x:v>
      </x:c>
      <x:c r="T83" s="42" t="str">
        <x:f>IF(A83="","",IF(COUNTIFS($A$6:$A$505,A83)&lt;&gt;1,"Duplicate ID",IF(OR(NOT(ISNUMBER(B83)),D83&lt;=0,NOT(ISNUMBER(D83)),I83="",J83="",L83=""),"Missing date/amount/ref/details",IF(OR(COUNTIFS('Accounts'!$A$6:$A$105,Q83)&lt;&gt;1,COUNTIFS('Accounts'!$A$6:$A$105,R83)&lt;&gt;1,Q83=R83),"Check accounts/event",IF(AND(OR(Q83="Trade payables",R83="Trade payables",Q83="Customer receivables",R83="Customer receivables",Q83="Courier receivables",R83="Courier receivables",Q83="Supplier advances",R83="Supplier advances"),H83=""),"Contact ID required",IF(AND(N83="Approved",OR(M83="",M83=L83)),"Independent review needed",IF(OR(N83="Draft",N83="Approved",N83="Void"),"OK","Status required")))))))</x:f>
      </x:c>
    </x:row>
    <x:row r="84" ht="23" customHeight="1">
      <x:c r="A84" s="36"/>
      <x:c r="B84" s="40"/>
      <x:c r="C84" s="36"/>
      <x:c r="D84" s="41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42" t="str">
        <x:f>IF(A84="","",IF(COUNTIFS('Event Guide'!$A$6:$A$29,C84)=1,VLOOKUP(C84,'Event Guide'!$A$6:$C$29,2,FALSE),"Unknown event"))</x:f>
      </x:c>
      <x:c r="P84" s="42" t="str">
        <x:f>IF(A84="","",IF(COUNTIFS('Event Guide'!$A$6:$A$29,C84)=1,VLOOKUP(C84,'Event Guide'!$A$6:$C$29,3,FALSE),"Unknown event"))</x:f>
      </x:c>
      <x:c r="Q84" s="42" t="str">
        <x:f>IF(A84="","",IF(O84="PAY",E84,IF(O84="OTHER",F84,IF(O84="CAPITAL","Capital - "&amp;G84,IF(O84="DUE","Due to - "&amp;G84,IF(O84="DRAW","Drawings - "&amp;G84,O84))))))</x:f>
      </x:c>
      <x:c r="R84" s="42" t="str">
        <x:f>IF(A84="","",IF(P84="PAY",E84,IF(P84="OTHER",F84,IF(P84="CAPITAL","Capital - "&amp;G84,IF(P84="DUE","Due to - "&amp;G84,IF(P84="DRAW","Drawings - "&amp;G84,P84))))))</x:f>
      </x:c>
      <x:c r="S84" s="37" t="n">
        <x:f>IF(AND(N84="Approved",T84="OK"),D84,0)</x:f>
        <x:v>0</x:v>
      </x:c>
      <x:c r="T84" s="42" t="str">
        <x:f>IF(A84="","",IF(COUNTIFS($A$6:$A$505,A84)&lt;&gt;1,"Duplicate ID",IF(OR(NOT(ISNUMBER(B84)),D84&lt;=0,NOT(ISNUMBER(D84)),I84="",J84="",L84=""),"Missing date/amount/ref/details",IF(OR(COUNTIFS('Accounts'!$A$6:$A$105,Q84)&lt;&gt;1,COUNTIFS('Accounts'!$A$6:$A$105,R84)&lt;&gt;1,Q84=R84),"Check accounts/event",IF(AND(OR(Q84="Trade payables",R84="Trade payables",Q84="Customer receivables",R84="Customer receivables",Q84="Courier receivables",R84="Courier receivables",Q84="Supplier advances",R84="Supplier advances"),H84=""),"Contact ID required",IF(AND(N84="Approved",OR(M84="",M84=L84)),"Independent review needed",IF(OR(N84="Draft",N84="Approved",N84="Void"),"OK","Status required")))))))</x:f>
      </x:c>
    </x:row>
    <x:row r="85" ht="23" customHeight="1">
      <x:c r="A85" s="36"/>
      <x:c r="B85" s="40"/>
      <x:c r="C85" s="36"/>
      <x:c r="D85" s="41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42" t="str">
        <x:f>IF(A85="","",IF(COUNTIFS('Event Guide'!$A$6:$A$29,C85)=1,VLOOKUP(C85,'Event Guide'!$A$6:$C$29,2,FALSE),"Unknown event"))</x:f>
      </x:c>
      <x:c r="P85" s="42" t="str">
        <x:f>IF(A85="","",IF(COUNTIFS('Event Guide'!$A$6:$A$29,C85)=1,VLOOKUP(C85,'Event Guide'!$A$6:$C$29,3,FALSE),"Unknown event"))</x:f>
      </x:c>
      <x:c r="Q85" s="42" t="str">
        <x:f>IF(A85="","",IF(O85="PAY",E85,IF(O85="OTHER",F85,IF(O85="CAPITAL","Capital - "&amp;G85,IF(O85="DUE","Due to - "&amp;G85,IF(O85="DRAW","Drawings - "&amp;G85,O85))))))</x:f>
      </x:c>
      <x:c r="R85" s="42" t="str">
        <x:f>IF(A85="","",IF(P85="PAY",E85,IF(P85="OTHER",F85,IF(P85="CAPITAL","Capital - "&amp;G85,IF(P85="DUE","Due to - "&amp;G85,IF(P85="DRAW","Drawings - "&amp;G85,P85))))))</x:f>
      </x:c>
      <x:c r="S85" s="37" t="n">
        <x:f>IF(AND(N85="Approved",T85="OK"),D85,0)</x:f>
        <x:v>0</x:v>
      </x:c>
      <x:c r="T85" s="42" t="str">
        <x:f>IF(A85="","",IF(COUNTIFS($A$6:$A$505,A85)&lt;&gt;1,"Duplicate ID",IF(OR(NOT(ISNUMBER(B85)),D85&lt;=0,NOT(ISNUMBER(D85)),I85="",J85="",L85=""),"Missing date/amount/ref/details",IF(OR(COUNTIFS('Accounts'!$A$6:$A$105,Q85)&lt;&gt;1,COUNTIFS('Accounts'!$A$6:$A$105,R85)&lt;&gt;1,Q85=R85),"Check accounts/event",IF(AND(OR(Q85="Trade payables",R85="Trade payables",Q85="Customer receivables",R85="Customer receivables",Q85="Courier receivables",R85="Courier receivables",Q85="Supplier advances",R85="Supplier advances"),H85=""),"Contact ID required",IF(AND(N85="Approved",OR(M85="",M85=L85)),"Independent review needed",IF(OR(N85="Draft",N85="Approved",N85="Void"),"OK","Status required")))))))</x:f>
      </x:c>
    </x:row>
    <x:row r="86" ht="23" customHeight="1">
      <x:c r="A86" s="36"/>
      <x:c r="B86" s="40"/>
      <x:c r="C86" s="36"/>
      <x:c r="D86" s="41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42" t="str">
        <x:f>IF(A86="","",IF(COUNTIFS('Event Guide'!$A$6:$A$29,C86)=1,VLOOKUP(C86,'Event Guide'!$A$6:$C$29,2,FALSE),"Unknown event"))</x:f>
      </x:c>
      <x:c r="P86" s="42" t="str">
        <x:f>IF(A86="","",IF(COUNTIFS('Event Guide'!$A$6:$A$29,C86)=1,VLOOKUP(C86,'Event Guide'!$A$6:$C$29,3,FALSE),"Unknown event"))</x:f>
      </x:c>
      <x:c r="Q86" s="42" t="str">
        <x:f>IF(A86="","",IF(O86="PAY",E86,IF(O86="OTHER",F86,IF(O86="CAPITAL","Capital - "&amp;G86,IF(O86="DUE","Due to - "&amp;G86,IF(O86="DRAW","Drawings - "&amp;G86,O86))))))</x:f>
      </x:c>
      <x:c r="R86" s="42" t="str">
        <x:f>IF(A86="","",IF(P86="PAY",E86,IF(P86="OTHER",F86,IF(P86="CAPITAL","Capital - "&amp;G86,IF(P86="DUE","Due to - "&amp;G86,IF(P86="DRAW","Drawings - "&amp;G86,P86))))))</x:f>
      </x:c>
      <x:c r="S86" s="37" t="n">
        <x:f>IF(AND(N86="Approved",T86="OK"),D86,0)</x:f>
        <x:v>0</x:v>
      </x:c>
      <x:c r="T86" s="42" t="str">
        <x:f>IF(A86="","",IF(COUNTIFS($A$6:$A$505,A86)&lt;&gt;1,"Duplicate ID",IF(OR(NOT(ISNUMBER(B86)),D86&lt;=0,NOT(ISNUMBER(D86)),I86="",J86="",L86=""),"Missing date/amount/ref/details",IF(OR(COUNTIFS('Accounts'!$A$6:$A$105,Q86)&lt;&gt;1,COUNTIFS('Accounts'!$A$6:$A$105,R86)&lt;&gt;1,Q86=R86),"Check accounts/event",IF(AND(OR(Q86="Trade payables",R86="Trade payables",Q86="Customer receivables",R86="Customer receivables",Q86="Courier receivables",R86="Courier receivables",Q86="Supplier advances",R86="Supplier advances"),H86=""),"Contact ID required",IF(AND(N86="Approved",OR(M86="",M86=L86)),"Independent review needed",IF(OR(N86="Draft",N86="Approved",N86="Void"),"OK","Status required")))))))</x:f>
      </x:c>
    </x:row>
    <x:row r="87" ht="23" customHeight="1">
      <x:c r="A87" s="36"/>
      <x:c r="B87" s="40"/>
      <x:c r="C87" s="36"/>
      <x:c r="D87" s="41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42" t="str">
        <x:f>IF(A87="","",IF(COUNTIFS('Event Guide'!$A$6:$A$29,C87)=1,VLOOKUP(C87,'Event Guide'!$A$6:$C$29,2,FALSE),"Unknown event"))</x:f>
      </x:c>
      <x:c r="P87" s="42" t="str">
        <x:f>IF(A87="","",IF(COUNTIFS('Event Guide'!$A$6:$A$29,C87)=1,VLOOKUP(C87,'Event Guide'!$A$6:$C$29,3,FALSE),"Unknown event"))</x:f>
      </x:c>
      <x:c r="Q87" s="42" t="str">
        <x:f>IF(A87="","",IF(O87="PAY",E87,IF(O87="OTHER",F87,IF(O87="CAPITAL","Capital - "&amp;G87,IF(O87="DUE","Due to - "&amp;G87,IF(O87="DRAW","Drawings - "&amp;G87,O87))))))</x:f>
      </x:c>
      <x:c r="R87" s="42" t="str">
        <x:f>IF(A87="","",IF(P87="PAY",E87,IF(P87="OTHER",F87,IF(P87="CAPITAL","Capital - "&amp;G87,IF(P87="DUE","Due to - "&amp;G87,IF(P87="DRAW","Drawings - "&amp;G87,P87))))))</x:f>
      </x:c>
      <x:c r="S87" s="37" t="n">
        <x:f>IF(AND(N87="Approved",T87="OK"),D87,0)</x:f>
        <x:v>0</x:v>
      </x:c>
      <x:c r="T87" s="42" t="str">
        <x:f>IF(A87="","",IF(COUNTIFS($A$6:$A$505,A87)&lt;&gt;1,"Duplicate ID",IF(OR(NOT(ISNUMBER(B87)),D87&lt;=0,NOT(ISNUMBER(D87)),I87="",J87="",L87=""),"Missing date/amount/ref/details",IF(OR(COUNTIFS('Accounts'!$A$6:$A$105,Q87)&lt;&gt;1,COUNTIFS('Accounts'!$A$6:$A$105,R87)&lt;&gt;1,Q87=R87),"Check accounts/event",IF(AND(OR(Q87="Trade payables",R87="Trade payables",Q87="Customer receivables",R87="Customer receivables",Q87="Courier receivables",R87="Courier receivables",Q87="Supplier advances",R87="Supplier advances"),H87=""),"Contact ID required",IF(AND(N87="Approved",OR(M87="",M87=L87)),"Independent review needed",IF(OR(N87="Draft",N87="Approved",N87="Void"),"OK","Status required")))))))</x:f>
      </x:c>
    </x:row>
    <x:row r="88" ht="23" customHeight="1">
      <x:c r="A88" s="36"/>
      <x:c r="B88" s="40"/>
      <x:c r="C88" s="36"/>
      <x:c r="D88" s="41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42" t="str">
        <x:f>IF(A88="","",IF(COUNTIFS('Event Guide'!$A$6:$A$29,C88)=1,VLOOKUP(C88,'Event Guide'!$A$6:$C$29,2,FALSE),"Unknown event"))</x:f>
      </x:c>
      <x:c r="P88" s="42" t="str">
        <x:f>IF(A88="","",IF(COUNTIFS('Event Guide'!$A$6:$A$29,C88)=1,VLOOKUP(C88,'Event Guide'!$A$6:$C$29,3,FALSE),"Unknown event"))</x:f>
      </x:c>
      <x:c r="Q88" s="42" t="str">
        <x:f>IF(A88="","",IF(O88="PAY",E88,IF(O88="OTHER",F88,IF(O88="CAPITAL","Capital - "&amp;G88,IF(O88="DUE","Due to - "&amp;G88,IF(O88="DRAW","Drawings - "&amp;G88,O88))))))</x:f>
      </x:c>
      <x:c r="R88" s="42" t="str">
        <x:f>IF(A88="","",IF(P88="PAY",E88,IF(P88="OTHER",F88,IF(P88="CAPITAL","Capital - "&amp;G88,IF(P88="DUE","Due to - "&amp;G88,IF(P88="DRAW","Drawings - "&amp;G88,P88))))))</x:f>
      </x:c>
      <x:c r="S88" s="37" t="n">
        <x:f>IF(AND(N88="Approved",T88="OK"),D88,0)</x:f>
        <x:v>0</x:v>
      </x:c>
      <x:c r="T88" s="42" t="str">
        <x:f>IF(A88="","",IF(COUNTIFS($A$6:$A$505,A88)&lt;&gt;1,"Duplicate ID",IF(OR(NOT(ISNUMBER(B88)),D88&lt;=0,NOT(ISNUMBER(D88)),I88="",J88="",L88=""),"Missing date/amount/ref/details",IF(OR(COUNTIFS('Accounts'!$A$6:$A$105,Q88)&lt;&gt;1,COUNTIFS('Accounts'!$A$6:$A$105,R88)&lt;&gt;1,Q88=R88),"Check accounts/event",IF(AND(OR(Q88="Trade payables",R88="Trade payables",Q88="Customer receivables",R88="Customer receivables",Q88="Courier receivables",R88="Courier receivables",Q88="Supplier advances",R88="Supplier advances"),H88=""),"Contact ID required",IF(AND(N88="Approved",OR(M88="",M88=L88)),"Independent review needed",IF(OR(N88="Draft",N88="Approved",N88="Void"),"OK","Status required")))))))</x:f>
      </x:c>
    </x:row>
    <x:row r="89" ht="23" customHeight="1">
      <x:c r="A89" s="36"/>
      <x:c r="B89" s="40"/>
      <x:c r="C89" s="36"/>
      <x:c r="D89" s="41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42" t="str">
        <x:f>IF(A89="","",IF(COUNTIFS('Event Guide'!$A$6:$A$29,C89)=1,VLOOKUP(C89,'Event Guide'!$A$6:$C$29,2,FALSE),"Unknown event"))</x:f>
      </x:c>
      <x:c r="P89" s="42" t="str">
        <x:f>IF(A89="","",IF(COUNTIFS('Event Guide'!$A$6:$A$29,C89)=1,VLOOKUP(C89,'Event Guide'!$A$6:$C$29,3,FALSE),"Unknown event"))</x:f>
      </x:c>
      <x:c r="Q89" s="42" t="str">
        <x:f>IF(A89="","",IF(O89="PAY",E89,IF(O89="OTHER",F89,IF(O89="CAPITAL","Capital - "&amp;G89,IF(O89="DUE","Due to - "&amp;G89,IF(O89="DRAW","Drawings - "&amp;G89,O89))))))</x:f>
      </x:c>
      <x:c r="R89" s="42" t="str">
        <x:f>IF(A89="","",IF(P89="PAY",E89,IF(P89="OTHER",F89,IF(P89="CAPITAL","Capital - "&amp;G89,IF(P89="DUE","Due to - "&amp;G89,IF(P89="DRAW","Drawings - "&amp;G89,P89))))))</x:f>
      </x:c>
      <x:c r="S89" s="37" t="n">
        <x:f>IF(AND(N89="Approved",T89="OK"),D89,0)</x:f>
        <x:v>0</x:v>
      </x:c>
      <x:c r="T89" s="42" t="str">
        <x:f>IF(A89="","",IF(COUNTIFS($A$6:$A$505,A89)&lt;&gt;1,"Duplicate ID",IF(OR(NOT(ISNUMBER(B89)),D89&lt;=0,NOT(ISNUMBER(D89)),I89="",J89="",L89=""),"Missing date/amount/ref/details",IF(OR(COUNTIFS('Accounts'!$A$6:$A$105,Q89)&lt;&gt;1,COUNTIFS('Accounts'!$A$6:$A$105,R89)&lt;&gt;1,Q89=R89),"Check accounts/event",IF(AND(OR(Q89="Trade payables",R89="Trade payables",Q89="Customer receivables",R89="Customer receivables",Q89="Courier receivables",R89="Courier receivables",Q89="Supplier advances",R89="Supplier advances"),H89=""),"Contact ID required",IF(AND(N89="Approved",OR(M89="",M89=L89)),"Independent review needed",IF(OR(N89="Draft",N89="Approved",N89="Void"),"OK","Status required")))))))</x:f>
      </x:c>
    </x:row>
    <x:row r="90" ht="23" customHeight="1">
      <x:c r="A90" s="36"/>
      <x:c r="B90" s="40"/>
      <x:c r="C90" s="36"/>
      <x:c r="D90" s="41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42" t="str">
        <x:f>IF(A90="","",IF(COUNTIFS('Event Guide'!$A$6:$A$29,C90)=1,VLOOKUP(C90,'Event Guide'!$A$6:$C$29,2,FALSE),"Unknown event"))</x:f>
      </x:c>
      <x:c r="P90" s="42" t="str">
        <x:f>IF(A90="","",IF(COUNTIFS('Event Guide'!$A$6:$A$29,C90)=1,VLOOKUP(C90,'Event Guide'!$A$6:$C$29,3,FALSE),"Unknown event"))</x:f>
      </x:c>
      <x:c r="Q90" s="42" t="str">
        <x:f>IF(A90="","",IF(O90="PAY",E90,IF(O90="OTHER",F90,IF(O90="CAPITAL","Capital - "&amp;G90,IF(O90="DUE","Due to - "&amp;G90,IF(O90="DRAW","Drawings - "&amp;G90,O90))))))</x:f>
      </x:c>
      <x:c r="R90" s="42" t="str">
        <x:f>IF(A90="","",IF(P90="PAY",E90,IF(P90="OTHER",F90,IF(P90="CAPITAL","Capital - "&amp;G90,IF(P90="DUE","Due to - "&amp;G90,IF(P90="DRAW","Drawings - "&amp;G90,P90))))))</x:f>
      </x:c>
      <x:c r="S90" s="37" t="n">
        <x:f>IF(AND(N90="Approved",T90="OK"),D90,0)</x:f>
        <x:v>0</x:v>
      </x:c>
      <x:c r="T90" s="42" t="str">
        <x:f>IF(A90="","",IF(COUNTIFS($A$6:$A$505,A90)&lt;&gt;1,"Duplicate ID",IF(OR(NOT(ISNUMBER(B90)),D90&lt;=0,NOT(ISNUMBER(D90)),I90="",J90="",L90=""),"Missing date/amount/ref/details",IF(OR(COUNTIFS('Accounts'!$A$6:$A$105,Q90)&lt;&gt;1,COUNTIFS('Accounts'!$A$6:$A$105,R90)&lt;&gt;1,Q90=R90),"Check accounts/event",IF(AND(OR(Q90="Trade payables",R90="Trade payables",Q90="Customer receivables",R90="Customer receivables",Q90="Courier receivables",R90="Courier receivables",Q90="Supplier advances",R90="Supplier advances"),H90=""),"Contact ID required",IF(AND(N90="Approved",OR(M90="",M90=L90)),"Independent review needed",IF(OR(N90="Draft",N90="Approved",N90="Void"),"OK","Status required")))))))</x:f>
      </x:c>
    </x:row>
    <x:row r="91" ht="23" customHeight="1">
      <x:c r="A91" s="36"/>
      <x:c r="B91" s="40"/>
      <x:c r="C91" s="36"/>
      <x:c r="D91" s="41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42" t="str">
        <x:f>IF(A91="","",IF(COUNTIFS('Event Guide'!$A$6:$A$29,C91)=1,VLOOKUP(C91,'Event Guide'!$A$6:$C$29,2,FALSE),"Unknown event"))</x:f>
      </x:c>
      <x:c r="P91" s="42" t="str">
        <x:f>IF(A91="","",IF(COUNTIFS('Event Guide'!$A$6:$A$29,C91)=1,VLOOKUP(C91,'Event Guide'!$A$6:$C$29,3,FALSE),"Unknown event"))</x:f>
      </x:c>
      <x:c r="Q91" s="42" t="str">
        <x:f>IF(A91="","",IF(O91="PAY",E91,IF(O91="OTHER",F91,IF(O91="CAPITAL","Capital - "&amp;G91,IF(O91="DUE","Due to - "&amp;G91,IF(O91="DRAW","Drawings - "&amp;G91,O91))))))</x:f>
      </x:c>
      <x:c r="R91" s="42" t="str">
        <x:f>IF(A91="","",IF(P91="PAY",E91,IF(P91="OTHER",F91,IF(P91="CAPITAL","Capital - "&amp;G91,IF(P91="DUE","Due to - "&amp;G91,IF(P91="DRAW","Drawings - "&amp;G91,P91))))))</x:f>
      </x:c>
      <x:c r="S91" s="37" t="n">
        <x:f>IF(AND(N91="Approved",T91="OK"),D91,0)</x:f>
        <x:v>0</x:v>
      </x:c>
      <x:c r="T91" s="42" t="str">
        <x:f>IF(A91="","",IF(COUNTIFS($A$6:$A$505,A91)&lt;&gt;1,"Duplicate ID",IF(OR(NOT(ISNUMBER(B91)),D91&lt;=0,NOT(ISNUMBER(D91)),I91="",J91="",L91=""),"Missing date/amount/ref/details",IF(OR(COUNTIFS('Accounts'!$A$6:$A$105,Q91)&lt;&gt;1,COUNTIFS('Accounts'!$A$6:$A$105,R91)&lt;&gt;1,Q91=R91),"Check accounts/event",IF(AND(OR(Q91="Trade payables",R91="Trade payables",Q91="Customer receivables",R91="Customer receivables",Q91="Courier receivables",R91="Courier receivables",Q91="Supplier advances",R91="Supplier advances"),H91=""),"Contact ID required",IF(AND(N91="Approved",OR(M91="",M91=L91)),"Independent review needed",IF(OR(N91="Draft",N91="Approved",N91="Void"),"OK","Status required")))))))</x:f>
      </x:c>
    </x:row>
    <x:row r="92" ht="23" customHeight="1">
      <x:c r="A92" s="36"/>
      <x:c r="B92" s="40"/>
      <x:c r="C92" s="36"/>
      <x:c r="D92" s="41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42" t="str">
        <x:f>IF(A92="","",IF(COUNTIFS('Event Guide'!$A$6:$A$29,C92)=1,VLOOKUP(C92,'Event Guide'!$A$6:$C$29,2,FALSE),"Unknown event"))</x:f>
      </x:c>
      <x:c r="P92" s="42" t="str">
        <x:f>IF(A92="","",IF(COUNTIFS('Event Guide'!$A$6:$A$29,C92)=1,VLOOKUP(C92,'Event Guide'!$A$6:$C$29,3,FALSE),"Unknown event"))</x:f>
      </x:c>
      <x:c r="Q92" s="42" t="str">
        <x:f>IF(A92="","",IF(O92="PAY",E92,IF(O92="OTHER",F92,IF(O92="CAPITAL","Capital - "&amp;G92,IF(O92="DUE","Due to - "&amp;G92,IF(O92="DRAW","Drawings - "&amp;G92,O92))))))</x:f>
      </x:c>
      <x:c r="R92" s="42" t="str">
        <x:f>IF(A92="","",IF(P92="PAY",E92,IF(P92="OTHER",F92,IF(P92="CAPITAL","Capital - "&amp;G92,IF(P92="DUE","Due to - "&amp;G92,IF(P92="DRAW","Drawings - "&amp;G92,P92))))))</x:f>
      </x:c>
      <x:c r="S92" s="37" t="n">
        <x:f>IF(AND(N92="Approved",T92="OK"),D92,0)</x:f>
        <x:v>0</x:v>
      </x:c>
      <x:c r="T92" s="42" t="str">
        <x:f>IF(A92="","",IF(COUNTIFS($A$6:$A$505,A92)&lt;&gt;1,"Duplicate ID",IF(OR(NOT(ISNUMBER(B92)),D92&lt;=0,NOT(ISNUMBER(D92)),I92="",J92="",L92=""),"Missing date/amount/ref/details",IF(OR(COUNTIFS('Accounts'!$A$6:$A$105,Q92)&lt;&gt;1,COUNTIFS('Accounts'!$A$6:$A$105,R92)&lt;&gt;1,Q92=R92),"Check accounts/event",IF(AND(OR(Q92="Trade payables",R92="Trade payables",Q92="Customer receivables",R92="Customer receivables",Q92="Courier receivables",R92="Courier receivables",Q92="Supplier advances",R92="Supplier advances"),H92=""),"Contact ID required",IF(AND(N92="Approved",OR(M92="",M92=L92)),"Independent review needed",IF(OR(N92="Draft",N92="Approved",N92="Void"),"OK","Status required")))))))</x:f>
      </x:c>
    </x:row>
    <x:row r="93" ht="23" customHeight="1">
      <x:c r="A93" s="36"/>
      <x:c r="B93" s="40"/>
      <x:c r="C93" s="36"/>
      <x:c r="D93" s="41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42" t="str">
        <x:f>IF(A93="","",IF(COUNTIFS('Event Guide'!$A$6:$A$29,C93)=1,VLOOKUP(C93,'Event Guide'!$A$6:$C$29,2,FALSE),"Unknown event"))</x:f>
      </x:c>
      <x:c r="P93" s="42" t="str">
        <x:f>IF(A93="","",IF(COUNTIFS('Event Guide'!$A$6:$A$29,C93)=1,VLOOKUP(C93,'Event Guide'!$A$6:$C$29,3,FALSE),"Unknown event"))</x:f>
      </x:c>
      <x:c r="Q93" s="42" t="str">
        <x:f>IF(A93="","",IF(O93="PAY",E93,IF(O93="OTHER",F93,IF(O93="CAPITAL","Capital - "&amp;G93,IF(O93="DUE","Due to - "&amp;G93,IF(O93="DRAW","Drawings - "&amp;G93,O93))))))</x:f>
      </x:c>
      <x:c r="R93" s="42" t="str">
        <x:f>IF(A93="","",IF(P93="PAY",E93,IF(P93="OTHER",F93,IF(P93="CAPITAL","Capital - "&amp;G93,IF(P93="DUE","Due to - "&amp;G93,IF(P93="DRAW","Drawings - "&amp;G93,P93))))))</x:f>
      </x:c>
      <x:c r="S93" s="37" t="n">
        <x:f>IF(AND(N93="Approved",T93="OK"),D93,0)</x:f>
        <x:v>0</x:v>
      </x:c>
      <x:c r="T93" s="42" t="str">
        <x:f>IF(A93="","",IF(COUNTIFS($A$6:$A$505,A93)&lt;&gt;1,"Duplicate ID",IF(OR(NOT(ISNUMBER(B93)),D93&lt;=0,NOT(ISNUMBER(D93)),I93="",J93="",L93=""),"Missing date/amount/ref/details",IF(OR(COUNTIFS('Accounts'!$A$6:$A$105,Q93)&lt;&gt;1,COUNTIFS('Accounts'!$A$6:$A$105,R93)&lt;&gt;1,Q93=R93),"Check accounts/event",IF(AND(OR(Q93="Trade payables",R93="Trade payables",Q93="Customer receivables",R93="Customer receivables",Q93="Courier receivables",R93="Courier receivables",Q93="Supplier advances",R93="Supplier advances"),H93=""),"Contact ID required",IF(AND(N93="Approved",OR(M93="",M93=L93)),"Independent review needed",IF(OR(N93="Draft",N93="Approved",N93="Void"),"OK","Status required")))))))</x:f>
      </x:c>
    </x:row>
    <x:row r="94" ht="23" customHeight="1">
      <x:c r="A94" s="36"/>
      <x:c r="B94" s="40"/>
      <x:c r="C94" s="36"/>
      <x:c r="D94" s="41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42" t="str">
        <x:f>IF(A94="","",IF(COUNTIFS('Event Guide'!$A$6:$A$29,C94)=1,VLOOKUP(C94,'Event Guide'!$A$6:$C$29,2,FALSE),"Unknown event"))</x:f>
      </x:c>
      <x:c r="P94" s="42" t="str">
        <x:f>IF(A94="","",IF(COUNTIFS('Event Guide'!$A$6:$A$29,C94)=1,VLOOKUP(C94,'Event Guide'!$A$6:$C$29,3,FALSE),"Unknown event"))</x:f>
      </x:c>
      <x:c r="Q94" s="42" t="str">
        <x:f>IF(A94="","",IF(O94="PAY",E94,IF(O94="OTHER",F94,IF(O94="CAPITAL","Capital - "&amp;G94,IF(O94="DUE","Due to - "&amp;G94,IF(O94="DRAW","Drawings - "&amp;G94,O94))))))</x:f>
      </x:c>
      <x:c r="R94" s="42" t="str">
        <x:f>IF(A94="","",IF(P94="PAY",E94,IF(P94="OTHER",F94,IF(P94="CAPITAL","Capital - "&amp;G94,IF(P94="DUE","Due to - "&amp;G94,IF(P94="DRAW","Drawings - "&amp;G94,P94))))))</x:f>
      </x:c>
      <x:c r="S94" s="37" t="n">
        <x:f>IF(AND(N94="Approved",T94="OK"),D94,0)</x:f>
        <x:v>0</x:v>
      </x:c>
      <x:c r="T94" s="42" t="str">
        <x:f>IF(A94="","",IF(COUNTIFS($A$6:$A$505,A94)&lt;&gt;1,"Duplicate ID",IF(OR(NOT(ISNUMBER(B94)),D94&lt;=0,NOT(ISNUMBER(D94)),I94="",J94="",L94=""),"Missing date/amount/ref/details",IF(OR(COUNTIFS('Accounts'!$A$6:$A$105,Q94)&lt;&gt;1,COUNTIFS('Accounts'!$A$6:$A$105,R94)&lt;&gt;1,Q94=R94),"Check accounts/event",IF(AND(OR(Q94="Trade payables",R94="Trade payables",Q94="Customer receivables",R94="Customer receivables",Q94="Courier receivables",R94="Courier receivables",Q94="Supplier advances",R94="Supplier advances"),H94=""),"Contact ID required",IF(AND(N94="Approved",OR(M94="",M94=L94)),"Independent review needed",IF(OR(N94="Draft",N94="Approved",N94="Void"),"OK","Status required")))))))</x:f>
      </x:c>
    </x:row>
    <x:row r="95" ht="23" customHeight="1">
      <x:c r="A95" s="36"/>
      <x:c r="B95" s="40"/>
      <x:c r="C95" s="36"/>
      <x:c r="D95" s="41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42" t="str">
        <x:f>IF(A95="","",IF(COUNTIFS('Event Guide'!$A$6:$A$29,C95)=1,VLOOKUP(C95,'Event Guide'!$A$6:$C$29,2,FALSE),"Unknown event"))</x:f>
      </x:c>
      <x:c r="P95" s="42" t="str">
        <x:f>IF(A95="","",IF(COUNTIFS('Event Guide'!$A$6:$A$29,C95)=1,VLOOKUP(C95,'Event Guide'!$A$6:$C$29,3,FALSE),"Unknown event"))</x:f>
      </x:c>
      <x:c r="Q95" s="42" t="str">
        <x:f>IF(A95="","",IF(O95="PAY",E95,IF(O95="OTHER",F95,IF(O95="CAPITAL","Capital - "&amp;G95,IF(O95="DUE","Due to - "&amp;G95,IF(O95="DRAW","Drawings - "&amp;G95,O95))))))</x:f>
      </x:c>
      <x:c r="R95" s="42" t="str">
        <x:f>IF(A95="","",IF(P95="PAY",E95,IF(P95="OTHER",F95,IF(P95="CAPITAL","Capital - "&amp;G95,IF(P95="DUE","Due to - "&amp;G95,IF(P95="DRAW","Drawings - "&amp;G95,P95))))))</x:f>
      </x:c>
      <x:c r="S95" s="37" t="n">
        <x:f>IF(AND(N95="Approved",T95="OK"),D95,0)</x:f>
        <x:v>0</x:v>
      </x:c>
      <x:c r="T95" s="42" t="str">
        <x:f>IF(A95="","",IF(COUNTIFS($A$6:$A$505,A95)&lt;&gt;1,"Duplicate ID",IF(OR(NOT(ISNUMBER(B95)),D95&lt;=0,NOT(ISNUMBER(D95)),I95="",J95="",L95=""),"Missing date/amount/ref/details",IF(OR(COUNTIFS('Accounts'!$A$6:$A$105,Q95)&lt;&gt;1,COUNTIFS('Accounts'!$A$6:$A$105,R95)&lt;&gt;1,Q95=R95),"Check accounts/event",IF(AND(OR(Q95="Trade payables",R95="Trade payables",Q95="Customer receivables",R95="Customer receivables",Q95="Courier receivables",R95="Courier receivables",Q95="Supplier advances",R95="Supplier advances"),H95=""),"Contact ID required",IF(AND(N95="Approved",OR(M95="",M95=L95)),"Independent review needed",IF(OR(N95="Draft",N95="Approved",N95="Void"),"OK","Status required")))))))</x:f>
      </x:c>
    </x:row>
    <x:row r="96" ht="23" customHeight="1">
      <x:c r="A96" s="36"/>
      <x:c r="B96" s="40"/>
      <x:c r="C96" s="36"/>
      <x:c r="D96" s="41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42" t="str">
        <x:f>IF(A96="","",IF(COUNTIFS('Event Guide'!$A$6:$A$29,C96)=1,VLOOKUP(C96,'Event Guide'!$A$6:$C$29,2,FALSE),"Unknown event"))</x:f>
      </x:c>
      <x:c r="P96" s="42" t="str">
        <x:f>IF(A96="","",IF(COUNTIFS('Event Guide'!$A$6:$A$29,C96)=1,VLOOKUP(C96,'Event Guide'!$A$6:$C$29,3,FALSE),"Unknown event"))</x:f>
      </x:c>
      <x:c r="Q96" s="42" t="str">
        <x:f>IF(A96="","",IF(O96="PAY",E96,IF(O96="OTHER",F96,IF(O96="CAPITAL","Capital - "&amp;G96,IF(O96="DUE","Due to - "&amp;G96,IF(O96="DRAW","Drawings - "&amp;G96,O96))))))</x:f>
      </x:c>
      <x:c r="R96" s="42" t="str">
        <x:f>IF(A96="","",IF(P96="PAY",E96,IF(P96="OTHER",F96,IF(P96="CAPITAL","Capital - "&amp;G96,IF(P96="DUE","Due to - "&amp;G96,IF(P96="DRAW","Drawings - "&amp;G96,P96))))))</x:f>
      </x:c>
      <x:c r="S96" s="37" t="n">
        <x:f>IF(AND(N96="Approved",T96="OK"),D96,0)</x:f>
        <x:v>0</x:v>
      </x:c>
      <x:c r="T96" s="42" t="str">
        <x:f>IF(A96="","",IF(COUNTIFS($A$6:$A$505,A96)&lt;&gt;1,"Duplicate ID",IF(OR(NOT(ISNUMBER(B96)),D96&lt;=0,NOT(ISNUMBER(D96)),I96="",J96="",L96=""),"Missing date/amount/ref/details",IF(OR(COUNTIFS('Accounts'!$A$6:$A$105,Q96)&lt;&gt;1,COUNTIFS('Accounts'!$A$6:$A$105,R96)&lt;&gt;1,Q96=R96),"Check accounts/event",IF(AND(OR(Q96="Trade payables",R96="Trade payables",Q96="Customer receivables",R96="Customer receivables",Q96="Courier receivables",R96="Courier receivables",Q96="Supplier advances",R96="Supplier advances"),H96=""),"Contact ID required",IF(AND(N96="Approved",OR(M96="",M96=L96)),"Independent review needed",IF(OR(N96="Draft",N96="Approved",N96="Void"),"OK","Status required")))))))</x:f>
      </x:c>
    </x:row>
    <x:row r="97" ht="23" customHeight="1">
      <x:c r="A97" s="36"/>
      <x:c r="B97" s="40"/>
      <x:c r="C97" s="36"/>
      <x:c r="D97" s="41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42" t="str">
        <x:f>IF(A97="","",IF(COUNTIFS('Event Guide'!$A$6:$A$29,C97)=1,VLOOKUP(C97,'Event Guide'!$A$6:$C$29,2,FALSE),"Unknown event"))</x:f>
      </x:c>
      <x:c r="P97" s="42" t="str">
        <x:f>IF(A97="","",IF(COUNTIFS('Event Guide'!$A$6:$A$29,C97)=1,VLOOKUP(C97,'Event Guide'!$A$6:$C$29,3,FALSE),"Unknown event"))</x:f>
      </x:c>
      <x:c r="Q97" s="42" t="str">
        <x:f>IF(A97="","",IF(O97="PAY",E97,IF(O97="OTHER",F97,IF(O97="CAPITAL","Capital - "&amp;G97,IF(O97="DUE","Due to - "&amp;G97,IF(O97="DRAW","Drawings - "&amp;G97,O97))))))</x:f>
      </x:c>
      <x:c r="R97" s="42" t="str">
        <x:f>IF(A97="","",IF(P97="PAY",E97,IF(P97="OTHER",F97,IF(P97="CAPITAL","Capital - "&amp;G97,IF(P97="DUE","Due to - "&amp;G97,IF(P97="DRAW","Drawings - "&amp;G97,P97))))))</x:f>
      </x:c>
      <x:c r="S97" s="37" t="n">
        <x:f>IF(AND(N97="Approved",T97="OK"),D97,0)</x:f>
        <x:v>0</x:v>
      </x:c>
      <x:c r="T97" s="42" t="str">
        <x:f>IF(A97="","",IF(COUNTIFS($A$6:$A$505,A97)&lt;&gt;1,"Duplicate ID",IF(OR(NOT(ISNUMBER(B97)),D97&lt;=0,NOT(ISNUMBER(D97)),I97="",J97="",L97=""),"Missing date/amount/ref/details",IF(OR(COUNTIFS('Accounts'!$A$6:$A$105,Q97)&lt;&gt;1,COUNTIFS('Accounts'!$A$6:$A$105,R97)&lt;&gt;1,Q97=R97),"Check accounts/event",IF(AND(OR(Q97="Trade payables",R97="Trade payables",Q97="Customer receivables",R97="Customer receivables",Q97="Courier receivables",R97="Courier receivables",Q97="Supplier advances",R97="Supplier advances"),H97=""),"Contact ID required",IF(AND(N97="Approved",OR(M97="",M97=L97)),"Independent review needed",IF(OR(N97="Draft",N97="Approved",N97="Void"),"OK","Status required")))))))</x:f>
      </x:c>
    </x:row>
    <x:row r="98" ht="23" customHeight="1">
      <x:c r="A98" s="36"/>
      <x:c r="B98" s="40"/>
      <x:c r="C98" s="36"/>
      <x:c r="D98" s="41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42" t="str">
        <x:f>IF(A98="","",IF(COUNTIFS('Event Guide'!$A$6:$A$29,C98)=1,VLOOKUP(C98,'Event Guide'!$A$6:$C$29,2,FALSE),"Unknown event"))</x:f>
      </x:c>
      <x:c r="P98" s="42" t="str">
        <x:f>IF(A98="","",IF(COUNTIFS('Event Guide'!$A$6:$A$29,C98)=1,VLOOKUP(C98,'Event Guide'!$A$6:$C$29,3,FALSE),"Unknown event"))</x:f>
      </x:c>
      <x:c r="Q98" s="42" t="str">
        <x:f>IF(A98="","",IF(O98="PAY",E98,IF(O98="OTHER",F98,IF(O98="CAPITAL","Capital - "&amp;G98,IF(O98="DUE","Due to - "&amp;G98,IF(O98="DRAW","Drawings - "&amp;G98,O98))))))</x:f>
      </x:c>
      <x:c r="R98" s="42" t="str">
        <x:f>IF(A98="","",IF(P98="PAY",E98,IF(P98="OTHER",F98,IF(P98="CAPITAL","Capital - "&amp;G98,IF(P98="DUE","Due to - "&amp;G98,IF(P98="DRAW","Drawings - "&amp;G98,P98))))))</x:f>
      </x:c>
      <x:c r="S98" s="37" t="n">
        <x:f>IF(AND(N98="Approved",T98="OK"),D98,0)</x:f>
        <x:v>0</x:v>
      </x:c>
      <x:c r="T98" s="42" t="str">
        <x:f>IF(A98="","",IF(COUNTIFS($A$6:$A$505,A98)&lt;&gt;1,"Duplicate ID",IF(OR(NOT(ISNUMBER(B98)),D98&lt;=0,NOT(ISNUMBER(D98)),I98="",J98="",L98=""),"Missing date/amount/ref/details",IF(OR(COUNTIFS('Accounts'!$A$6:$A$105,Q98)&lt;&gt;1,COUNTIFS('Accounts'!$A$6:$A$105,R98)&lt;&gt;1,Q98=R98),"Check accounts/event",IF(AND(OR(Q98="Trade payables",R98="Trade payables",Q98="Customer receivables",R98="Customer receivables",Q98="Courier receivables",R98="Courier receivables",Q98="Supplier advances",R98="Supplier advances"),H98=""),"Contact ID required",IF(AND(N98="Approved",OR(M98="",M98=L98)),"Independent review needed",IF(OR(N98="Draft",N98="Approved",N98="Void"),"OK","Status required")))))))</x:f>
      </x:c>
    </x:row>
    <x:row r="99" ht="23" customHeight="1">
      <x:c r="A99" s="36"/>
      <x:c r="B99" s="40"/>
      <x:c r="C99" s="36"/>
      <x:c r="D99" s="41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42" t="str">
        <x:f>IF(A99="","",IF(COUNTIFS('Event Guide'!$A$6:$A$29,C99)=1,VLOOKUP(C99,'Event Guide'!$A$6:$C$29,2,FALSE),"Unknown event"))</x:f>
      </x:c>
      <x:c r="P99" s="42" t="str">
        <x:f>IF(A99="","",IF(COUNTIFS('Event Guide'!$A$6:$A$29,C99)=1,VLOOKUP(C99,'Event Guide'!$A$6:$C$29,3,FALSE),"Unknown event"))</x:f>
      </x:c>
      <x:c r="Q99" s="42" t="str">
        <x:f>IF(A99="","",IF(O99="PAY",E99,IF(O99="OTHER",F99,IF(O99="CAPITAL","Capital - "&amp;G99,IF(O99="DUE","Due to - "&amp;G99,IF(O99="DRAW","Drawings - "&amp;G99,O99))))))</x:f>
      </x:c>
      <x:c r="R99" s="42" t="str">
        <x:f>IF(A99="","",IF(P99="PAY",E99,IF(P99="OTHER",F99,IF(P99="CAPITAL","Capital - "&amp;G99,IF(P99="DUE","Due to - "&amp;G99,IF(P99="DRAW","Drawings - "&amp;G99,P99))))))</x:f>
      </x:c>
      <x:c r="S99" s="37" t="n">
        <x:f>IF(AND(N99="Approved",T99="OK"),D99,0)</x:f>
        <x:v>0</x:v>
      </x:c>
      <x:c r="T99" s="42" t="str">
        <x:f>IF(A99="","",IF(COUNTIFS($A$6:$A$505,A99)&lt;&gt;1,"Duplicate ID",IF(OR(NOT(ISNUMBER(B99)),D99&lt;=0,NOT(ISNUMBER(D99)),I99="",J99="",L99=""),"Missing date/amount/ref/details",IF(OR(COUNTIFS('Accounts'!$A$6:$A$105,Q99)&lt;&gt;1,COUNTIFS('Accounts'!$A$6:$A$105,R99)&lt;&gt;1,Q99=R99),"Check accounts/event",IF(AND(OR(Q99="Trade payables",R99="Trade payables",Q99="Customer receivables",R99="Customer receivables",Q99="Courier receivables",R99="Courier receivables",Q99="Supplier advances",R99="Supplier advances"),H99=""),"Contact ID required",IF(AND(N99="Approved",OR(M99="",M99=L99)),"Independent review needed",IF(OR(N99="Draft",N99="Approved",N99="Void"),"OK","Status required")))))))</x:f>
      </x:c>
    </x:row>
    <x:row r="100" ht="23" customHeight="1">
      <x:c r="A100" s="36"/>
      <x:c r="B100" s="40"/>
      <x:c r="C100" s="36"/>
      <x:c r="D100" s="41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42" t="str">
        <x:f>IF(A100="","",IF(COUNTIFS('Event Guide'!$A$6:$A$29,C100)=1,VLOOKUP(C100,'Event Guide'!$A$6:$C$29,2,FALSE),"Unknown event"))</x:f>
      </x:c>
      <x:c r="P100" s="42" t="str">
        <x:f>IF(A100="","",IF(COUNTIFS('Event Guide'!$A$6:$A$29,C100)=1,VLOOKUP(C100,'Event Guide'!$A$6:$C$29,3,FALSE),"Unknown event"))</x:f>
      </x:c>
      <x:c r="Q100" s="42" t="str">
        <x:f>IF(A100="","",IF(O100="PAY",E100,IF(O100="OTHER",F100,IF(O100="CAPITAL","Capital - "&amp;G100,IF(O100="DUE","Due to - "&amp;G100,IF(O100="DRAW","Drawings - "&amp;G100,O100))))))</x:f>
      </x:c>
      <x:c r="R100" s="42" t="str">
        <x:f>IF(A100="","",IF(P100="PAY",E100,IF(P100="OTHER",F100,IF(P100="CAPITAL","Capital - "&amp;G100,IF(P100="DUE","Due to - "&amp;G100,IF(P100="DRAW","Drawings - "&amp;G100,P100))))))</x:f>
      </x:c>
      <x:c r="S100" s="37" t="n">
        <x:f>IF(AND(N100="Approved",T100="OK"),D100,0)</x:f>
        <x:v>0</x:v>
      </x:c>
      <x:c r="T100" s="42" t="str">
        <x:f>IF(A100="","",IF(COUNTIFS($A$6:$A$505,A100)&lt;&gt;1,"Duplicate ID",IF(OR(NOT(ISNUMBER(B100)),D100&lt;=0,NOT(ISNUMBER(D100)),I100="",J100="",L100=""),"Missing date/amount/ref/details",IF(OR(COUNTIFS('Accounts'!$A$6:$A$105,Q100)&lt;&gt;1,COUNTIFS('Accounts'!$A$6:$A$105,R100)&lt;&gt;1,Q100=R100),"Check accounts/event",IF(AND(OR(Q100="Trade payables",R100="Trade payables",Q100="Customer receivables",R100="Customer receivables",Q100="Courier receivables",R100="Courier receivables",Q100="Supplier advances",R100="Supplier advances"),H100=""),"Contact ID required",IF(AND(N100="Approved",OR(M100="",M100=L100)),"Independent review needed",IF(OR(N100="Draft",N100="Approved",N100="Void"),"OK","Status required")))))))</x:f>
      </x:c>
    </x:row>
    <x:row r="101" ht="23" customHeight="1">
      <x:c r="A101" s="36"/>
      <x:c r="B101" s="40"/>
      <x:c r="C101" s="36"/>
      <x:c r="D101" s="41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42" t="str">
        <x:f>IF(A101="","",IF(COUNTIFS('Event Guide'!$A$6:$A$29,C101)=1,VLOOKUP(C101,'Event Guide'!$A$6:$C$29,2,FALSE),"Unknown event"))</x:f>
      </x:c>
      <x:c r="P101" s="42" t="str">
        <x:f>IF(A101="","",IF(COUNTIFS('Event Guide'!$A$6:$A$29,C101)=1,VLOOKUP(C101,'Event Guide'!$A$6:$C$29,3,FALSE),"Unknown event"))</x:f>
      </x:c>
      <x:c r="Q101" s="42" t="str">
        <x:f>IF(A101="","",IF(O101="PAY",E101,IF(O101="OTHER",F101,IF(O101="CAPITAL","Capital - "&amp;G101,IF(O101="DUE","Due to - "&amp;G101,IF(O101="DRAW","Drawings - "&amp;G101,O101))))))</x:f>
      </x:c>
      <x:c r="R101" s="42" t="str">
        <x:f>IF(A101="","",IF(P101="PAY",E101,IF(P101="OTHER",F101,IF(P101="CAPITAL","Capital - "&amp;G101,IF(P101="DUE","Due to - "&amp;G101,IF(P101="DRAW","Drawings - "&amp;G101,P101))))))</x:f>
      </x:c>
      <x:c r="S101" s="37" t="n">
        <x:f>IF(AND(N101="Approved",T101="OK"),D101,0)</x:f>
        <x:v>0</x:v>
      </x:c>
      <x:c r="T101" s="42" t="str">
        <x:f>IF(A101="","",IF(COUNTIFS($A$6:$A$505,A101)&lt;&gt;1,"Duplicate ID",IF(OR(NOT(ISNUMBER(B101)),D101&lt;=0,NOT(ISNUMBER(D101)),I101="",J101="",L101=""),"Missing date/amount/ref/details",IF(OR(COUNTIFS('Accounts'!$A$6:$A$105,Q101)&lt;&gt;1,COUNTIFS('Accounts'!$A$6:$A$105,R101)&lt;&gt;1,Q101=R101),"Check accounts/event",IF(AND(OR(Q101="Trade payables",R101="Trade payables",Q101="Customer receivables",R101="Customer receivables",Q101="Courier receivables",R101="Courier receivables",Q101="Supplier advances",R101="Supplier advances"),H101=""),"Contact ID required",IF(AND(N101="Approved",OR(M101="",M101=L101)),"Independent review needed",IF(OR(N101="Draft",N101="Approved",N101="Void"),"OK","Status required")))))))</x:f>
      </x:c>
    </x:row>
    <x:row r="102" ht="23" customHeight="1">
      <x:c r="A102" s="36"/>
      <x:c r="B102" s="40"/>
      <x:c r="C102" s="36"/>
      <x:c r="D102" s="41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42" t="str">
        <x:f>IF(A102="","",IF(COUNTIFS('Event Guide'!$A$6:$A$29,C102)=1,VLOOKUP(C102,'Event Guide'!$A$6:$C$29,2,FALSE),"Unknown event"))</x:f>
      </x:c>
      <x:c r="P102" s="42" t="str">
        <x:f>IF(A102="","",IF(COUNTIFS('Event Guide'!$A$6:$A$29,C102)=1,VLOOKUP(C102,'Event Guide'!$A$6:$C$29,3,FALSE),"Unknown event"))</x:f>
      </x:c>
      <x:c r="Q102" s="42" t="str">
        <x:f>IF(A102="","",IF(O102="PAY",E102,IF(O102="OTHER",F102,IF(O102="CAPITAL","Capital - "&amp;G102,IF(O102="DUE","Due to - "&amp;G102,IF(O102="DRAW","Drawings - "&amp;G102,O102))))))</x:f>
      </x:c>
      <x:c r="R102" s="42" t="str">
        <x:f>IF(A102="","",IF(P102="PAY",E102,IF(P102="OTHER",F102,IF(P102="CAPITAL","Capital - "&amp;G102,IF(P102="DUE","Due to - "&amp;G102,IF(P102="DRAW","Drawings - "&amp;G102,P102))))))</x:f>
      </x:c>
      <x:c r="S102" s="37" t="n">
        <x:f>IF(AND(N102="Approved",T102="OK"),D102,0)</x:f>
        <x:v>0</x:v>
      </x:c>
      <x:c r="T102" s="42" t="str">
        <x:f>IF(A102="","",IF(COUNTIFS($A$6:$A$505,A102)&lt;&gt;1,"Duplicate ID",IF(OR(NOT(ISNUMBER(B102)),D102&lt;=0,NOT(ISNUMBER(D102)),I102="",J102="",L102=""),"Missing date/amount/ref/details",IF(OR(COUNTIFS('Accounts'!$A$6:$A$105,Q102)&lt;&gt;1,COUNTIFS('Accounts'!$A$6:$A$105,R102)&lt;&gt;1,Q102=R102),"Check accounts/event",IF(AND(OR(Q102="Trade payables",R102="Trade payables",Q102="Customer receivables",R102="Customer receivables",Q102="Courier receivables",R102="Courier receivables",Q102="Supplier advances",R102="Supplier advances"),H102=""),"Contact ID required",IF(AND(N102="Approved",OR(M102="",M102=L102)),"Independent review needed",IF(OR(N102="Draft",N102="Approved",N102="Void"),"OK","Status required")))))))</x:f>
      </x:c>
    </x:row>
    <x:row r="103" ht="23" customHeight="1">
      <x:c r="A103" s="36"/>
      <x:c r="B103" s="40"/>
      <x:c r="C103" s="36"/>
      <x:c r="D103" s="41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42" t="str">
        <x:f>IF(A103="","",IF(COUNTIFS('Event Guide'!$A$6:$A$29,C103)=1,VLOOKUP(C103,'Event Guide'!$A$6:$C$29,2,FALSE),"Unknown event"))</x:f>
      </x:c>
      <x:c r="P103" s="42" t="str">
        <x:f>IF(A103="","",IF(COUNTIFS('Event Guide'!$A$6:$A$29,C103)=1,VLOOKUP(C103,'Event Guide'!$A$6:$C$29,3,FALSE),"Unknown event"))</x:f>
      </x:c>
      <x:c r="Q103" s="42" t="str">
        <x:f>IF(A103="","",IF(O103="PAY",E103,IF(O103="OTHER",F103,IF(O103="CAPITAL","Capital - "&amp;G103,IF(O103="DUE","Due to - "&amp;G103,IF(O103="DRAW","Drawings - "&amp;G103,O103))))))</x:f>
      </x:c>
      <x:c r="R103" s="42" t="str">
        <x:f>IF(A103="","",IF(P103="PAY",E103,IF(P103="OTHER",F103,IF(P103="CAPITAL","Capital - "&amp;G103,IF(P103="DUE","Due to - "&amp;G103,IF(P103="DRAW","Drawings - "&amp;G103,P103))))))</x:f>
      </x:c>
      <x:c r="S103" s="37" t="n">
        <x:f>IF(AND(N103="Approved",T103="OK"),D103,0)</x:f>
        <x:v>0</x:v>
      </x:c>
      <x:c r="T103" s="42" t="str">
        <x:f>IF(A103="","",IF(COUNTIFS($A$6:$A$505,A103)&lt;&gt;1,"Duplicate ID",IF(OR(NOT(ISNUMBER(B103)),D103&lt;=0,NOT(ISNUMBER(D103)),I103="",J103="",L103=""),"Missing date/amount/ref/details",IF(OR(COUNTIFS('Accounts'!$A$6:$A$105,Q103)&lt;&gt;1,COUNTIFS('Accounts'!$A$6:$A$105,R103)&lt;&gt;1,Q103=R103),"Check accounts/event",IF(AND(OR(Q103="Trade payables",R103="Trade payables",Q103="Customer receivables",R103="Customer receivables",Q103="Courier receivables",R103="Courier receivables",Q103="Supplier advances",R103="Supplier advances"),H103=""),"Contact ID required",IF(AND(N103="Approved",OR(M103="",M103=L103)),"Independent review needed",IF(OR(N103="Draft",N103="Approved",N103="Void"),"OK","Status required")))))))</x:f>
      </x:c>
    </x:row>
    <x:row r="104" ht="23" customHeight="1">
      <x:c r="A104" s="36"/>
      <x:c r="B104" s="40"/>
      <x:c r="C104" s="36"/>
      <x:c r="D104" s="41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42" t="str">
        <x:f>IF(A104="","",IF(COUNTIFS('Event Guide'!$A$6:$A$29,C104)=1,VLOOKUP(C104,'Event Guide'!$A$6:$C$29,2,FALSE),"Unknown event"))</x:f>
      </x:c>
      <x:c r="P104" s="42" t="str">
        <x:f>IF(A104="","",IF(COUNTIFS('Event Guide'!$A$6:$A$29,C104)=1,VLOOKUP(C104,'Event Guide'!$A$6:$C$29,3,FALSE),"Unknown event"))</x:f>
      </x:c>
      <x:c r="Q104" s="42" t="str">
        <x:f>IF(A104="","",IF(O104="PAY",E104,IF(O104="OTHER",F104,IF(O104="CAPITAL","Capital - "&amp;G104,IF(O104="DUE","Due to - "&amp;G104,IF(O104="DRAW","Drawings - "&amp;G104,O104))))))</x:f>
      </x:c>
      <x:c r="R104" s="42" t="str">
        <x:f>IF(A104="","",IF(P104="PAY",E104,IF(P104="OTHER",F104,IF(P104="CAPITAL","Capital - "&amp;G104,IF(P104="DUE","Due to - "&amp;G104,IF(P104="DRAW","Drawings - "&amp;G104,P104))))))</x:f>
      </x:c>
      <x:c r="S104" s="37" t="n">
        <x:f>IF(AND(N104="Approved",T104="OK"),D104,0)</x:f>
        <x:v>0</x:v>
      </x:c>
      <x:c r="T104" s="42" t="str">
        <x:f>IF(A104="","",IF(COUNTIFS($A$6:$A$505,A104)&lt;&gt;1,"Duplicate ID",IF(OR(NOT(ISNUMBER(B104)),D104&lt;=0,NOT(ISNUMBER(D104)),I104="",J104="",L104=""),"Missing date/amount/ref/details",IF(OR(COUNTIFS('Accounts'!$A$6:$A$105,Q104)&lt;&gt;1,COUNTIFS('Accounts'!$A$6:$A$105,R104)&lt;&gt;1,Q104=R104),"Check accounts/event",IF(AND(OR(Q104="Trade payables",R104="Trade payables",Q104="Customer receivables",R104="Customer receivables",Q104="Courier receivables",R104="Courier receivables",Q104="Supplier advances",R104="Supplier advances"),H104=""),"Contact ID required",IF(AND(N104="Approved",OR(M104="",M104=L104)),"Independent review needed",IF(OR(N104="Draft",N104="Approved",N104="Void"),"OK","Status required")))))))</x:f>
      </x:c>
    </x:row>
    <x:row r="105" ht="23" customHeight="1">
      <x:c r="A105" s="36"/>
      <x:c r="B105" s="40"/>
      <x:c r="C105" s="36"/>
      <x:c r="D105" s="41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42" t="str">
        <x:f>IF(A105="","",IF(COUNTIFS('Event Guide'!$A$6:$A$29,C105)=1,VLOOKUP(C105,'Event Guide'!$A$6:$C$29,2,FALSE),"Unknown event"))</x:f>
      </x:c>
      <x:c r="P105" s="42" t="str">
        <x:f>IF(A105="","",IF(COUNTIFS('Event Guide'!$A$6:$A$29,C105)=1,VLOOKUP(C105,'Event Guide'!$A$6:$C$29,3,FALSE),"Unknown event"))</x:f>
      </x:c>
      <x:c r="Q105" s="42" t="str">
        <x:f>IF(A105="","",IF(O105="PAY",E105,IF(O105="OTHER",F105,IF(O105="CAPITAL","Capital - "&amp;G105,IF(O105="DUE","Due to - "&amp;G105,IF(O105="DRAW","Drawings - "&amp;G105,O105))))))</x:f>
      </x:c>
      <x:c r="R105" s="42" t="str">
        <x:f>IF(A105="","",IF(P105="PAY",E105,IF(P105="OTHER",F105,IF(P105="CAPITAL","Capital - "&amp;G105,IF(P105="DUE","Due to - "&amp;G105,IF(P105="DRAW","Drawings - "&amp;G105,P105))))))</x:f>
      </x:c>
      <x:c r="S105" s="37" t="n">
        <x:f>IF(AND(N105="Approved",T105="OK"),D105,0)</x:f>
        <x:v>0</x:v>
      </x:c>
      <x:c r="T105" s="42" t="str">
        <x:f>IF(A105="","",IF(COUNTIFS($A$6:$A$505,A105)&lt;&gt;1,"Duplicate ID",IF(OR(NOT(ISNUMBER(B105)),D105&lt;=0,NOT(ISNUMBER(D105)),I105="",J105="",L105=""),"Missing date/amount/ref/details",IF(OR(COUNTIFS('Accounts'!$A$6:$A$105,Q105)&lt;&gt;1,COUNTIFS('Accounts'!$A$6:$A$105,R105)&lt;&gt;1,Q105=R105),"Check accounts/event",IF(AND(OR(Q105="Trade payables",R105="Trade payables",Q105="Customer receivables",R105="Customer receivables",Q105="Courier receivables",R105="Courier receivables",Q105="Supplier advances",R105="Supplier advances"),H105=""),"Contact ID required",IF(AND(N105="Approved",OR(M105="",M105=L105)),"Independent review needed",IF(OR(N105="Draft",N105="Approved",N105="Void"),"OK","Status required")))))))</x:f>
      </x:c>
    </x:row>
    <x:row r="106" ht="23" customHeight="1">
      <x:c r="A106" s="36"/>
      <x:c r="B106" s="40"/>
      <x:c r="C106" s="36"/>
      <x:c r="D106" s="41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42" t="str">
        <x:f>IF(A106="","",IF(COUNTIFS('Event Guide'!$A$6:$A$29,C106)=1,VLOOKUP(C106,'Event Guide'!$A$6:$C$29,2,FALSE),"Unknown event"))</x:f>
      </x:c>
      <x:c r="P106" s="42" t="str">
        <x:f>IF(A106="","",IF(COUNTIFS('Event Guide'!$A$6:$A$29,C106)=1,VLOOKUP(C106,'Event Guide'!$A$6:$C$29,3,FALSE),"Unknown event"))</x:f>
      </x:c>
      <x:c r="Q106" s="42" t="str">
        <x:f>IF(A106="","",IF(O106="PAY",E106,IF(O106="OTHER",F106,IF(O106="CAPITAL","Capital - "&amp;G106,IF(O106="DUE","Due to - "&amp;G106,IF(O106="DRAW","Drawings - "&amp;G106,O106))))))</x:f>
      </x:c>
      <x:c r="R106" s="42" t="str">
        <x:f>IF(A106="","",IF(P106="PAY",E106,IF(P106="OTHER",F106,IF(P106="CAPITAL","Capital - "&amp;G106,IF(P106="DUE","Due to - "&amp;G106,IF(P106="DRAW","Drawings - "&amp;G106,P106))))))</x:f>
      </x:c>
      <x:c r="S106" s="37" t="n">
        <x:f>IF(AND(N106="Approved",T106="OK"),D106,0)</x:f>
        <x:v>0</x:v>
      </x:c>
      <x:c r="T106" s="42" t="str">
        <x:f>IF(A106="","",IF(COUNTIFS($A$6:$A$505,A106)&lt;&gt;1,"Duplicate ID",IF(OR(NOT(ISNUMBER(B106)),D106&lt;=0,NOT(ISNUMBER(D106)),I106="",J106="",L106=""),"Missing date/amount/ref/details",IF(OR(COUNTIFS('Accounts'!$A$6:$A$105,Q106)&lt;&gt;1,COUNTIFS('Accounts'!$A$6:$A$105,R106)&lt;&gt;1,Q106=R106),"Check accounts/event",IF(AND(OR(Q106="Trade payables",R106="Trade payables",Q106="Customer receivables",R106="Customer receivables",Q106="Courier receivables",R106="Courier receivables",Q106="Supplier advances",R106="Supplier advances"),H106=""),"Contact ID required",IF(AND(N106="Approved",OR(M106="",M106=L106)),"Independent review needed",IF(OR(N106="Draft",N106="Approved",N106="Void"),"OK","Status required")))))))</x:f>
      </x:c>
    </x:row>
    <x:row r="107" ht="23" customHeight="1">
      <x:c r="A107" s="36"/>
      <x:c r="B107" s="40"/>
      <x:c r="C107" s="36"/>
      <x:c r="D107" s="41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42" t="str">
        <x:f>IF(A107="","",IF(COUNTIFS('Event Guide'!$A$6:$A$29,C107)=1,VLOOKUP(C107,'Event Guide'!$A$6:$C$29,2,FALSE),"Unknown event"))</x:f>
      </x:c>
      <x:c r="P107" s="42" t="str">
        <x:f>IF(A107="","",IF(COUNTIFS('Event Guide'!$A$6:$A$29,C107)=1,VLOOKUP(C107,'Event Guide'!$A$6:$C$29,3,FALSE),"Unknown event"))</x:f>
      </x:c>
      <x:c r="Q107" s="42" t="str">
        <x:f>IF(A107="","",IF(O107="PAY",E107,IF(O107="OTHER",F107,IF(O107="CAPITAL","Capital - "&amp;G107,IF(O107="DUE","Due to - "&amp;G107,IF(O107="DRAW","Drawings - "&amp;G107,O107))))))</x:f>
      </x:c>
      <x:c r="R107" s="42" t="str">
        <x:f>IF(A107="","",IF(P107="PAY",E107,IF(P107="OTHER",F107,IF(P107="CAPITAL","Capital - "&amp;G107,IF(P107="DUE","Due to - "&amp;G107,IF(P107="DRAW","Drawings - "&amp;G107,P107))))))</x:f>
      </x:c>
      <x:c r="S107" s="37" t="n">
        <x:f>IF(AND(N107="Approved",T107="OK"),D107,0)</x:f>
        <x:v>0</x:v>
      </x:c>
      <x:c r="T107" s="42" t="str">
        <x:f>IF(A107="","",IF(COUNTIFS($A$6:$A$505,A107)&lt;&gt;1,"Duplicate ID",IF(OR(NOT(ISNUMBER(B107)),D107&lt;=0,NOT(ISNUMBER(D107)),I107="",J107="",L107=""),"Missing date/amount/ref/details",IF(OR(COUNTIFS('Accounts'!$A$6:$A$105,Q107)&lt;&gt;1,COUNTIFS('Accounts'!$A$6:$A$105,R107)&lt;&gt;1,Q107=R107),"Check accounts/event",IF(AND(OR(Q107="Trade payables",R107="Trade payables",Q107="Customer receivables",R107="Customer receivables",Q107="Courier receivables",R107="Courier receivables",Q107="Supplier advances",R107="Supplier advances"),H107=""),"Contact ID required",IF(AND(N107="Approved",OR(M107="",M107=L107)),"Independent review needed",IF(OR(N107="Draft",N107="Approved",N107="Void"),"OK","Status required")))))))</x:f>
      </x:c>
    </x:row>
    <x:row r="108" ht="23" customHeight="1">
      <x:c r="A108" s="36"/>
      <x:c r="B108" s="40"/>
      <x:c r="C108" s="36"/>
      <x:c r="D108" s="41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42" t="str">
        <x:f>IF(A108="","",IF(COUNTIFS('Event Guide'!$A$6:$A$29,C108)=1,VLOOKUP(C108,'Event Guide'!$A$6:$C$29,2,FALSE),"Unknown event"))</x:f>
      </x:c>
      <x:c r="P108" s="42" t="str">
        <x:f>IF(A108="","",IF(COUNTIFS('Event Guide'!$A$6:$A$29,C108)=1,VLOOKUP(C108,'Event Guide'!$A$6:$C$29,3,FALSE),"Unknown event"))</x:f>
      </x:c>
      <x:c r="Q108" s="42" t="str">
        <x:f>IF(A108="","",IF(O108="PAY",E108,IF(O108="OTHER",F108,IF(O108="CAPITAL","Capital - "&amp;G108,IF(O108="DUE","Due to - "&amp;G108,IF(O108="DRAW","Drawings - "&amp;G108,O108))))))</x:f>
      </x:c>
      <x:c r="R108" s="42" t="str">
        <x:f>IF(A108="","",IF(P108="PAY",E108,IF(P108="OTHER",F108,IF(P108="CAPITAL","Capital - "&amp;G108,IF(P108="DUE","Due to - "&amp;G108,IF(P108="DRAW","Drawings - "&amp;G108,P108))))))</x:f>
      </x:c>
      <x:c r="S108" s="37" t="n">
        <x:f>IF(AND(N108="Approved",T108="OK"),D108,0)</x:f>
        <x:v>0</x:v>
      </x:c>
      <x:c r="T108" s="42" t="str">
        <x:f>IF(A108="","",IF(COUNTIFS($A$6:$A$505,A108)&lt;&gt;1,"Duplicate ID",IF(OR(NOT(ISNUMBER(B108)),D108&lt;=0,NOT(ISNUMBER(D108)),I108="",J108="",L108=""),"Missing date/amount/ref/details",IF(OR(COUNTIFS('Accounts'!$A$6:$A$105,Q108)&lt;&gt;1,COUNTIFS('Accounts'!$A$6:$A$105,R108)&lt;&gt;1,Q108=R108),"Check accounts/event",IF(AND(OR(Q108="Trade payables",R108="Trade payables",Q108="Customer receivables",R108="Customer receivables",Q108="Courier receivables",R108="Courier receivables",Q108="Supplier advances",R108="Supplier advances"),H108=""),"Contact ID required",IF(AND(N108="Approved",OR(M108="",M108=L108)),"Independent review needed",IF(OR(N108="Draft",N108="Approved",N108="Void"),"OK","Status required")))))))</x:f>
      </x:c>
    </x:row>
    <x:row r="109" ht="23" customHeight="1">
      <x:c r="A109" s="36"/>
      <x:c r="B109" s="40"/>
      <x:c r="C109" s="36"/>
      <x:c r="D109" s="41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42" t="str">
        <x:f>IF(A109="","",IF(COUNTIFS('Event Guide'!$A$6:$A$29,C109)=1,VLOOKUP(C109,'Event Guide'!$A$6:$C$29,2,FALSE),"Unknown event"))</x:f>
      </x:c>
      <x:c r="P109" s="42" t="str">
        <x:f>IF(A109="","",IF(COUNTIFS('Event Guide'!$A$6:$A$29,C109)=1,VLOOKUP(C109,'Event Guide'!$A$6:$C$29,3,FALSE),"Unknown event"))</x:f>
      </x:c>
      <x:c r="Q109" s="42" t="str">
        <x:f>IF(A109="","",IF(O109="PAY",E109,IF(O109="OTHER",F109,IF(O109="CAPITAL","Capital - "&amp;G109,IF(O109="DUE","Due to - "&amp;G109,IF(O109="DRAW","Drawings - "&amp;G109,O109))))))</x:f>
      </x:c>
      <x:c r="R109" s="42" t="str">
        <x:f>IF(A109="","",IF(P109="PAY",E109,IF(P109="OTHER",F109,IF(P109="CAPITAL","Capital - "&amp;G109,IF(P109="DUE","Due to - "&amp;G109,IF(P109="DRAW","Drawings - "&amp;G109,P109))))))</x:f>
      </x:c>
      <x:c r="S109" s="37" t="n">
        <x:f>IF(AND(N109="Approved",T109="OK"),D109,0)</x:f>
        <x:v>0</x:v>
      </x:c>
      <x:c r="T109" s="42" t="str">
        <x:f>IF(A109="","",IF(COUNTIFS($A$6:$A$505,A109)&lt;&gt;1,"Duplicate ID",IF(OR(NOT(ISNUMBER(B109)),D109&lt;=0,NOT(ISNUMBER(D109)),I109="",J109="",L109=""),"Missing date/amount/ref/details",IF(OR(COUNTIFS('Accounts'!$A$6:$A$105,Q109)&lt;&gt;1,COUNTIFS('Accounts'!$A$6:$A$105,R109)&lt;&gt;1,Q109=R109),"Check accounts/event",IF(AND(OR(Q109="Trade payables",R109="Trade payables",Q109="Customer receivables",R109="Customer receivables",Q109="Courier receivables",R109="Courier receivables",Q109="Supplier advances",R109="Supplier advances"),H109=""),"Contact ID required",IF(AND(N109="Approved",OR(M109="",M109=L109)),"Independent review needed",IF(OR(N109="Draft",N109="Approved",N109="Void"),"OK","Status required")))))))</x:f>
      </x:c>
    </x:row>
    <x:row r="110" ht="23" customHeight="1">
      <x:c r="A110" s="36"/>
      <x:c r="B110" s="40"/>
      <x:c r="C110" s="36"/>
      <x:c r="D110" s="41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42" t="str">
        <x:f>IF(A110="","",IF(COUNTIFS('Event Guide'!$A$6:$A$29,C110)=1,VLOOKUP(C110,'Event Guide'!$A$6:$C$29,2,FALSE),"Unknown event"))</x:f>
      </x:c>
      <x:c r="P110" s="42" t="str">
        <x:f>IF(A110="","",IF(COUNTIFS('Event Guide'!$A$6:$A$29,C110)=1,VLOOKUP(C110,'Event Guide'!$A$6:$C$29,3,FALSE),"Unknown event"))</x:f>
      </x:c>
      <x:c r="Q110" s="42" t="str">
        <x:f>IF(A110="","",IF(O110="PAY",E110,IF(O110="OTHER",F110,IF(O110="CAPITAL","Capital - "&amp;G110,IF(O110="DUE","Due to - "&amp;G110,IF(O110="DRAW","Drawings - "&amp;G110,O110))))))</x:f>
      </x:c>
      <x:c r="R110" s="42" t="str">
        <x:f>IF(A110="","",IF(P110="PAY",E110,IF(P110="OTHER",F110,IF(P110="CAPITAL","Capital - "&amp;G110,IF(P110="DUE","Due to - "&amp;G110,IF(P110="DRAW","Drawings - "&amp;G110,P110))))))</x:f>
      </x:c>
      <x:c r="S110" s="37" t="n">
        <x:f>IF(AND(N110="Approved",T110="OK"),D110,0)</x:f>
        <x:v>0</x:v>
      </x:c>
      <x:c r="T110" s="42" t="str">
        <x:f>IF(A110="","",IF(COUNTIFS($A$6:$A$505,A110)&lt;&gt;1,"Duplicate ID",IF(OR(NOT(ISNUMBER(B110)),D110&lt;=0,NOT(ISNUMBER(D110)),I110="",J110="",L110=""),"Missing date/amount/ref/details",IF(OR(COUNTIFS('Accounts'!$A$6:$A$105,Q110)&lt;&gt;1,COUNTIFS('Accounts'!$A$6:$A$105,R110)&lt;&gt;1,Q110=R110),"Check accounts/event",IF(AND(OR(Q110="Trade payables",R110="Trade payables",Q110="Customer receivables",R110="Customer receivables",Q110="Courier receivables",R110="Courier receivables",Q110="Supplier advances",R110="Supplier advances"),H110=""),"Contact ID required",IF(AND(N110="Approved",OR(M110="",M110=L110)),"Independent review needed",IF(OR(N110="Draft",N110="Approved",N110="Void"),"OK","Status required")))))))</x:f>
      </x:c>
    </x:row>
    <x:row r="111" ht="23" customHeight="1">
      <x:c r="A111" s="36"/>
      <x:c r="B111" s="40"/>
      <x:c r="C111" s="36"/>
      <x:c r="D111" s="41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42" t="str">
        <x:f>IF(A111="","",IF(COUNTIFS('Event Guide'!$A$6:$A$29,C111)=1,VLOOKUP(C111,'Event Guide'!$A$6:$C$29,2,FALSE),"Unknown event"))</x:f>
      </x:c>
      <x:c r="P111" s="42" t="str">
        <x:f>IF(A111="","",IF(COUNTIFS('Event Guide'!$A$6:$A$29,C111)=1,VLOOKUP(C111,'Event Guide'!$A$6:$C$29,3,FALSE),"Unknown event"))</x:f>
      </x:c>
      <x:c r="Q111" s="42" t="str">
        <x:f>IF(A111="","",IF(O111="PAY",E111,IF(O111="OTHER",F111,IF(O111="CAPITAL","Capital - "&amp;G111,IF(O111="DUE","Due to - "&amp;G111,IF(O111="DRAW","Drawings - "&amp;G111,O111))))))</x:f>
      </x:c>
      <x:c r="R111" s="42" t="str">
        <x:f>IF(A111="","",IF(P111="PAY",E111,IF(P111="OTHER",F111,IF(P111="CAPITAL","Capital - "&amp;G111,IF(P111="DUE","Due to - "&amp;G111,IF(P111="DRAW","Drawings - "&amp;G111,P111))))))</x:f>
      </x:c>
      <x:c r="S111" s="37" t="n">
        <x:f>IF(AND(N111="Approved",T111="OK"),D111,0)</x:f>
        <x:v>0</x:v>
      </x:c>
      <x:c r="T111" s="42" t="str">
        <x:f>IF(A111="","",IF(COUNTIFS($A$6:$A$505,A111)&lt;&gt;1,"Duplicate ID",IF(OR(NOT(ISNUMBER(B111)),D111&lt;=0,NOT(ISNUMBER(D111)),I111="",J111="",L111=""),"Missing date/amount/ref/details",IF(OR(COUNTIFS('Accounts'!$A$6:$A$105,Q111)&lt;&gt;1,COUNTIFS('Accounts'!$A$6:$A$105,R111)&lt;&gt;1,Q111=R111),"Check accounts/event",IF(AND(OR(Q111="Trade payables",R111="Trade payables",Q111="Customer receivables",R111="Customer receivables",Q111="Courier receivables",R111="Courier receivables",Q111="Supplier advances",R111="Supplier advances"),H111=""),"Contact ID required",IF(AND(N111="Approved",OR(M111="",M111=L111)),"Independent review needed",IF(OR(N111="Draft",N111="Approved",N111="Void"),"OK","Status required")))))))</x:f>
      </x:c>
    </x:row>
    <x:row r="112" ht="23" customHeight="1">
      <x:c r="A112" s="36"/>
      <x:c r="B112" s="40"/>
      <x:c r="C112" s="36"/>
      <x:c r="D112" s="41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42" t="str">
        <x:f>IF(A112="","",IF(COUNTIFS('Event Guide'!$A$6:$A$29,C112)=1,VLOOKUP(C112,'Event Guide'!$A$6:$C$29,2,FALSE),"Unknown event"))</x:f>
      </x:c>
      <x:c r="P112" s="42" t="str">
        <x:f>IF(A112="","",IF(COUNTIFS('Event Guide'!$A$6:$A$29,C112)=1,VLOOKUP(C112,'Event Guide'!$A$6:$C$29,3,FALSE),"Unknown event"))</x:f>
      </x:c>
      <x:c r="Q112" s="42" t="str">
        <x:f>IF(A112="","",IF(O112="PAY",E112,IF(O112="OTHER",F112,IF(O112="CAPITAL","Capital - "&amp;G112,IF(O112="DUE","Due to - "&amp;G112,IF(O112="DRAW","Drawings - "&amp;G112,O112))))))</x:f>
      </x:c>
      <x:c r="R112" s="42" t="str">
        <x:f>IF(A112="","",IF(P112="PAY",E112,IF(P112="OTHER",F112,IF(P112="CAPITAL","Capital - "&amp;G112,IF(P112="DUE","Due to - "&amp;G112,IF(P112="DRAW","Drawings - "&amp;G112,P112))))))</x:f>
      </x:c>
      <x:c r="S112" s="37" t="n">
        <x:f>IF(AND(N112="Approved",T112="OK"),D112,0)</x:f>
        <x:v>0</x:v>
      </x:c>
      <x:c r="T112" s="42" t="str">
        <x:f>IF(A112="","",IF(COUNTIFS($A$6:$A$505,A112)&lt;&gt;1,"Duplicate ID",IF(OR(NOT(ISNUMBER(B112)),D112&lt;=0,NOT(ISNUMBER(D112)),I112="",J112="",L112=""),"Missing date/amount/ref/details",IF(OR(COUNTIFS('Accounts'!$A$6:$A$105,Q112)&lt;&gt;1,COUNTIFS('Accounts'!$A$6:$A$105,R112)&lt;&gt;1,Q112=R112),"Check accounts/event",IF(AND(OR(Q112="Trade payables",R112="Trade payables",Q112="Customer receivables",R112="Customer receivables",Q112="Courier receivables",R112="Courier receivables",Q112="Supplier advances",R112="Supplier advances"),H112=""),"Contact ID required",IF(AND(N112="Approved",OR(M112="",M112=L112)),"Independent review needed",IF(OR(N112="Draft",N112="Approved",N112="Void"),"OK","Status required")))))))</x:f>
      </x:c>
    </x:row>
    <x:row r="113" ht="23" customHeight="1">
      <x:c r="A113" s="36"/>
      <x:c r="B113" s="40"/>
      <x:c r="C113" s="36"/>
      <x:c r="D113" s="41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42" t="str">
        <x:f>IF(A113="","",IF(COUNTIFS('Event Guide'!$A$6:$A$29,C113)=1,VLOOKUP(C113,'Event Guide'!$A$6:$C$29,2,FALSE),"Unknown event"))</x:f>
      </x:c>
      <x:c r="P113" s="42" t="str">
        <x:f>IF(A113="","",IF(COUNTIFS('Event Guide'!$A$6:$A$29,C113)=1,VLOOKUP(C113,'Event Guide'!$A$6:$C$29,3,FALSE),"Unknown event"))</x:f>
      </x:c>
      <x:c r="Q113" s="42" t="str">
        <x:f>IF(A113="","",IF(O113="PAY",E113,IF(O113="OTHER",F113,IF(O113="CAPITAL","Capital - "&amp;G113,IF(O113="DUE","Due to - "&amp;G113,IF(O113="DRAW","Drawings - "&amp;G113,O113))))))</x:f>
      </x:c>
      <x:c r="R113" s="42" t="str">
        <x:f>IF(A113="","",IF(P113="PAY",E113,IF(P113="OTHER",F113,IF(P113="CAPITAL","Capital - "&amp;G113,IF(P113="DUE","Due to - "&amp;G113,IF(P113="DRAW","Drawings - "&amp;G113,P113))))))</x:f>
      </x:c>
      <x:c r="S113" s="37" t="n">
        <x:f>IF(AND(N113="Approved",T113="OK"),D113,0)</x:f>
        <x:v>0</x:v>
      </x:c>
      <x:c r="T113" s="42" t="str">
        <x:f>IF(A113="","",IF(COUNTIFS($A$6:$A$505,A113)&lt;&gt;1,"Duplicate ID",IF(OR(NOT(ISNUMBER(B113)),D113&lt;=0,NOT(ISNUMBER(D113)),I113="",J113="",L113=""),"Missing date/amount/ref/details",IF(OR(COUNTIFS('Accounts'!$A$6:$A$105,Q113)&lt;&gt;1,COUNTIFS('Accounts'!$A$6:$A$105,R113)&lt;&gt;1,Q113=R113),"Check accounts/event",IF(AND(OR(Q113="Trade payables",R113="Trade payables",Q113="Customer receivables",R113="Customer receivables",Q113="Courier receivables",R113="Courier receivables",Q113="Supplier advances",R113="Supplier advances"),H113=""),"Contact ID required",IF(AND(N113="Approved",OR(M113="",M113=L113)),"Independent review needed",IF(OR(N113="Draft",N113="Approved",N113="Void"),"OK","Status required")))))))</x:f>
      </x:c>
    </x:row>
    <x:row r="114" ht="23" customHeight="1">
      <x:c r="A114" s="36"/>
      <x:c r="B114" s="40"/>
      <x:c r="C114" s="36"/>
      <x:c r="D114" s="41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42" t="str">
        <x:f>IF(A114="","",IF(COUNTIFS('Event Guide'!$A$6:$A$29,C114)=1,VLOOKUP(C114,'Event Guide'!$A$6:$C$29,2,FALSE),"Unknown event"))</x:f>
      </x:c>
      <x:c r="P114" s="42" t="str">
        <x:f>IF(A114="","",IF(COUNTIFS('Event Guide'!$A$6:$A$29,C114)=1,VLOOKUP(C114,'Event Guide'!$A$6:$C$29,3,FALSE),"Unknown event"))</x:f>
      </x:c>
      <x:c r="Q114" s="42" t="str">
        <x:f>IF(A114="","",IF(O114="PAY",E114,IF(O114="OTHER",F114,IF(O114="CAPITAL","Capital - "&amp;G114,IF(O114="DUE","Due to - "&amp;G114,IF(O114="DRAW","Drawings - "&amp;G114,O114))))))</x:f>
      </x:c>
      <x:c r="R114" s="42" t="str">
        <x:f>IF(A114="","",IF(P114="PAY",E114,IF(P114="OTHER",F114,IF(P114="CAPITAL","Capital - "&amp;G114,IF(P114="DUE","Due to - "&amp;G114,IF(P114="DRAW","Drawings - "&amp;G114,P114))))))</x:f>
      </x:c>
      <x:c r="S114" s="37" t="n">
        <x:f>IF(AND(N114="Approved",T114="OK"),D114,0)</x:f>
        <x:v>0</x:v>
      </x:c>
      <x:c r="T114" s="42" t="str">
        <x:f>IF(A114="","",IF(COUNTIFS($A$6:$A$505,A114)&lt;&gt;1,"Duplicate ID",IF(OR(NOT(ISNUMBER(B114)),D114&lt;=0,NOT(ISNUMBER(D114)),I114="",J114="",L114=""),"Missing date/amount/ref/details",IF(OR(COUNTIFS('Accounts'!$A$6:$A$105,Q114)&lt;&gt;1,COUNTIFS('Accounts'!$A$6:$A$105,R114)&lt;&gt;1,Q114=R114),"Check accounts/event",IF(AND(OR(Q114="Trade payables",R114="Trade payables",Q114="Customer receivables",R114="Customer receivables",Q114="Courier receivables",R114="Courier receivables",Q114="Supplier advances",R114="Supplier advances"),H114=""),"Contact ID required",IF(AND(N114="Approved",OR(M114="",M114=L114)),"Independent review needed",IF(OR(N114="Draft",N114="Approved",N114="Void"),"OK","Status required")))))))</x:f>
      </x:c>
    </x:row>
    <x:row r="115" ht="23" customHeight="1">
      <x:c r="A115" s="36"/>
      <x:c r="B115" s="40"/>
      <x:c r="C115" s="36"/>
      <x:c r="D115" s="41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42" t="str">
        <x:f>IF(A115="","",IF(COUNTIFS('Event Guide'!$A$6:$A$29,C115)=1,VLOOKUP(C115,'Event Guide'!$A$6:$C$29,2,FALSE),"Unknown event"))</x:f>
      </x:c>
      <x:c r="P115" s="42" t="str">
        <x:f>IF(A115="","",IF(COUNTIFS('Event Guide'!$A$6:$A$29,C115)=1,VLOOKUP(C115,'Event Guide'!$A$6:$C$29,3,FALSE),"Unknown event"))</x:f>
      </x:c>
      <x:c r="Q115" s="42" t="str">
        <x:f>IF(A115="","",IF(O115="PAY",E115,IF(O115="OTHER",F115,IF(O115="CAPITAL","Capital - "&amp;G115,IF(O115="DUE","Due to - "&amp;G115,IF(O115="DRAW","Drawings - "&amp;G115,O115))))))</x:f>
      </x:c>
      <x:c r="R115" s="42" t="str">
        <x:f>IF(A115="","",IF(P115="PAY",E115,IF(P115="OTHER",F115,IF(P115="CAPITAL","Capital - "&amp;G115,IF(P115="DUE","Due to - "&amp;G115,IF(P115="DRAW","Drawings - "&amp;G115,P115))))))</x:f>
      </x:c>
      <x:c r="S115" s="37" t="n">
        <x:f>IF(AND(N115="Approved",T115="OK"),D115,0)</x:f>
        <x:v>0</x:v>
      </x:c>
      <x:c r="T115" s="42" t="str">
        <x:f>IF(A115="","",IF(COUNTIFS($A$6:$A$505,A115)&lt;&gt;1,"Duplicate ID",IF(OR(NOT(ISNUMBER(B115)),D115&lt;=0,NOT(ISNUMBER(D115)),I115="",J115="",L115=""),"Missing date/amount/ref/details",IF(OR(COUNTIFS('Accounts'!$A$6:$A$105,Q115)&lt;&gt;1,COUNTIFS('Accounts'!$A$6:$A$105,R115)&lt;&gt;1,Q115=R115),"Check accounts/event",IF(AND(OR(Q115="Trade payables",R115="Trade payables",Q115="Customer receivables",R115="Customer receivables",Q115="Courier receivables",R115="Courier receivables",Q115="Supplier advances",R115="Supplier advances"),H115=""),"Contact ID required",IF(AND(N115="Approved",OR(M115="",M115=L115)),"Independent review needed",IF(OR(N115="Draft",N115="Approved",N115="Void"),"OK","Status required")))))))</x:f>
      </x:c>
    </x:row>
    <x:row r="116" ht="23" customHeight="1">
      <x:c r="A116" s="36"/>
      <x:c r="B116" s="40"/>
      <x:c r="C116" s="36"/>
      <x:c r="D116" s="41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42" t="str">
        <x:f>IF(A116="","",IF(COUNTIFS('Event Guide'!$A$6:$A$29,C116)=1,VLOOKUP(C116,'Event Guide'!$A$6:$C$29,2,FALSE),"Unknown event"))</x:f>
      </x:c>
      <x:c r="P116" s="42" t="str">
        <x:f>IF(A116="","",IF(COUNTIFS('Event Guide'!$A$6:$A$29,C116)=1,VLOOKUP(C116,'Event Guide'!$A$6:$C$29,3,FALSE),"Unknown event"))</x:f>
      </x:c>
      <x:c r="Q116" s="42" t="str">
        <x:f>IF(A116="","",IF(O116="PAY",E116,IF(O116="OTHER",F116,IF(O116="CAPITAL","Capital - "&amp;G116,IF(O116="DUE","Due to - "&amp;G116,IF(O116="DRAW","Drawings - "&amp;G116,O116))))))</x:f>
      </x:c>
      <x:c r="R116" s="42" t="str">
        <x:f>IF(A116="","",IF(P116="PAY",E116,IF(P116="OTHER",F116,IF(P116="CAPITAL","Capital - "&amp;G116,IF(P116="DUE","Due to - "&amp;G116,IF(P116="DRAW","Drawings - "&amp;G116,P116))))))</x:f>
      </x:c>
      <x:c r="S116" s="37" t="n">
        <x:f>IF(AND(N116="Approved",T116="OK"),D116,0)</x:f>
        <x:v>0</x:v>
      </x:c>
      <x:c r="T116" s="42" t="str">
        <x:f>IF(A116="","",IF(COUNTIFS($A$6:$A$505,A116)&lt;&gt;1,"Duplicate ID",IF(OR(NOT(ISNUMBER(B116)),D116&lt;=0,NOT(ISNUMBER(D116)),I116="",J116="",L116=""),"Missing date/amount/ref/details",IF(OR(COUNTIFS('Accounts'!$A$6:$A$105,Q116)&lt;&gt;1,COUNTIFS('Accounts'!$A$6:$A$105,R116)&lt;&gt;1,Q116=R116),"Check accounts/event",IF(AND(OR(Q116="Trade payables",R116="Trade payables",Q116="Customer receivables",R116="Customer receivables",Q116="Courier receivables",R116="Courier receivables",Q116="Supplier advances",R116="Supplier advances"),H116=""),"Contact ID required",IF(AND(N116="Approved",OR(M116="",M116=L116)),"Independent review needed",IF(OR(N116="Draft",N116="Approved",N116="Void"),"OK","Status required")))))))</x:f>
      </x:c>
    </x:row>
    <x:row r="117" ht="23" customHeight="1">
      <x:c r="A117" s="36"/>
      <x:c r="B117" s="40"/>
      <x:c r="C117" s="36"/>
      <x:c r="D117" s="41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42" t="str">
        <x:f>IF(A117="","",IF(COUNTIFS('Event Guide'!$A$6:$A$29,C117)=1,VLOOKUP(C117,'Event Guide'!$A$6:$C$29,2,FALSE),"Unknown event"))</x:f>
      </x:c>
      <x:c r="P117" s="42" t="str">
        <x:f>IF(A117="","",IF(COUNTIFS('Event Guide'!$A$6:$A$29,C117)=1,VLOOKUP(C117,'Event Guide'!$A$6:$C$29,3,FALSE),"Unknown event"))</x:f>
      </x:c>
      <x:c r="Q117" s="42" t="str">
        <x:f>IF(A117="","",IF(O117="PAY",E117,IF(O117="OTHER",F117,IF(O117="CAPITAL","Capital - "&amp;G117,IF(O117="DUE","Due to - "&amp;G117,IF(O117="DRAW","Drawings - "&amp;G117,O117))))))</x:f>
      </x:c>
      <x:c r="R117" s="42" t="str">
        <x:f>IF(A117="","",IF(P117="PAY",E117,IF(P117="OTHER",F117,IF(P117="CAPITAL","Capital - "&amp;G117,IF(P117="DUE","Due to - "&amp;G117,IF(P117="DRAW","Drawings - "&amp;G117,P117))))))</x:f>
      </x:c>
      <x:c r="S117" s="37" t="n">
        <x:f>IF(AND(N117="Approved",T117="OK"),D117,0)</x:f>
        <x:v>0</x:v>
      </x:c>
      <x:c r="T117" s="42" t="str">
        <x:f>IF(A117="","",IF(COUNTIFS($A$6:$A$505,A117)&lt;&gt;1,"Duplicate ID",IF(OR(NOT(ISNUMBER(B117)),D117&lt;=0,NOT(ISNUMBER(D117)),I117="",J117="",L117=""),"Missing date/amount/ref/details",IF(OR(COUNTIFS('Accounts'!$A$6:$A$105,Q117)&lt;&gt;1,COUNTIFS('Accounts'!$A$6:$A$105,R117)&lt;&gt;1,Q117=R117),"Check accounts/event",IF(AND(OR(Q117="Trade payables",R117="Trade payables",Q117="Customer receivables",R117="Customer receivables",Q117="Courier receivables",R117="Courier receivables",Q117="Supplier advances",R117="Supplier advances"),H117=""),"Contact ID required",IF(AND(N117="Approved",OR(M117="",M117=L117)),"Independent review needed",IF(OR(N117="Draft",N117="Approved",N117="Void"),"OK","Status required")))))))</x:f>
      </x:c>
    </x:row>
    <x:row r="118" ht="23" customHeight="1">
      <x:c r="A118" s="36"/>
      <x:c r="B118" s="40"/>
      <x:c r="C118" s="36"/>
      <x:c r="D118" s="41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42" t="str">
        <x:f>IF(A118="","",IF(COUNTIFS('Event Guide'!$A$6:$A$29,C118)=1,VLOOKUP(C118,'Event Guide'!$A$6:$C$29,2,FALSE),"Unknown event"))</x:f>
      </x:c>
      <x:c r="P118" s="42" t="str">
        <x:f>IF(A118="","",IF(COUNTIFS('Event Guide'!$A$6:$A$29,C118)=1,VLOOKUP(C118,'Event Guide'!$A$6:$C$29,3,FALSE),"Unknown event"))</x:f>
      </x:c>
      <x:c r="Q118" s="42" t="str">
        <x:f>IF(A118="","",IF(O118="PAY",E118,IF(O118="OTHER",F118,IF(O118="CAPITAL","Capital - "&amp;G118,IF(O118="DUE","Due to - "&amp;G118,IF(O118="DRAW","Drawings - "&amp;G118,O118))))))</x:f>
      </x:c>
      <x:c r="R118" s="42" t="str">
        <x:f>IF(A118="","",IF(P118="PAY",E118,IF(P118="OTHER",F118,IF(P118="CAPITAL","Capital - "&amp;G118,IF(P118="DUE","Due to - "&amp;G118,IF(P118="DRAW","Drawings - "&amp;G118,P118))))))</x:f>
      </x:c>
      <x:c r="S118" s="37" t="n">
        <x:f>IF(AND(N118="Approved",T118="OK"),D118,0)</x:f>
        <x:v>0</x:v>
      </x:c>
      <x:c r="T118" s="42" t="str">
        <x:f>IF(A118="","",IF(COUNTIFS($A$6:$A$505,A118)&lt;&gt;1,"Duplicate ID",IF(OR(NOT(ISNUMBER(B118)),D118&lt;=0,NOT(ISNUMBER(D118)),I118="",J118="",L118=""),"Missing date/amount/ref/details",IF(OR(COUNTIFS('Accounts'!$A$6:$A$105,Q118)&lt;&gt;1,COUNTIFS('Accounts'!$A$6:$A$105,R118)&lt;&gt;1,Q118=R118),"Check accounts/event",IF(AND(OR(Q118="Trade payables",R118="Trade payables",Q118="Customer receivables",R118="Customer receivables",Q118="Courier receivables",R118="Courier receivables",Q118="Supplier advances",R118="Supplier advances"),H118=""),"Contact ID required",IF(AND(N118="Approved",OR(M118="",M118=L118)),"Independent review needed",IF(OR(N118="Draft",N118="Approved",N118="Void"),"OK","Status required")))))))</x:f>
      </x:c>
    </x:row>
    <x:row r="119" ht="23" customHeight="1">
      <x:c r="A119" s="36"/>
      <x:c r="B119" s="40"/>
      <x:c r="C119" s="36"/>
      <x:c r="D119" s="41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42" t="str">
        <x:f>IF(A119="","",IF(COUNTIFS('Event Guide'!$A$6:$A$29,C119)=1,VLOOKUP(C119,'Event Guide'!$A$6:$C$29,2,FALSE),"Unknown event"))</x:f>
      </x:c>
      <x:c r="P119" s="42" t="str">
        <x:f>IF(A119="","",IF(COUNTIFS('Event Guide'!$A$6:$A$29,C119)=1,VLOOKUP(C119,'Event Guide'!$A$6:$C$29,3,FALSE),"Unknown event"))</x:f>
      </x:c>
      <x:c r="Q119" s="42" t="str">
        <x:f>IF(A119="","",IF(O119="PAY",E119,IF(O119="OTHER",F119,IF(O119="CAPITAL","Capital - "&amp;G119,IF(O119="DUE","Due to - "&amp;G119,IF(O119="DRAW","Drawings - "&amp;G119,O119))))))</x:f>
      </x:c>
      <x:c r="R119" s="42" t="str">
        <x:f>IF(A119="","",IF(P119="PAY",E119,IF(P119="OTHER",F119,IF(P119="CAPITAL","Capital - "&amp;G119,IF(P119="DUE","Due to - "&amp;G119,IF(P119="DRAW","Drawings - "&amp;G119,P119))))))</x:f>
      </x:c>
      <x:c r="S119" s="37" t="n">
        <x:f>IF(AND(N119="Approved",T119="OK"),D119,0)</x:f>
        <x:v>0</x:v>
      </x:c>
      <x:c r="T119" s="42" t="str">
        <x:f>IF(A119="","",IF(COUNTIFS($A$6:$A$505,A119)&lt;&gt;1,"Duplicate ID",IF(OR(NOT(ISNUMBER(B119)),D119&lt;=0,NOT(ISNUMBER(D119)),I119="",J119="",L119=""),"Missing date/amount/ref/details",IF(OR(COUNTIFS('Accounts'!$A$6:$A$105,Q119)&lt;&gt;1,COUNTIFS('Accounts'!$A$6:$A$105,R119)&lt;&gt;1,Q119=R119),"Check accounts/event",IF(AND(OR(Q119="Trade payables",R119="Trade payables",Q119="Customer receivables",R119="Customer receivables",Q119="Courier receivables",R119="Courier receivables",Q119="Supplier advances",R119="Supplier advances"),H119=""),"Contact ID required",IF(AND(N119="Approved",OR(M119="",M119=L119)),"Independent review needed",IF(OR(N119="Draft",N119="Approved",N119="Void"),"OK","Status required")))))))</x:f>
      </x:c>
    </x:row>
    <x:row r="120" ht="23" customHeight="1">
      <x:c r="A120" s="36"/>
      <x:c r="B120" s="40"/>
      <x:c r="C120" s="36"/>
      <x:c r="D120" s="41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42" t="str">
        <x:f>IF(A120="","",IF(COUNTIFS('Event Guide'!$A$6:$A$29,C120)=1,VLOOKUP(C120,'Event Guide'!$A$6:$C$29,2,FALSE),"Unknown event"))</x:f>
      </x:c>
      <x:c r="P120" s="42" t="str">
        <x:f>IF(A120="","",IF(COUNTIFS('Event Guide'!$A$6:$A$29,C120)=1,VLOOKUP(C120,'Event Guide'!$A$6:$C$29,3,FALSE),"Unknown event"))</x:f>
      </x:c>
      <x:c r="Q120" s="42" t="str">
        <x:f>IF(A120="","",IF(O120="PAY",E120,IF(O120="OTHER",F120,IF(O120="CAPITAL","Capital - "&amp;G120,IF(O120="DUE","Due to - "&amp;G120,IF(O120="DRAW","Drawings - "&amp;G120,O120))))))</x:f>
      </x:c>
      <x:c r="R120" s="42" t="str">
        <x:f>IF(A120="","",IF(P120="PAY",E120,IF(P120="OTHER",F120,IF(P120="CAPITAL","Capital - "&amp;G120,IF(P120="DUE","Due to - "&amp;G120,IF(P120="DRAW","Drawings - "&amp;G120,P120))))))</x:f>
      </x:c>
      <x:c r="S120" s="37" t="n">
        <x:f>IF(AND(N120="Approved",T120="OK"),D120,0)</x:f>
        <x:v>0</x:v>
      </x:c>
      <x:c r="T120" s="42" t="str">
        <x:f>IF(A120="","",IF(COUNTIFS($A$6:$A$505,A120)&lt;&gt;1,"Duplicate ID",IF(OR(NOT(ISNUMBER(B120)),D120&lt;=0,NOT(ISNUMBER(D120)),I120="",J120="",L120=""),"Missing date/amount/ref/details",IF(OR(COUNTIFS('Accounts'!$A$6:$A$105,Q120)&lt;&gt;1,COUNTIFS('Accounts'!$A$6:$A$105,R120)&lt;&gt;1,Q120=R120),"Check accounts/event",IF(AND(OR(Q120="Trade payables",R120="Trade payables",Q120="Customer receivables",R120="Customer receivables",Q120="Courier receivables",R120="Courier receivables",Q120="Supplier advances",R120="Supplier advances"),H120=""),"Contact ID required",IF(AND(N120="Approved",OR(M120="",M120=L120)),"Independent review needed",IF(OR(N120="Draft",N120="Approved",N120="Void"),"OK","Status required")))))))</x:f>
      </x:c>
    </x:row>
    <x:row r="121" ht="23" customHeight="1">
      <x:c r="A121" s="36"/>
      <x:c r="B121" s="40"/>
      <x:c r="C121" s="36"/>
      <x:c r="D121" s="41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42" t="str">
        <x:f>IF(A121="","",IF(COUNTIFS('Event Guide'!$A$6:$A$29,C121)=1,VLOOKUP(C121,'Event Guide'!$A$6:$C$29,2,FALSE),"Unknown event"))</x:f>
      </x:c>
      <x:c r="P121" s="42" t="str">
        <x:f>IF(A121="","",IF(COUNTIFS('Event Guide'!$A$6:$A$29,C121)=1,VLOOKUP(C121,'Event Guide'!$A$6:$C$29,3,FALSE),"Unknown event"))</x:f>
      </x:c>
      <x:c r="Q121" s="42" t="str">
        <x:f>IF(A121="","",IF(O121="PAY",E121,IF(O121="OTHER",F121,IF(O121="CAPITAL","Capital - "&amp;G121,IF(O121="DUE","Due to - "&amp;G121,IF(O121="DRAW","Drawings - "&amp;G121,O121))))))</x:f>
      </x:c>
      <x:c r="R121" s="42" t="str">
        <x:f>IF(A121="","",IF(P121="PAY",E121,IF(P121="OTHER",F121,IF(P121="CAPITAL","Capital - "&amp;G121,IF(P121="DUE","Due to - "&amp;G121,IF(P121="DRAW","Drawings - "&amp;G121,P121))))))</x:f>
      </x:c>
      <x:c r="S121" s="37" t="n">
        <x:f>IF(AND(N121="Approved",T121="OK"),D121,0)</x:f>
        <x:v>0</x:v>
      </x:c>
      <x:c r="T121" s="42" t="str">
        <x:f>IF(A121="","",IF(COUNTIFS($A$6:$A$505,A121)&lt;&gt;1,"Duplicate ID",IF(OR(NOT(ISNUMBER(B121)),D121&lt;=0,NOT(ISNUMBER(D121)),I121="",J121="",L121=""),"Missing date/amount/ref/details",IF(OR(COUNTIFS('Accounts'!$A$6:$A$105,Q121)&lt;&gt;1,COUNTIFS('Accounts'!$A$6:$A$105,R121)&lt;&gt;1,Q121=R121),"Check accounts/event",IF(AND(OR(Q121="Trade payables",R121="Trade payables",Q121="Customer receivables",R121="Customer receivables",Q121="Courier receivables",R121="Courier receivables",Q121="Supplier advances",R121="Supplier advances"),H121=""),"Contact ID required",IF(AND(N121="Approved",OR(M121="",M121=L121)),"Independent review needed",IF(OR(N121="Draft",N121="Approved",N121="Void"),"OK","Status required")))))))</x:f>
      </x:c>
    </x:row>
    <x:row r="122" ht="23" customHeight="1">
      <x:c r="A122" s="36"/>
      <x:c r="B122" s="40"/>
      <x:c r="C122" s="36"/>
      <x:c r="D122" s="41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42" t="str">
        <x:f>IF(A122="","",IF(COUNTIFS('Event Guide'!$A$6:$A$29,C122)=1,VLOOKUP(C122,'Event Guide'!$A$6:$C$29,2,FALSE),"Unknown event"))</x:f>
      </x:c>
      <x:c r="P122" s="42" t="str">
        <x:f>IF(A122="","",IF(COUNTIFS('Event Guide'!$A$6:$A$29,C122)=1,VLOOKUP(C122,'Event Guide'!$A$6:$C$29,3,FALSE),"Unknown event"))</x:f>
      </x:c>
      <x:c r="Q122" s="42" t="str">
        <x:f>IF(A122="","",IF(O122="PAY",E122,IF(O122="OTHER",F122,IF(O122="CAPITAL","Capital - "&amp;G122,IF(O122="DUE","Due to - "&amp;G122,IF(O122="DRAW","Drawings - "&amp;G122,O122))))))</x:f>
      </x:c>
      <x:c r="R122" s="42" t="str">
        <x:f>IF(A122="","",IF(P122="PAY",E122,IF(P122="OTHER",F122,IF(P122="CAPITAL","Capital - "&amp;G122,IF(P122="DUE","Due to - "&amp;G122,IF(P122="DRAW","Drawings - "&amp;G122,P122))))))</x:f>
      </x:c>
      <x:c r="S122" s="37" t="n">
        <x:f>IF(AND(N122="Approved",T122="OK"),D122,0)</x:f>
        <x:v>0</x:v>
      </x:c>
      <x:c r="T122" s="42" t="str">
        <x:f>IF(A122="","",IF(COUNTIFS($A$6:$A$505,A122)&lt;&gt;1,"Duplicate ID",IF(OR(NOT(ISNUMBER(B122)),D122&lt;=0,NOT(ISNUMBER(D122)),I122="",J122="",L122=""),"Missing date/amount/ref/details",IF(OR(COUNTIFS('Accounts'!$A$6:$A$105,Q122)&lt;&gt;1,COUNTIFS('Accounts'!$A$6:$A$105,R122)&lt;&gt;1,Q122=R122),"Check accounts/event",IF(AND(OR(Q122="Trade payables",R122="Trade payables",Q122="Customer receivables",R122="Customer receivables",Q122="Courier receivables",R122="Courier receivables",Q122="Supplier advances",R122="Supplier advances"),H122=""),"Contact ID required",IF(AND(N122="Approved",OR(M122="",M122=L122)),"Independent review needed",IF(OR(N122="Draft",N122="Approved",N122="Void"),"OK","Status required")))))))</x:f>
      </x:c>
    </x:row>
    <x:row r="123" ht="23" customHeight="1">
      <x:c r="A123" s="36"/>
      <x:c r="B123" s="40"/>
      <x:c r="C123" s="36"/>
      <x:c r="D123" s="41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42" t="str">
        <x:f>IF(A123="","",IF(COUNTIFS('Event Guide'!$A$6:$A$29,C123)=1,VLOOKUP(C123,'Event Guide'!$A$6:$C$29,2,FALSE),"Unknown event"))</x:f>
      </x:c>
      <x:c r="P123" s="42" t="str">
        <x:f>IF(A123="","",IF(COUNTIFS('Event Guide'!$A$6:$A$29,C123)=1,VLOOKUP(C123,'Event Guide'!$A$6:$C$29,3,FALSE),"Unknown event"))</x:f>
      </x:c>
      <x:c r="Q123" s="42" t="str">
        <x:f>IF(A123="","",IF(O123="PAY",E123,IF(O123="OTHER",F123,IF(O123="CAPITAL","Capital - "&amp;G123,IF(O123="DUE","Due to - "&amp;G123,IF(O123="DRAW","Drawings - "&amp;G123,O123))))))</x:f>
      </x:c>
      <x:c r="R123" s="42" t="str">
        <x:f>IF(A123="","",IF(P123="PAY",E123,IF(P123="OTHER",F123,IF(P123="CAPITAL","Capital - "&amp;G123,IF(P123="DUE","Due to - "&amp;G123,IF(P123="DRAW","Drawings - "&amp;G123,P123))))))</x:f>
      </x:c>
      <x:c r="S123" s="37" t="n">
        <x:f>IF(AND(N123="Approved",T123="OK"),D123,0)</x:f>
        <x:v>0</x:v>
      </x:c>
      <x:c r="T123" s="42" t="str">
        <x:f>IF(A123="","",IF(COUNTIFS($A$6:$A$505,A123)&lt;&gt;1,"Duplicate ID",IF(OR(NOT(ISNUMBER(B123)),D123&lt;=0,NOT(ISNUMBER(D123)),I123="",J123="",L123=""),"Missing date/amount/ref/details",IF(OR(COUNTIFS('Accounts'!$A$6:$A$105,Q123)&lt;&gt;1,COUNTIFS('Accounts'!$A$6:$A$105,R123)&lt;&gt;1,Q123=R123),"Check accounts/event",IF(AND(OR(Q123="Trade payables",R123="Trade payables",Q123="Customer receivables",R123="Customer receivables",Q123="Courier receivables",R123="Courier receivables",Q123="Supplier advances",R123="Supplier advances"),H123=""),"Contact ID required",IF(AND(N123="Approved",OR(M123="",M123=L123)),"Independent review needed",IF(OR(N123="Draft",N123="Approved",N123="Void"),"OK","Status required")))))))</x:f>
      </x:c>
    </x:row>
    <x:row r="124" ht="23" customHeight="1">
      <x:c r="A124" s="36"/>
      <x:c r="B124" s="40"/>
      <x:c r="C124" s="36"/>
      <x:c r="D124" s="41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42" t="str">
        <x:f>IF(A124="","",IF(COUNTIFS('Event Guide'!$A$6:$A$29,C124)=1,VLOOKUP(C124,'Event Guide'!$A$6:$C$29,2,FALSE),"Unknown event"))</x:f>
      </x:c>
      <x:c r="P124" s="42" t="str">
        <x:f>IF(A124="","",IF(COUNTIFS('Event Guide'!$A$6:$A$29,C124)=1,VLOOKUP(C124,'Event Guide'!$A$6:$C$29,3,FALSE),"Unknown event"))</x:f>
      </x:c>
      <x:c r="Q124" s="42" t="str">
        <x:f>IF(A124="","",IF(O124="PAY",E124,IF(O124="OTHER",F124,IF(O124="CAPITAL","Capital - "&amp;G124,IF(O124="DUE","Due to - "&amp;G124,IF(O124="DRAW","Drawings - "&amp;G124,O124))))))</x:f>
      </x:c>
      <x:c r="R124" s="42" t="str">
        <x:f>IF(A124="","",IF(P124="PAY",E124,IF(P124="OTHER",F124,IF(P124="CAPITAL","Capital - "&amp;G124,IF(P124="DUE","Due to - "&amp;G124,IF(P124="DRAW","Drawings - "&amp;G124,P124))))))</x:f>
      </x:c>
      <x:c r="S124" s="37" t="n">
        <x:f>IF(AND(N124="Approved",T124="OK"),D124,0)</x:f>
        <x:v>0</x:v>
      </x:c>
      <x:c r="T124" s="42" t="str">
        <x:f>IF(A124="","",IF(COUNTIFS($A$6:$A$505,A124)&lt;&gt;1,"Duplicate ID",IF(OR(NOT(ISNUMBER(B124)),D124&lt;=0,NOT(ISNUMBER(D124)),I124="",J124="",L124=""),"Missing date/amount/ref/details",IF(OR(COUNTIFS('Accounts'!$A$6:$A$105,Q124)&lt;&gt;1,COUNTIFS('Accounts'!$A$6:$A$105,R124)&lt;&gt;1,Q124=R124),"Check accounts/event",IF(AND(OR(Q124="Trade payables",R124="Trade payables",Q124="Customer receivables",R124="Customer receivables",Q124="Courier receivables",R124="Courier receivables",Q124="Supplier advances",R124="Supplier advances"),H124=""),"Contact ID required",IF(AND(N124="Approved",OR(M124="",M124=L124)),"Independent review needed",IF(OR(N124="Draft",N124="Approved",N124="Void"),"OK","Status required")))))))</x:f>
      </x:c>
    </x:row>
    <x:row r="125" ht="23" customHeight="1">
      <x:c r="A125" s="36"/>
      <x:c r="B125" s="40"/>
      <x:c r="C125" s="36"/>
      <x:c r="D125" s="41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42" t="str">
        <x:f>IF(A125="","",IF(COUNTIFS('Event Guide'!$A$6:$A$29,C125)=1,VLOOKUP(C125,'Event Guide'!$A$6:$C$29,2,FALSE),"Unknown event"))</x:f>
      </x:c>
      <x:c r="P125" s="42" t="str">
        <x:f>IF(A125="","",IF(COUNTIFS('Event Guide'!$A$6:$A$29,C125)=1,VLOOKUP(C125,'Event Guide'!$A$6:$C$29,3,FALSE),"Unknown event"))</x:f>
      </x:c>
      <x:c r="Q125" s="42" t="str">
        <x:f>IF(A125="","",IF(O125="PAY",E125,IF(O125="OTHER",F125,IF(O125="CAPITAL","Capital - "&amp;G125,IF(O125="DUE","Due to - "&amp;G125,IF(O125="DRAW","Drawings - "&amp;G125,O125))))))</x:f>
      </x:c>
      <x:c r="R125" s="42" t="str">
        <x:f>IF(A125="","",IF(P125="PAY",E125,IF(P125="OTHER",F125,IF(P125="CAPITAL","Capital - "&amp;G125,IF(P125="DUE","Due to - "&amp;G125,IF(P125="DRAW","Drawings - "&amp;G125,P125))))))</x:f>
      </x:c>
      <x:c r="S125" s="37" t="n">
        <x:f>IF(AND(N125="Approved",T125="OK"),D125,0)</x:f>
        <x:v>0</x:v>
      </x:c>
      <x:c r="T125" s="42" t="str">
        <x:f>IF(A125="","",IF(COUNTIFS($A$6:$A$505,A125)&lt;&gt;1,"Duplicate ID",IF(OR(NOT(ISNUMBER(B125)),D125&lt;=0,NOT(ISNUMBER(D125)),I125="",J125="",L125=""),"Missing date/amount/ref/details",IF(OR(COUNTIFS('Accounts'!$A$6:$A$105,Q125)&lt;&gt;1,COUNTIFS('Accounts'!$A$6:$A$105,R125)&lt;&gt;1,Q125=R125),"Check accounts/event",IF(AND(OR(Q125="Trade payables",R125="Trade payables",Q125="Customer receivables",R125="Customer receivables",Q125="Courier receivables",R125="Courier receivables",Q125="Supplier advances",R125="Supplier advances"),H125=""),"Contact ID required",IF(AND(N125="Approved",OR(M125="",M125=L125)),"Independent review needed",IF(OR(N125="Draft",N125="Approved",N125="Void"),"OK","Status required")))))))</x:f>
      </x:c>
    </x:row>
    <x:row r="126" ht="23" customHeight="1">
      <x:c r="A126" s="36"/>
      <x:c r="B126" s="40"/>
      <x:c r="C126" s="36"/>
      <x:c r="D126" s="41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42" t="str">
        <x:f>IF(A126="","",IF(COUNTIFS('Event Guide'!$A$6:$A$29,C126)=1,VLOOKUP(C126,'Event Guide'!$A$6:$C$29,2,FALSE),"Unknown event"))</x:f>
      </x:c>
      <x:c r="P126" s="42" t="str">
        <x:f>IF(A126="","",IF(COUNTIFS('Event Guide'!$A$6:$A$29,C126)=1,VLOOKUP(C126,'Event Guide'!$A$6:$C$29,3,FALSE),"Unknown event"))</x:f>
      </x:c>
      <x:c r="Q126" s="42" t="str">
        <x:f>IF(A126="","",IF(O126="PAY",E126,IF(O126="OTHER",F126,IF(O126="CAPITAL","Capital - "&amp;G126,IF(O126="DUE","Due to - "&amp;G126,IF(O126="DRAW","Drawings - "&amp;G126,O126))))))</x:f>
      </x:c>
      <x:c r="R126" s="42" t="str">
        <x:f>IF(A126="","",IF(P126="PAY",E126,IF(P126="OTHER",F126,IF(P126="CAPITAL","Capital - "&amp;G126,IF(P126="DUE","Due to - "&amp;G126,IF(P126="DRAW","Drawings - "&amp;G126,P126))))))</x:f>
      </x:c>
      <x:c r="S126" s="37" t="n">
        <x:f>IF(AND(N126="Approved",T126="OK"),D126,0)</x:f>
        <x:v>0</x:v>
      </x:c>
      <x:c r="T126" s="42" t="str">
        <x:f>IF(A126="","",IF(COUNTIFS($A$6:$A$505,A126)&lt;&gt;1,"Duplicate ID",IF(OR(NOT(ISNUMBER(B126)),D126&lt;=0,NOT(ISNUMBER(D126)),I126="",J126="",L126=""),"Missing date/amount/ref/details",IF(OR(COUNTIFS('Accounts'!$A$6:$A$105,Q126)&lt;&gt;1,COUNTIFS('Accounts'!$A$6:$A$105,R126)&lt;&gt;1,Q126=R126),"Check accounts/event",IF(AND(OR(Q126="Trade payables",R126="Trade payables",Q126="Customer receivables",R126="Customer receivables",Q126="Courier receivables",R126="Courier receivables",Q126="Supplier advances",R126="Supplier advances"),H126=""),"Contact ID required",IF(AND(N126="Approved",OR(M126="",M126=L126)),"Independent review needed",IF(OR(N126="Draft",N126="Approved",N126="Void"),"OK","Status required")))))))</x:f>
      </x:c>
    </x:row>
    <x:row r="127" ht="23" customHeight="1">
      <x:c r="A127" s="36"/>
      <x:c r="B127" s="40"/>
      <x:c r="C127" s="36"/>
      <x:c r="D127" s="41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42" t="str">
        <x:f>IF(A127="","",IF(COUNTIFS('Event Guide'!$A$6:$A$29,C127)=1,VLOOKUP(C127,'Event Guide'!$A$6:$C$29,2,FALSE),"Unknown event"))</x:f>
      </x:c>
      <x:c r="P127" s="42" t="str">
        <x:f>IF(A127="","",IF(COUNTIFS('Event Guide'!$A$6:$A$29,C127)=1,VLOOKUP(C127,'Event Guide'!$A$6:$C$29,3,FALSE),"Unknown event"))</x:f>
      </x:c>
      <x:c r="Q127" s="42" t="str">
        <x:f>IF(A127="","",IF(O127="PAY",E127,IF(O127="OTHER",F127,IF(O127="CAPITAL","Capital - "&amp;G127,IF(O127="DUE","Due to - "&amp;G127,IF(O127="DRAW","Drawings - "&amp;G127,O127))))))</x:f>
      </x:c>
      <x:c r="R127" s="42" t="str">
        <x:f>IF(A127="","",IF(P127="PAY",E127,IF(P127="OTHER",F127,IF(P127="CAPITAL","Capital - "&amp;G127,IF(P127="DUE","Due to - "&amp;G127,IF(P127="DRAW","Drawings - "&amp;G127,P127))))))</x:f>
      </x:c>
      <x:c r="S127" s="37" t="n">
        <x:f>IF(AND(N127="Approved",T127="OK"),D127,0)</x:f>
        <x:v>0</x:v>
      </x:c>
      <x:c r="T127" s="42" t="str">
        <x:f>IF(A127="","",IF(COUNTIFS($A$6:$A$505,A127)&lt;&gt;1,"Duplicate ID",IF(OR(NOT(ISNUMBER(B127)),D127&lt;=0,NOT(ISNUMBER(D127)),I127="",J127="",L127=""),"Missing date/amount/ref/details",IF(OR(COUNTIFS('Accounts'!$A$6:$A$105,Q127)&lt;&gt;1,COUNTIFS('Accounts'!$A$6:$A$105,R127)&lt;&gt;1,Q127=R127),"Check accounts/event",IF(AND(OR(Q127="Trade payables",R127="Trade payables",Q127="Customer receivables",R127="Customer receivables",Q127="Courier receivables",R127="Courier receivables",Q127="Supplier advances",R127="Supplier advances"),H127=""),"Contact ID required",IF(AND(N127="Approved",OR(M127="",M127=L127)),"Independent review needed",IF(OR(N127="Draft",N127="Approved",N127="Void"),"OK","Status required")))))))</x:f>
      </x:c>
    </x:row>
    <x:row r="128" ht="23" customHeight="1">
      <x:c r="A128" s="36"/>
      <x:c r="B128" s="40"/>
      <x:c r="C128" s="36"/>
      <x:c r="D128" s="41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42" t="str">
        <x:f>IF(A128="","",IF(COUNTIFS('Event Guide'!$A$6:$A$29,C128)=1,VLOOKUP(C128,'Event Guide'!$A$6:$C$29,2,FALSE),"Unknown event"))</x:f>
      </x:c>
      <x:c r="P128" s="42" t="str">
        <x:f>IF(A128="","",IF(COUNTIFS('Event Guide'!$A$6:$A$29,C128)=1,VLOOKUP(C128,'Event Guide'!$A$6:$C$29,3,FALSE),"Unknown event"))</x:f>
      </x:c>
      <x:c r="Q128" s="42" t="str">
        <x:f>IF(A128="","",IF(O128="PAY",E128,IF(O128="OTHER",F128,IF(O128="CAPITAL","Capital - "&amp;G128,IF(O128="DUE","Due to - "&amp;G128,IF(O128="DRAW","Drawings - "&amp;G128,O128))))))</x:f>
      </x:c>
      <x:c r="R128" s="42" t="str">
        <x:f>IF(A128="","",IF(P128="PAY",E128,IF(P128="OTHER",F128,IF(P128="CAPITAL","Capital - "&amp;G128,IF(P128="DUE","Due to - "&amp;G128,IF(P128="DRAW","Drawings - "&amp;G128,P128))))))</x:f>
      </x:c>
      <x:c r="S128" s="37" t="n">
        <x:f>IF(AND(N128="Approved",T128="OK"),D128,0)</x:f>
        <x:v>0</x:v>
      </x:c>
      <x:c r="T128" s="42" t="str">
        <x:f>IF(A128="","",IF(COUNTIFS($A$6:$A$505,A128)&lt;&gt;1,"Duplicate ID",IF(OR(NOT(ISNUMBER(B128)),D128&lt;=0,NOT(ISNUMBER(D128)),I128="",J128="",L128=""),"Missing date/amount/ref/details",IF(OR(COUNTIFS('Accounts'!$A$6:$A$105,Q128)&lt;&gt;1,COUNTIFS('Accounts'!$A$6:$A$105,R128)&lt;&gt;1,Q128=R128),"Check accounts/event",IF(AND(OR(Q128="Trade payables",R128="Trade payables",Q128="Customer receivables",R128="Customer receivables",Q128="Courier receivables",R128="Courier receivables",Q128="Supplier advances",R128="Supplier advances"),H128=""),"Contact ID required",IF(AND(N128="Approved",OR(M128="",M128=L128)),"Independent review needed",IF(OR(N128="Draft",N128="Approved",N128="Void"),"OK","Status required")))))))</x:f>
      </x:c>
    </x:row>
    <x:row r="129" ht="23" customHeight="1">
      <x:c r="A129" s="36"/>
      <x:c r="B129" s="40"/>
      <x:c r="C129" s="36"/>
      <x:c r="D129" s="41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42" t="str">
        <x:f>IF(A129="","",IF(COUNTIFS('Event Guide'!$A$6:$A$29,C129)=1,VLOOKUP(C129,'Event Guide'!$A$6:$C$29,2,FALSE),"Unknown event"))</x:f>
      </x:c>
      <x:c r="P129" s="42" t="str">
        <x:f>IF(A129="","",IF(COUNTIFS('Event Guide'!$A$6:$A$29,C129)=1,VLOOKUP(C129,'Event Guide'!$A$6:$C$29,3,FALSE),"Unknown event"))</x:f>
      </x:c>
      <x:c r="Q129" s="42" t="str">
        <x:f>IF(A129="","",IF(O129="PAY",E129,IF(O129="OTHER",F129,IF(O129="CAPITAL","Capital - "&amp;G129,IF(O129="DUE","Due to - "&amp;G129,IF(O129="DRAW","Drawings - "&amp;G129,O129))))))</x:f>
      </x:c>
      <x:c r="R129" s="42" t="str">
        <x:f>IF(A129="","",IF(P129="PAY",E129,IF(P129="OTHER",F129,IF(P129="CAPITAL","Capital - "&amp;G129,IF(P129="DUE","Due to - "&amp;G129,IF(P129="DRAW","Drawings - "&amp;G129,P129))))))</x:f>
      </x:c>
      <x:c r="S129" s="37" t="n">
        <x:f>IF(AND(N129="Approved",T129="OK"),D129,0)</x:f>
        <x:v>0</x:v>
      </x:c>
      <x:c r="T129" s="42" t="str">
        <x:f>IF(A129="","",IF(COUNTIFS($A$6:$A$505,A129)&lt;&gt;1,"Duplicate ID",IF(OR(NOT(ISNUMBER(B129)),D129&lt;=0,NOT(ISNUMBER(D129)),I129="",J129="",L129=""),"Missing date/amount/ref/details",IF(OR(COUNTIFS('Accounts'!$A$6:$A$105,Q129)&lt;&gt;1,COUNTIFS('Accounts'!$A$6:$A$105,R129)&lt;&gt;1,Q129=R129),"Check accounts/event",IF(AND(OR(Q129="Trade payables",R129="Trade payables",Q129="Customer receivables",R129="Customer receivables",Q129="Courier receivables",R129="Courier receivables",Q129="Supplier advances",R129="Supplier advances"),H129=""),"Contact ID required",IF(AND(N129="Approved",OR(M129="",M129=L129)),"Independent review needed",IF(OR(N129="Draft",N129="Approved",N129="Void"),"OK","Status required")))))))</x:f>
      </x:c>
    </x:row>
    <x:row r="130" ht="23" customHeight="1">
      <x:c r="A130" s="36"/>
      <x:c r="B130" s="40"/>
      <x:c r="C130" s="36"/>
      <x:c r="D130" s="41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42" t="str">
        <x:f>IF(A130="","",IF(COUNTIFS('Event Guide'!$A$6:$A$29,C130)=1,VLOOKUP(C130,'Event Guide'!$A$6:$C$29,2,FALSE),"Unknown event"))</x:f>
      </x:c>
      <x:c r="P130" s="42" t="str">
        <x:f>IF(A130="","",IF(COUNTIFS('Event Guide'!$A$6:$A$29,C130)=1,VLOOKUP(C130,'Event Guide'!$A$6:$C$29,3,FALSE),"Unknown event"))</x:f>
      </x:c>
      <x:c r="Q130" s="42" t="str">
        <x:f>IF(A130="","",IF(O130="PAY",E130,IF(O130="OTHER",F130,IF(O130="CAPITAL","Capital - "&amp;G130,IF(O130="DUE","Due to - "&amp;G130,IF(O130="DRAW","Drawings - "&amp;G130,O130))))))</x:f>
      </x:c>
      <x:c r="R130" s="42" t="str">
        <x:f>IF(A130="","",IF(P130="PAY",E130,IF(P130="OTHER",F130,IF(P130="CAPITAL","Capital - "&amp;G130,IF(P130="DUE","Due to - "&amp;G130,IF(P130="DRAW","Drawings - "&amp;G130,P130))))))</x:f>
      </x:c>
      <x:c r="S130" s="37" t="n">
        <x:f>IF(AND(N130="Approved",T130="OK"),D130,0)</x:f>
        <x:v>0</x:v>
      </x:c>
      <x:c r="T130" s="42" t="str">
        <x:f>IF(A130="","",IF(COUNTIFS($A$6:$A$505,A130)&lt;&gt;1,"Duplicate ID",IF(OR(NOT(ISNUMBER(B130)),D130&lt;=0,NOT(ISNUMBER(D130)),I130="",J130="",L130=""),"Missing date/amount/ref/details",IF(OR(COUNTIFS('Accounts'!$A$6:$A$105,Q130)&lt;&gt;1,COUNTIFS('Accounts'!$A$6:$A$105,R130)&lt;&gt;1,Q130=R130),"Check accounts/event",IF(AND(OR(Q130="Trade payables",R130="Trade payables",Q130="Customer receivables",R130="Customer receivables",Q130="Courier receivables",R130="Courier receivables",Q130="Supplier advances",R130="Supplier advances"),H130=""),"Contact ID required",IF(AND(N130="Approved",OR(M130="",M130=L130)),"Independent review needed",IF(OR(N130="Draft",N130="Approved",N130="Void"),"OK","Status required")))))))</x:f>
      </x:c>
    </x:row>
    <x:row r="131" ht="23" customHeight="1">
      <x:c r="A131" s="36"/>
      <x:c r="B131" s="40"/>
      <x:c r="C131" s="36"/>
      <x:c r="D131" s="41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42" t="str">
        <x:f>IF(A131="","",IF(COUNTIFS('Event Guide'!$A$6:$A$29,C131)=1,VLOOKUP(C131,'Event Guide'!$A$6:$C$29,2,FALSE),"Unknown event"))</x:f>
      </x:c>
      <x:c r="P131" s="42" t="str">
        <x:f>IF(A131="","",IF(COUNTIFS('Event Guide'!$A$6:$A$29,C131)=1,VLOOKUP(C131,'Event Guide'!$A$6:$C$29,3,FALSE),"Unknown event"))</x:f>
      </x:c>
      <x:c r="Q131" s="42" t="str">
        <x:f>IF(A131="","",IF(O131="PAY",E131,IF(O131="OTHER",F131,IF(O131="CAPITAL","Capital - "&amp;G131,IF(O131="DUE","Due to - "&amp;G131,IF(O131="DRAW","Drawings - "&amp;G131,O131))))))</x:f>
      </x:c>
      <x:c r="R131" s="42" t="str">
        <x:f>IF(A131="","",IF(P131="PAY",E131,IF(P131="OTHER",F131,IF(P131="CAPITAL","Capital - "&amp;G131,IF(P131="DUE","Due to - "&amp;G131,IF(P131="DRAW","Drawings - "&amp;G131,P131))))))</x:f>
      </x:c>
      <x:c r="S131" s="37" t="n">
        <x:f>IF(AND(N131="Approved",T131="OK"),D131,0)</x:f>
        <x:v>0</x:v>
      </x:c>
      <x:c r="T131" s="42" t="str">
        <x:f>IF(A131="","",IF(COUNTIFS($A$6:$A$505,A131)&lt;&gt;1,"Duplicate ID",IF(OR(NOT(ISNUMBER(B131)),D131&lt;=0,NOT(ISNUMBER(D131)),I131="",J131="",L131=""),"Missing date/amount/ref/details",IF(OR(COUNTIFS('Accounts'!$A$6:$A$105,Q131)&lt;&gt;1,COUNTIFS('Accounts'!$A$6:$A$105,R131)&lt;&gt;1,Q131=R131),"Check accounts/event",IF(AND(OR(Q131="Trade payables",R131="Trade payables",Q131="Customer receivables",R131="Customer receivables",Q131="Courier receivables",R131="Courier receivables",Q131="Supplier advances",R131="Supplier advances"),H131=""),"Contact ID required",IF(AND(N131="Approved",OR(M131="",M131=L131)),"Independent review needed",IF(OR(N131="Draft",N131="Approved",N131="Void"),"OK","Status required")))))))</x:f>
      </x:c>
    </x:row>
    <x:row r="132" ht="23" customHeight="1">
      <x:c r="A132" s="36"/>
      <x:c r="B132" s="40"/>
      <x:c r="C132" s="36"/>
      <x:c r="D132" s="41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42" t="str">
        <x:f>IF(A132="","",IF(COUNTIFS('Event Guide'!$A$6:$A$29,C132)=1,VLOOKUP(C132,'Event Guide'!$A$6:$C$29,2,FALSE),"Unknown event"))</x:f>
      </x:c>
      <x:c r="P132" s="42" t="str">
        <x:f>IF(A132="","",IF(COUNTIFS('Event Guide'!$A$6:$A$29,C132)=1,VLOOKUP(C132,'Event Guide'!$A$6:$C$29,3,FALSE),"Unknown event"))</x:f>
      </x:c>
      <x:c r="Q132" s="42" t="str">
        <x:f>IF(A132="","",IF(O132="PAY",E132,IF(O132="OTHER",F132,IF(O132="CAPITAL","Capital - "&amp;G132,IF(O132="DUE","Due to - "&amp;G132,IF(O132="DRAW","Drawings - "&amp;G132,O132))))))</x:f>
      </x:c>
      <x:c r="R132" s="42" t="str">
        <x:f>IF(A132="","",IF(P132="PAY",E132,IF(P132="OTHER",F132,IF(P132="CAPITAL","Capital - "&amp;G132,IF(P132="DUE","Due to - "&amp;G132,IF(P132="DRAW","Drawings - "&amp;G132,P132))))))</x:f>
      </x:c>
      <x:c r="S132" s="37" t="n">
        <x:f>IF(AND(N132="Approved",T132="OK"),D132,0)</x:f>
        <x:v>0</x:v>
      </x:c>
      <x:c r="T132" s="42" t="str">
        <x:f>IF(A132="","",IF(COUNTIFS($A$6:$A$505,A132)&lt;&gt;1,"Duplicate ID",IF(OR(NOT(ISNUMBER(B132)),D132&lt;=0,NOT(ISNUMBER(D132)),I132="",J132="",L132=""),"Missing date/amount/ref/details",IF(OR(COUNTIFS('Accounts'!$A$6:$A$105,Q132)&lt;&gt;1,COUNTIFS('Accounts'!$A$6:$A$105,R132)&lt;&gt;1,Q132=R132),"Check accounts/event",IF(AND(OR(Q132="Trade payables",R132="Trade payables",Q132="Customer receivables",R132="Customer receivables",Q132="Courier receivables",R132="Courier receivables",Q132="Supplier advances",R132="Supplier advances"),H132=""),"Contact ID required",IF(AND(N132="Approved",OR(M132="",M132=L132)),"Independent review needed",IF(OR(N132="Draft",N132="Approved",N132="Void"),"OK","Status required")))))))</x:f>
      </x:c>
    </x:row>
    <x:row r="133" ht="23" customHeight="1">
      <x:c r="A133" s="36"/>
      <x:c r="B133" s="40"/>
      <x:c r="C133" s="36"/>
      <x:c r="D133" s="41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42" t="str">
        <x:f>IF(A133="","",IF(COUNTIFS('Event Guide'!$A$6:$A$29,C133)=1,VLOOKUP(C133,'Event Guide'!$A$6:$C$29,2,FALSE),"Unknown event"))</x:f>
      </x:c>
      <x:c r="P133" s="42" t="str">
        <x:f>IF(A133="","",IF(COUNTIFS('Event Guide'!$A$6:$A$29,C133)=1,VLOOKUP(C133,'Event Guide'!$A$6:$C$29,3,FALSE),"Unknown event"))</x:f>
      </x:c>
      <x:c r="Q133" s="42" t="str">
        <x:f>IF(A133="","",IF(O133="PAY",E133,IF(O133="OTHER",F133,IF(O133="CAPITAL","Capital - "&amp;G133,IF(O133="DUE","Due to - "&amp;G133,IF(O133="DRAW","Drawings - "&amp;G133,O133))))))</x:f>
      </x:c>
      <x:c r="R133" s="42" t="str">
        <x:f>IF(A133="","",IF(P133="PAY",E133,IF(P133="OTHER",F133,IF(P133="CAPITAL","Capital - "&amp;G133,IF(P133="DUE","Due to - "&amp;G133,IF(P133="DRAW","Drawings - "&amp;G133,P133))))))</x:f>
      </x:c>
      <x:c r="S133" s="37" t="n">
        <x:f>IF(AND(N133="Approved",T133="OK"),D133,0)</x:f>
        <x:v>0</x:v>
      </x:c>
      <x:c r="T133" s="42" t="str">
        <x:f>IF(A133="","",IF(COUNTIFS($A$6:$A$505,A133)&lt;&gt;1,"Duplicate ID",IF(OR(NOT(ISNUMBER(B133)),D133&lt;=0,NOT(ISNUMBER(D133)),I133="",J133="",L133=""),"Missing date/amount/ref/details",IF(OR(COUNTIFS('Accounts'!$A$6:$A$105,Q133)&lt;&gt;1,COUNTIFS('Accounts'!$A$6:$A$105,R133)&lt;&gt;1,Q133=R133),"Check accounts/event",IF(AND(OR(Q133="Trade payables",R133="Trade payables",Q133="Customer receivables",R133="Customer receivables",Q133="Courier receivables",R133="Courier receivables",Q133="Supplier advances",R133="Supplier advances"),H133=""),"Contact ID required",IF(AND(N133="Approved",OR(M133="",M133=L133)),"Independent review needed",IF(OR(N133="Draft",N133="Approved",N133="Void"),"OK","Status required")))))))</x:f>
      </x:c>
    </x:row>
    <x:row r="134" ht="23" customHeight="1">
      <x:c r="A134" s="36"/>
      <x:c r="B134" s="40"/>
      <x:c r="C134" s="36"/>
      <x:c r="D134" s="41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42" t="str">
        <x:f>IF(A134="","",IF(COUNTIFS('Event Guide'!$A$6:$A$29,C134)=1,VLOOKUP(C134,'Event Guide'!$A$6:$C$29,2,FALSE),"Unknown event"))</x:f>
      </x:c>
      <x:c r="P134" s="42" t="str">
        <x:f>IF(A134="","",IF(COUNTIFS('Event Guide'!$A$6:$A$29,C134)=1,VLOOKUP(C134,'Event Guide'!$A$6:$C$29,3,FALSE),"Unknown event"))</x:f>
      </x:c>
      <x:c r="Q134" s="42" t="str">
        <x:f>IF(A134="","",IF(O134="PAY",E134,IF(O134="OTHER",F134,IF(O134="CAPITAL","Capital - "&amp;G134,IF(O134="DUE","Due to - "&amp;G134,IF(O134="DRAW","Drawings - "&amp;G134,O134))))))</x:f>
      </x:c>
      <x:c r="R134" s="42" t="str">
        <x:f>IF(A134="","",IF(P134="PAY",E134,IF(P134="OTHER",F134,IF(P134="CAPITAL","Capital - "&amp;G134,IF(P134="DUE","Due to - "&amp;G134,IF(P134="DRAW","Drawings - "&amp;G134,P134))))))</x:f>
      </x:c>
      <x:c r="S134" s="37" t="n">
        <x:f>IF(AND(N134="Approved",T134="OK"),D134,0)</x:f>
        <x:v>0</x:v>
      </x:c>
      <x:c r="T134" s="42" t="str">
        <x:f>IF(A134="","",IF(COUNTIFS($A$6:$A$505,A134)&lt;&gt;1,"Duplicate ID",IF(OR(NOT(ISNUMBER(B134)),D134&lt;=0,NOT(ISNUMBER(D134)),I134="",J134="",L134=""),"Missing date/amount/ref/details",IF(OR(COUNTIFS('Accounts'!$A$6:$A$105,Q134)&lt;&gt;1,COUNTIFS('Accounts'!$A$6:$A$105,R134)&lt;&gt;1,Q134=R134),"Check accounts/event",IF(AND(OR(Q134="Trade payables",R134="Trade payables",Q134="Customer receivables",R134="Customer receivables",Q134="Courier receivables",R134="Courier receivables",Q134="Supplier advances",R134="Supplier advances"),H134=""),"Contact ID required",IF(AND(N134="Approved",OR(M134="",M134=L134)),"Independent review needed",IF(OR(N134="Draft",N134="Approved",N134="Void"),"OK","Status required")))))))</x:f>
      </x:c>
    </x:row>
    <x:row r="135" ht="23" customHeight="1">
      <x:c r="A135" s="36"/>
      <x:c r="B135" s="40"/>
      <x:c r="C135" s="36"/>
      <x:c r="D135" s="41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42" t="str">
        <x:f>IF(A135="","",IF(COUNTIFS('Event Guide'!$A$6:$A$29,C135)=1,VLOOKUP(C135,'Event Guide'!$A$6:$C$29,2,FALSE),"Unknown event"))</x:f>
      </x:c>
      <x:c r="P135" s="42" t="str">
        <x:f>IF(A135="","",IF(COUNTIFS('Event Guide'!$A$6:$A$29,C135)=1,VLOOKUP(C135,'Event Guide'!$A$6:$C$29,3,FALSE),"Unknown event"))</x:f>
      </x:c>
      <x:c r="Q135" s="42" t="str">
        <x:f>IF(A135="","",IF(O135="PAY",E135,IF(O135="OTHER",F135,IF(O135="CAPITAL","Capital - "&amp;G135,IF(O135="DUE","Due to - "&amp;G135,IF(O135="DRAW","Drawings - "&amp;G135,O135))))))</x:f>
      </x:c>
      <x:c r="R135" s="42" t="str">
        <x:f>IF(A135="","",IF(P135="PAY",E135,IF(P135="OTHER",F135,IF(P135="CAPITAL","Capital - "&amp;G135,IF(P135="DUE","Due to - "&amp;G135,IF(P135="DRAW","Drawings - "&amp;G135,P135))))))</x:f>
      </x:c>
      <x:c r="S135" s="37" t="n">
        <x:f>IF(AND(N135="Approved",T135="OK"),D135,0)</x:f>
        <x:v>0</x:v>
      </x:c>
      <x:c r="T135" s="42" t="str">
        <x:f>IF(A135="","",IF(COUNTIFS($A$6:$A$505,A135)&lt;&gt;1,"Duplicate ID",IF(OR(NOT(ISNUMBER(B135)),D135&lt;=0,NOT(ISNUMBER(D135)),I135="",J135="",L135=""),"Missing date/amount/ref/details",IF(OR(COUNTIFS('Accounts'!$A$6:$A$105,Q135)&lt;&gt;1,COUNTIFS('Accounts'!$A$6:$A$105,R135)&lt;&gt;1,Q135=R135),"Check accounts/event",IF(AND(OR(Q135="Trade payables",R135="Trade payables",Q135="Customer receivables",R135="Customer receivables",Q135="Courier receivables",R135="Courier receivables",Q135="Supplier advances",R135="Supplier advances"),H135=""),"Contact ID required",IF(AND(N135="Approved",OR(M135="",M135=L135)),"Independent review needed",IF(OR(N135="Draft",N135="Approved",N135="Void"),"OK","Status required")))))))</x:f>
      </x:c>
    </x:row>
    <x:row r="136" ht="23" customHeight="1">
      <x:c r="A136" s="36"/>
      <x:c r="B136" s="40"/>
      <x:c r="C136" s="36"/>
      <x:c r="D136" s="41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42" t="str">
        <x:f>IF(A136="","",IF(COUNTIFS('Event Guide'!$A$6:$A$29,C136)=1,VLOOKUP(C136,'Event Guide'!$A$6:$C$29,2,FALSE),"Unknown event"))</x:f>
      </x:c>
      <x:c r="P136" s="42" t="str">
        <x:f>IF(A136="","",IF(COUNTIFS('Event Guide'!$A$6:$A$29,C136)=1,VLOOKUP(C136,'Event Guide'!$A$6:$C$29,3,FALSE),"Unknown event"))</x:f>
      </x:c>
      <x:c r="Q136" s="42" t="str">
        <x:f>IF(A136="","",IF(O136="PAY",E136,IF(O136="OTHER",F136,IF(O136="CAPITAL","Capital - "&amp;G136,IF(O136="DUE","Due to - "&amp;G136,IF(O136="DRAW","Drawings - "&amp;G136,O136))))))</x:f>
      </x:c>
      <x:c r="R136" s="42" t="str">
        <x:f>IF(A136="","",IF(P136="PAY",E136,IF(P136="OTHER",F136,IF(P136="CAPITAL","Capital - "&amp;G136,IF(P136="DUE","Due to - "&amp;G136,IF(P136="DRAW","Drawings - "&amp;G136,P136))))))</x:f>
      </x:c>
      <x:c r="S136" s="37" t="n">
        <x:f>IF(AND(N136="Approved",T136="OK"),D136,0)</x:f>
        <x:v>0</x:v>
      </x:c>
      <x:c r="T136" s="42" t="str">
        <x:f>IF(A136="","",IF(COUNTIFS($A$6:$A$505,A136)&lt;&gt;1,"Duplicate ID",IF(OR(NOT(ISNUMBER(B136)),D136&lt;=0,NOT(ISNUMBER(D136)),I136="",J136="",L136=""),"Missing date/amount/ref/details",IF(OR(COUNTIFS('Accounts'!$A$6:$A$105,Q136)&lt;&gt;1,COUNTIFS('Accounts'!$A$6:$A$105,R136)&lt;&gt;1,Q136=R136),"Check accounts/event",IF(AND(OR(Q136="Trade payables",R136="Trade payables",Q136="Customer receivables",R136="Customer receivables",Q136="Courier receivables",R136="Courier receivables",Q136="Supplier advances",R136="Supplier advances"),H136=""),"Contact ID required",IF(AND(N136="Approved",OR(M136="",M136=L136)),"Independent review needed",IF(OR(N136="Draft",N136="Approved",N136="Void"),"OK","Status required")))))))</x:f>
      </x:c>
    </x:row>
    <x:row r="137" ht="23" customHeight="1">
      <x:c r="A137" s="36"/>
      <x:c r="B137" s="40"/>
      <x:c r="C137" s="36"/>
      <x:c r="D137" s="41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42" t="str">
        <x:f>IF(A137="","",IF(COUNTIFS('Event Guide'!$A$6:$A$29,C137)=1,VLOOKUP(C137,'Event Guide'!$A$6:$C$29,2,FALSE),"Unknown event"))</x:f>
      </x:c>
      <x:c r="P137" s="42" t="str">
        <x:f>IF(A137="","",IF(COUNTIFS('Event Guide'!$A$6:$A$29,C137)=1,VLOOKUP(C137,'Event Guide'!$A$6:$C$29,3,FALSE),"Unknown event"))</x:f>
      </x:c>
      <x:c r="Q137" s="42" t="str">
        <x:f>IF(A137="","",IF(O137="PAY",E137,IF(O137="OTHER",F137,IF(O137="CAPITAL","Capital - "&amp;G137,IF(O137="DUE","Due to - "&amp;G137,IF(O137="DRAW","Drawings - "&amp;G137,O137))))))</x:f>
      </x:c>
      <x:c r="R137" s="42" t="str">
        <x:f>IF(A137="","",IF(P137="PAY",E137,IF(P137="OTHER",F137,IF(P137="CAPITAL","Capital - "&amp;G137,IF(P137="DUE","Due to - "&amp;G137,IF(P137="DRAW","Drawings - "&amp;G137,P137))))))</x:f>
      </x:c>
      <x:c r="S137" s="37" t="n">
        <x:f>IF(AND(N137="Approved",T137="OK"),D137,0)</x:f>
        <x:v>0</x:v>
      </x:c>
      <x:c r="T137" s="42" t="str">
        <x:f>IF(A137="","",IF(COUNTIFS($A$6:$A$505,A137)&lt;&gt;1,"Duplicate ID",IF(OR(NOT(ISNUMBER(B137)),D137&lt;=0,NOT(ISNUMBER(D137)),I137="",J137="",L137=""),"Missing date/amount/ref/details",IF(OR(COUNTIFS('Accounts'!$A$6:$A$105,Q137)&lt;&gt;1,COUNTIFS('Accounts'!$A$6:$A$105,R137)&lt;&gt;1,Q137=R137),"Check accounts/event",IF(AND(OR(Q137="Trade payables",R137="Trade payables",Q137="Customer receivables",R137="Customer receivables",Q137="Courier receivables",R137="Courier receivables",Q137="Supplier advances",R137="Supplier advances"),H137=""),"Contact ID required",IF(AND(N137="Approved",OR(M137="",M137=L137)),"Independent review needed",IF(OR(N137="Draft",N137="Approved",N137="Void"),"OK","Status required")))))))</x:f>
      </x:c>
    </x:row>
    <x:row r="138" ht="23" customHeight="1">
      <x:c r="A138" s="36"/>
      <x:c r="B138" s="40"/>
      <x:c r="C138" s="36"/>
      <x:c r="D138" s="41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42" t="str">
        <x:f>IF(A138="","",IF(COUNTIFS('Event Guide'!$A$6:$A$29,C138)=1,VLOOKUP(C138,'Event Guide'!$A$6:$C$29,2,FALSE),"Unknown event"))</x:f>
      </x:c>
      <x:c r="P138" s="42" t="str">
        <x:f>IF(A138="","",IF(COUNTIFS('Event Guide'!$A$6:$A$29,C138)=1,VLOOKUP(C138,'Event Guide'!$A$6:$C$29,3,FALSE),"Unknown event"))</x:f>
      </x:c>
      <x:c r="Q138" s="42" t="str">
        <x:f>IF(A138="","",IF(O138="PAY",E138,IF(O138="OTHER",F138,IF(O138="CAPITAL","Capital - "&amp;G138,IF(O138="DUE","Due to - "&amp;G138,IF(O138="DRAW","Drawings - "&amp;G138,O138))))))</x:f>
      </x:c>
      <x:c r="R138" s="42" t="str">
        <x:f>IF(A138="","",IF(P138="PAY",E138,IF(P138="OTHER",F138,IF(P138="CAPITAL","Capital - "&amp;G138,IF(P138="DUE","Due to - "&amp;G138,IF(P138="DRAW","Drawings - "&amp;G138,P138))))))</x:f>
      </x:c>
      <x:c r="S138" s="37" t="n">
        <x:f>IF(AND(N138="Approved",T138="OK"),D138,0)</x:f>
        <x:v>0</x:v>
      </x:c>
      <x:c r="T138" s="42" t="str">
        <x:f>IF(A138="","",IF(COUNTIFS($A$6:$A$505,A138)&lt;&gt;1,"Duplicate ID",IF(OR(NOT(ISNUMBER(B138)),D138&lt;=0,NOT(ISNUMBER(D138)),I138="",J138="",L138=""),"Missing date/amount/ref/details",IF(OR(COUNTIFS('Accounts'!$A$6:$A$105,Q138)&lt;&gt;1,COUNTIFS('Accounts'!$A$6:$A$105,R138)&lt;&gt;1,Q138=R138),"Check accounts/event",IF(AND(OR(Q138="Trade payables",R138="Trade payables",Q138="Customer receivables",R138="Customer receivables",Q138="Courier receivables",R138="Courier receivables",Q138="Supplier advances",R138="Supplier advances"),H138=""),"Contact ID required",IF(AND(N138="Approved",OR(M138="",M138=L138)),"Independent review needed",IF(OR(N138="Draft",N138="Approved",N138="Void"),"OK","Status required")))))))</x:f>
      </x:c>
    </x:row>
    <x:row r="139" ht="23" customHeight="1">
      <x:c r="A139" s="36"/>
      <x:c r="B139" s="40"/>
      <x:c r="C139" s="36"/>
      <x:c r="D139" s="41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42" t="str">
        <x:f>IF(A139="","",IF(COUNTIFS('Event Guide'!$A$6:$A$29,C139)=1,VLOOKUP(C139,'Event Guide'!$A$6:$C$29,2,FALSE),"Unknown event"))</x:f>
      </x:c>
      <x:c r="P139" s="42" t="str">
        <x:f>IF(A139="","",IF(COUNTIFS('Event Guide'!$A$6:$A$29,C139)=1,VLOOKUP(C139,'Event Guide'!$A$6:$C$29,3,FALSE),"Unknown event"))</x:f>
      </x:c>
      <x:c r="Q139" s="42" t="str">
        <x:f>IF(A139="","",IF(O139="PAY",E139,IF(O139="OTHER",F139,IF(O139="CAPITAL","Capital - "&amp;G139,IF(O139="DUE","Due to - "&amp;G139,IF(O139="DRAW","Drawings - "&amp;G139,O139))))))</x:f>
      </x:c>
      <x:c r="R139" s="42" t="str">
        <x:f>IF(A139="","",IF(P139="PAY",E139,IF(P139="OTHER",F139,IF(P139="CAPITAL","Capital - "&amp;G139,IF(P139="DUE","Due to - "&amp;G139,IF(P139="DRAW","Drawings - "&amp;G139,P139))))))</x:f>
      </x:c>
      <x:c r="S139" s="37" t="n">
        <x:f>IF(AND(N139="Approved",T139="OK"),D139,0)</x:f>
        <x:v>0</x:v>
      </x:c>
      <x:c r="T139" s="42" t="str">
        <x:f>IF(A139="","",IF(COUNTIFS($A$6:$A$505,A139)&lt;&gt;1,"Duplicate ID",IF(OR(NOT(ISNUMBER(B139)),D139&lt;=0,NOT(ISNUMBER(D139)),I139="",J139="",L139=""),"Missing date/amount/ref/details",IF(OR(COUNTIFS('Accounts'!$A$6:$A$105,Q139)&lt;&gt;1,COUNTIFS('Accounts'!$A$6:$A$105,R139)&lt;&gt;1,Q139=R139),"Check accounts/event",IF(AND(OR(Q139="Trade payables",R139="Trade payables",Q139="Customer receivables",R139="Customer receivables",Q139="Courier receivables",R139="Courier receivables",Q139="Supplier advances",R139="Supplier advances"),H139=""),"Contact ID required",IF(AND(N139="Approved",OR(M139="",M139=L139)),"Independent review needed",IF(OR(N139="Draft",N139="Approved",N139="Void"),"OK","Status required")))))))</x:f>
      </x:c>
    </x:row>
    <x:row r="140" ht="23" customHeight="1">
      <x:c r="A140" s="36"/>
      <x:c r="B140" s="40"/>
      <x:c r="C140" s="36"/>
      <x:c r="D140" s="41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42" t="str">
        <x:f>IF(A140="","",IF(COUNTIFS('Event Guide'!$A$6:$A$29,C140)=1,VLOOKUP(C140,'Event Guide'!$A$6:$C$29,2,FALSE),"Unknown event"))</x:f>
      </x:c>
      <x:c r="P140" s="42" t="str">
        <x:f>IF(A140="","",IF(COUNTIFS('Event Guide'!$A$6:$A$29,C140)=1,VLOOKUP(C140,'Event Guide'!$A$6:$C$29,3,FALSE),"Unknown event"))</x:f>
      </x:c>
      <x:c r="Q140" s="42" t="str">
        <x:f>IF(A140="","",IF(O140="PAY",E140,IF(O140="OTHER",F140,IF(O140="CAPITAL","Capital - "&amp;G140,IF(O140="DUE","Due to - "&amp;G140,IF(O140="DRAW","Drawings - "&amp;G140,O140))))))</x:f>
      </x:c>
      <x:c r="R140" s="42" t="str">
        <x:f>IF(A140="","",IF(P140="PAY",E140,IF(P140="OTHER",F140,IF(P140="CAPITAL","Capital - "&amp;G140,IF(P140="DUE","Due to - "&amp;G140,IF(P140="DRAW","Drawings - "&amp;G140,P140))))))</x:f>
      </x:c>
      <x:c r="S140" s="37" t="n">
        <x:f>IF(AND(N140="Approved",T140="OK"),D140,0)</x:f>
        <x:v>0</x:v>
      </x:c>
      <x:c r="T140" s="42" t="str">
        <x:f>IF(A140="","",IF(COUNTIFS($A$6:$A$505,A140)&lt;&gt;1,"Duplicate ID",IF(OR(NOT(ISNUMBER(B140)),D140&lt;=0,NOT(ISNUMBER(D140)),I140="",J140="",L140=""),"Missing date/amount/ref/details",IF(OR(COUNTIFS('Accounts'!$A$6:$A$105,Q140)&lt;&gt;1,COUNTIFS('Accounts'!$A$6:$A$105,R140)&lt;&gt;1,Q140=R140),"Check accounts/event",IF(AND(OR(Q140="Trade payables",R140="Trade payables",Q140="Customer receivables",R140="Customer receivables",Q140="Courier receivables",R140="Courier receivables",Q140="Supplier advances",R140="Supplier advances"),H140=""),"Contact ID required",IF(AND(N140="Approved",OR(M140="",M140=L140)),"Independent review needed",IF(OR(N140="Draft",N140="Approved",N140="Void"),"OK","Status required")))))))</x:f>
      </x:c>
    </x:row>
    <x:row r="141" ht="23" customHeight="1">
      <x:c r="A141" s="36"/>
      <x:c r="B141" s="40"/>
      <x:c r="C141" s="36"/>
      <x:c r="D141" s="41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42" t="str">
        <x:f>IF(A141="","",IF(COUNTIFS('Event Guide'!$A$6:$A$29,C141)=1,VLOOKUP(C141,'Event Guide'!$A$6:$C$29,2,FALSE),"Unknown event"))</x:f>
      </x:c>
      <x:c r="P141" s="42" t="str">
        <x:f>IF(A141="","",IF(COUNTIFS('Event Guide'!$A$6:$A$29,C141)=1,VLOOKUP(C141,'Event Guide'!$A$6:$C$29,3,FALSE),"Unknown event"))</x:f>
      </x:c>
      <x:c r="Q141" s="42" t="str">
        <x:f>IF(A141="","",IF(O141="PAY",E141,IF(O141="OTHER",F141,IF(O141="CAPITAL","Capital - "&amp;G141,IF(O141="DUE","Due to - "&amp;G141,IF(O141="DRAW","Drawings - "&amp;G141,O141))))))</x:f>
      </x:c>
      <x:c r="R141" s="42" t="str">
        <x:f>IF(A141="","",IF(P141="PAY",E141,IF(P141="OTHER",F141,IF(P141="CAPITAL","Capital - "&amp;G141,IF(P141="DUE","Due to - "&amp;G141,IF(P141="DRAW","Drawings - "&amp;G141,P141))))))</x:f>
      </x:c>
      <x:c r="S141" s="37" t="n">
        <x:f>IF(AND(N141="Approved",T141="OK"),D141,0)</x:f>
        <x:v>0</x:v>
      </x:c>
      <x:c r="T141" s="42" t="str">
        <x:f>IF(A141="","",IF(COUNTIFS($A$6:$A$505,A141)&lt;&gt;1,"Duplicate ID",IF(OR(NOT(ISNUMBER(B141)),D141&lt;=0,NOT(ISNUMBER(D141)),I141="",J141="",L141=""),"Missing date/amount/ref/details",IF(OR(COUNTIFS('Accounts'!$A$6:$A$105,Q141)&lt;&gt;1,COUNTIFS('Accounts'!$A$6:$A$105,R141)&lt;&gt;1,Q141=R141),"Check accounts/event",IF(AND(OR(Q141="Trade payables",R141="Trade payables",Q141="Customer receivables",R141="Customer receivables",Q141="Courier receivables",R141="Courier receivables",Q141="Supplier advances",R141="Supplier advances"),H141=""),"Contact ID required",IF(AND(N141="Approved",OR(M141="",M141=L141)),"Independent review needed",IF(OR(N141="Draft",N141="Approved",N141="Void"),"OK","Status required")))))))</x:f>
      </x:c>
    </x:row>
    <x:row r="142" ht="23" customHeight="1">
      <x:c r="A142" s="36"/>
      <x:c r="B142" s="40"/>
      <x:c r="C142" s="36"/>
      <x:c r="D142" s="41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42" t="str">
        <x:f>IF(A142="","",IF(COUNTIFS('Event Guide'!$A$6:$A$29,C142)=1,VLOOKUP(C142,'Event Guide'!$A$6:$C$29,2,FALSE),"Unknown event"))</x:f>
      </x:c>
      <x:c r="P142" s="42" t="str">
        <x:f>IF(A142="","",IF(COUNTIFS('Event Guide'!$A$6:$A$29,C142)=1,VLOOKUP(C142,'Event Guide'!$A$6:$C$29,3,FALSE),"Unknown event"))</x:f>
      </x:c>
      <x:c r="Q142" s="42" t="str">
        <x:f>IF(A142="","",IF(O142="PAY",E142,IF(O142="OTHER",F142,IF(O142="CAPITAL","Capital - "&amp;G142,IF(O142="DUE","Due to - "&amp;G142,IF(O142="DRAW","Drawings - "&amp;G142,O142))))))</x:f>
      </x:c>
      <x:c r="R142" s="42" t="str">
        <x:f>IF(A142="","",IF(P142="PAY",E142,IF(P142="OTHER",F142,IF(P142="CAPITAL","Capital - "&amp;G142,IF(P142="DUE","Due to - "&amp;G142,IF(P142="DRAW","Drawings - "&amp;G142,P142))))))</x:f>
      </x:c>
      <x:c r="S142" s="37" t="n">
        <x:f>IF(AND(N142="Approved",T142="OK"),D142,0)</x:f>
        <x:v>0</x:v>
      </x:c>
      <x:c r="T142" s="42" t="str">
        <x:f>IF(A142="","",IF(COUNTIFS($A$6:$A$505,A142)&lt;&gt;1,"Duplicate ID",IF(OR(NOT(ISNUMBER(B142)),D142&lt;=0,NOT(ISNUMBER(D142)),I142="",J142="",L142=""),"Missing date/amount/ref/details",IF(OR(COUNTIFS('Accounts'!$A$6:$A$105,Q142)&lt;&gt;1,COUNTIFS('Accounts'!$A$6:$A$105,R142)&lt;&gt;1,Q142=R142),"Check accounts/event",IF(AND(OR(Q142="Trade payables",R142="Trade payables",Q142="Customer receivables",R142="Customer receivables",Q142="Courier receivables",R142="Courier receivables",Q142="Supplier advances",R142="Supplier advances"),H142=""),"Contact ID required",IF(AND(N142="Approved",OR(M142="",M142=L142)),"Independent review needed",IF(OR(N142="Draft",N142="Approved",N142="Void"),"OK","Status required")))))))</x:f>
      </x:c>
    </x:row>
    <x:row r="143" ht="23" customHeight="1">
      <x:c r="A143" s="36"/>
      <x:c r="B143" s="40"/>
      <x:c r="C143" s="36"/>
      <x:c r="D143" s="41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42" t="str">
        <x:f>IF(A143="","",IF(COUNTIFS('Event Guide'!$A$6:$A$29,C143)=1,VLOOKUP(C143,'Event Guide'!$A$6:$C$29,2,FALSE),"Unknown event"))</x:f>
      </x:c>
      <x:c r="P143" s="42" t="str">
        <x:f>IF(A143="","",IF(COUNTIFS('Event Guide'!$A$6:$A$29,C143)=1,VLOOKUP(C143,'Event Guide'!$A$6:$C$29,3,FALSE),"Unknown event"))</x:f>
      </x:c>
      <x:c r="Q143" s="42" t="str">
        <x:f>IF(A143="","",IF(O143="PAY",E143,IF(O143="OTHER",F143,IF(O143="CAPITAL","Capital - "&amp;G143,IF(O143="DUE","Due to - "&amp;G143,IF(O143="DRAW","Drawings - "&amp;G143,O143))))))</x:f>
      </x:c>
      <x:c r="R143" s="42" t="str">
        <x:f>IF(A143="","",IF(P143="PAY",E143,IF(P143="OTHER",F143,IF(P143="CAPITAL","Capital - "&amp;G143,IF(P143="DUE","Due to - "&amp;G143,IF(P143="DRAW","Drawings - "&amp;G143,P143))))))</x:f>
      </x:c>
      <x:c r="S143" s="37" t="n">
        <x:f>IF(AND(N143="Approved",T143="OK"),D143,0)</x:f>
        <x:v>0</x:v>
      </x:c>
      <x:c r="T143" s="42" t="str">
        <x:f>IF(A143="","",IF(COUNTIFS($A$6:$A$505,A143)&lt;&gt;1,"Duplicate ID",IF(OR(NOT(ISNUMBER(B143)),D143&lt;=0,NOT(ISNUMBER(D143)),I143="",J143="",L143=""),"Missing date/amount/ref/details",IF(OR(COUNTIFS('Accounts'!$A$6:$A$105,Q143)&lt;&gt;1,COUNTIFS('Accounts'!$A$6:$A$105,R143)&lt;&gt;1,Q143=R143),"Check accounts/event",IF(AND(OR(Q143="Trade payables",R143="Trade payables",Q143="Customer receivables",R143="Customer receivables",Q143="Courier receivables",R143="Courier receivables",Q143="Supplier advances",R143="Supplier advances"),H143=""),"Contact ID required",IF(AND(N143="Approved",OR(M143="",M143=L143)),"Independent review needed",IF(OR(N143="Draft",N143="Approved",N143="Void"),"OK","Status required")))))))</x:f>
      </x:c>
    </x:row>
    <x:row r="144" ht="23" customHeight="1">
      <x:c r="A144" s="36"/>
      <x:c r="B144" s="40"/>
      <x:c r="C144" s="36"/>
      <x:c r="D144" s="41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42" t="str">
        <x:f>IF(A144="","",IF(COUNTIFS('Event Guide'!$A$6:$A$29,C144)=1,VLOOKUP(C144,'Event Guide'!$A$6:$C$29,2,FALSE),"Unknown event"))</x:f>
      </x:c>
      <x:c r="P144" s="42" t="str">
        <x:f>IF(A144="","",IF(COUNTIFS('Event Guide'!$A$6:$A$29,C144)=1,VLOOKUP(C144,'Event Guide'!$A$6:$C$29,3,FALSE),"Unknown event"))</x:f>
      </x:c>
      <x:c r="Q144" s="42" t="str">
        <x:f>IF(A144="","",IF(O144="PAY",E144,IF(O144="OTHER",F144,IF(O144="CAPITAL","Capital - "&amp;G144,IF(O144="DUE","Due to - "&amp;G144,IF(O144="DRAW","Drawings - "&amp;G144,O144))))))</x:f>
      </x:c>
      <x:c r="R144" s="42" t="str">
        <x:f>IF(A144="","",IF(P144="PAY",E144,IF(P144="OTHER",F144,IF(P144="CAPITAL","Capital - "&amp;G144,IF(P144="DUE","Due to - "&amp;G144,IF(P144="DRAW","Drawings - "&amp;G144,P144))))))</x:f>
      </x:c>
      <x:c r="S144" s="37" t="n">
        <x:f>IF(AND(N144="Approved",T144="OK"),D144,0)</x:f>
        <x:v>0</x:v>
      </x:c>
      <x:c r="T144" s="42" t="str">
        <x:f>IF(A144="","",IF(COUNTIFS($A$6:$A$505,A144)&lt;&gt;1,"Duplicate ID",IF(OR(NOT(ISNUMBER(B144)),D144&lt;=0,NOT(ISNUMBER(D144)),I144="",J144="",L144=""),"Missing date/amount/ref/details",IF(OR(COUNTIFS('Accounts'!$A$6:$A$105,Q144)&lt;&gt;1,COUNTIFS('Accounts'!$A$6:$A$105,R144)&lt;&gt;1,Q144=R144),"Check accounts/event",IF(AND(OR(Q144="Trade payables",R144="Trade payables",Q144="Customer receivables",R144="Customer receivables",Q144="Courier receivables",R144="Courier receivables",Q144="Supplier advances",R144="Supplier advances"),H144=""),"Contact ID required",IF(AND(N144="Approved",OR(M144="",M144=L144)),"Independent review needed",IF(OR(N144="Draft",N144="Approved",N144="Void"),"OK","Status required")))))))</x:f>
      </x:c>
    </x:row>
    <x:row r="145" ht="23" customHeight="1">
      <x:c r="A145" s="36"/>
      <x:c r="B145" s="40"/>
      <x:c r="C145" s="36"/>
      <x:c r="D145" s="41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42" t="str">
        <x:f>IF(A145="","",IF(COUNTIFS('Event Guide'!$A$6:$A$29,C145)=1,VLOOKUP(C145,'Event Guide'!$A$6:$C$29,2,FALSE),"Unknown event"))</x:f>
      </x:c>
      <x:c r="P145" s="42" t="str">
        <x:f>IF(A145="","",IF(COUNTIFS('Event Guide'!$A$6:$A$29,C145)=1,VLOOKUP(C145,'Event Guide'!$A$6:$C$29,3,FALSE),"Unknown event"))</x:f>
      </x:c>
      <x:c r="Q145" s="42" t="str">
        <x:f>IF(A145="","",IF(O145="PAY",E145,IF(O145="OTHER",F145,IF(O145="CAPITAL","Capital - "&amp;G145,IF(O145="DUE","Due to - "&amp;G145,IF(O145="DRAW","Drawings - "&amp;G145,O145))))))</x:f>
      </x:c>
      <x:c r="R145" s="42" t="str">
        <x:f>IF(A145="","",IF(P145="PAY",E145,IF(P145="OTHER",F145,IF(P145="CAPITAL","Capital - "&amp;G145,IF(P145="DUE","Due to - "&amp;G145,IF(P145="DRAW","Drawings - "&amp;G145,P145))))))</x:f>
      </x:c>
      <x:c r="S145" s="37" t="n">
        <x:f>IF(AND(N145="Approved",T145="OK"),D145,0)</x:f>
        <x:v>0</x:v>
      </x:c>
      <x:c r="T145" s="42" t="str">
        <x:f>IF(A145="","",IF(COUNTIFS($A$6:$A$505,A145)&lt;&gt;1,"Duplicate ID",IF(OR(NOT(ISNUMBER(B145)),D145&lt;=0,NOT(ISNUMBER(D145)),I145="",J145="",L145=""),"Missing date/amount/ref/details",IF(OR(COUNTIFS('Accounts'!$A$6:$A$105,Q145)&lt;&gt;1,COUNTIFS('Accounts'!$A$6:$A$105,R145)&lt;&gt;1,Q145=R145),"Check accounts/event",IF(AND(OR(Q145="Trade payables",R145="Trade payables",Q145="Customer receivables",R145="Customer receivables",Q145="Courier receivables",R145="Courier receivables",Q145="Supplier advances",R145="Supplier advances"),H145=""),"Contact ID required",IF(AND(N145="Approved",OR(M145="",M145=L145)),"Independent review needed",IF(OR(N145="Draft",N145="Approved",N145="Void"),"OK","Status required")))))))</x:f>
      </x:c>
    </x:row>
    <x:row r="146" ht="23" customHeight="1">
      <x:c r="A146" s="36"/>
      <x:c r="B146" s="40"/>
      <x:c r="C146" s="36"/>
      <x:c r="D146" s="41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42" t="str">
        <x:f>IF(A146="","",IF(COUNTIFS('Event Guide'!$A$6:$A$29,C146)=1,VLOOKUP(C146,'Event Guide'!$A$6:$C$29,2,FALSE),"Unknown event"))</x:f>
      </x:c>
      <x:c r="P146" s="42" t="str">
        <x:f>IF(A146="","",IF(COUNTIFS('Event Guide'!$A$6:$A$29,C146)=1,VLOOKUP(C146,'Event Guide'!$A$6:$C$29,3,FALSE),"Unknown event"))</x:f>
      </x:c>
      <x:c r="Q146" s="42" t="str">
        <x:f>IF(A146="","",IF(O146="PAY",E146,IF(O146="OTHER",F146,IF(O146="CAPITAL","Capital - "&amp;G146,IF(O146="DUE","Due to - "&amp;G146,IF(O146="DRAW","Drawings - "&amp;G146,O146))))))</x:f>
      </x:c>
      <x:c r="R146" s="42" t="str">
        <x:f>IF(A146="","",IF(P146="PAY",E146,IF(P146="OTHER",F146,IF(P146="CAPITAL","Capital - "&amp;G146,IF(P146="DUE","Due to - "&amp;G146,IF(P146="DRAW","Drawings - "&amp;G146,P146))))))</x:f>
      </x:c>
      <x:c r="S146" s="37" t="n">
        <x:f>IF(AND(N146="Approved",T146="OK"),D146,0)</x:f>
        <x:v>0</x:v>
      </x:c>
      <x:c r="T146" s="42" t="str">
        <x:f>IF(A146="","",IF(COUNTIFS($A$6:$A$505,A146)&lt;&gt;1,"Duplicate ID",IF(OR(NOT(ISNUMBER(B146)),D146&lt;=0,NOT(ISNUMBER(D146)),I146="",J146="",L146=""),"Missing date/amount/ref/details",IF(OR(COUNTIFS('Accounts'!$A$6:$A$105,Q146)&lt;&gt;1,COUNTIFS('Accounts'!$A$6:$A$105,R146)&lt;&gt;1,Q146=R146),"Check accounts/event",IF(AND(OR(Q146="Trade payables",R146="Trade payables",Q146="Customer receivables",R146="Customer receivables",Q146="Courier receivables",R146="Courier receivables",Q146="Supplier advances",R146="Supplier advances"),H146=""),"Contact ID required",IF(AND(N146="Approved",OR(M146="",M146=L146)),"Independent review needed",IF(OR(N146="Draft",N146="Approved",N146="Void"),"OK","Status required")))))))</x:f>
      </x:c>
    </x:row>
    <x:row r="147" ht="23" customHeight="1">
      <x:c r="A147" s="36"/>
      <x:c r="B147" s="40"/>
      <x:c r="C147" s="36"/>
      <x:c r="D147" s="41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42" t="str">
        <x:f>IF(A147="","",IF(COUNTIFS('Event Guide'!$A$6:$A$29,C147)=1,VLOOKUP(C147,'Event Guide'!$A$6:$C$29,2,FALSE),"Unknown event"))</x:f>
      </x:c>
      <x:c r="P147" s="42" t="str">
        <x:f>IF(A147="","",IF(COUNTIFS('Event Guide'!$A$6:$A$29,C147)=1,VLOOKUP(C147,'Event Guide'!$A$6:$C$29,3,FALSE),"Unknown event"))</x:f>
      </x:c>
      <x:c r="Q147" s="42" t="str">
        <x:f>IF(A147="","",IF(O147="PAY",E147,IF(O147="OTHER",F147,IF(O147="CAPITAL","Capital - "&amp;G147,IF(O147="DUE","Due to - "&amp;G147,IF(O147="DRAW","Drawings - "&amp;G147,O147))))))</x:f>
      </x:c>
      <x:c r="R147" s="42" t="str">
        <x:f>IF(A147="","",IF(P147="PAY",E147,IF(P147="OTHER",F147,IF(P147="CAPITAL","Capital - "&amp;G147,IF(P147="DUE","Due to - "&amp;G147,IF(P147="DRAW","Drawings - "&amp;G147,P147))))))</x:f>
      </x:c>
      <x:c r="S147" s="37" t="n">
        <x:f>IF(AND(N147="Approved",T147="OK"),D147,0)</x:f>
        <x:v>0</x:v>
      </x:c>
      <x:c r="T147" s="42" t="str">
        <x:f>IF(A147="","",IF(COUNTIFS($A$6:$A$505,A147)&lt;&gt;1,"Duplicate ID",IF(OR(NOT(ISNUMBER(B147)),D147&lt;=0,NOT(ISNUMBER(D147)),I147="",J147="",L147=""),"Missing date/amount/ref/details",IF(OR(COUNTIFS('Accounts'!$A$6:$A$105,Q147)&lt;&gt;1,COUNTIFS('Accounts'!$A$6:$A$105,R147)&lt;&gt;1,Q147=R147),"Check accounts/event",IF(AND(OR(Q147="Trade payables",R147="Trade payables",Q147="Customer receivables",R147="Customer receivables",Q147="Courier receivables",R147="Courier receivables",Q147="Supplier advances",R147="Supplier advances"),H147=""),"Contact ID required",IF(AND(N147="Approved",OR(M147="",M147=L147)),"Independent review needed",IF(OR(N147="Draft",N147="Approved",N147="Void"),"OK","Status required")))))))</x:f>
      </x:c>
    </x:row>
    <x:row r="148" ht="23" customHeight="1">
      <x:c r="A148" s="36"/>
      <x:c r="B148" s="40"/>
      <x:c r="C148" s="36"/>
      <x:c r="D148" s="41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42" t="str">
        <x:f>IF(A148="","",IF(COUNTIFS('Event Guide'!$A$6:$A$29,C148)=1,VLOOKUP(C148,'Event Guide'!$A$6:$C$29,2,FALSE),"Unknown event"))</x:f>
      </x:c>
      <x:c r="P148" s="42" t="str">
        <x:f>IF(A148="","",IF(COUNTIFS('Event Guide'!$A$6:$A$29,C148)=1,VLOOKUP(C148,'Event Guide'!$A$6:$C$29,3,FALSE),"Unknown event"))</x:f>
      </x:c>
      <x:c r="Q148" s="42" t="str">
        <x:f>IF(A148="","",IF(O148="PAY",E148,IF(O148="OTHER",F148,IF(O148="CAPITAL","Capital - "&amp;G148,IF(O148="DUE","Due to - "&amp;G148,IF(O148="DRAW","Drawings - "&amp;G148,O148))))))</x:f>
      </x:c>
      <x:c r="R148" s="42" t="str">
        <x:f>IF(A148="","",IF(P148="PAY",E148,IF(P148="OTHER",F148,IF(P148="CAPITAL","Capital - "&amp;G148,IF(P148="DUE","Due to - "&amp;G148,IF(P148="DRAW","Drawings - "&amp;G148,P148))))))</x:f>
      </x:c>
      <x:c r="S148" s="37" t="n">
        <x:f>IF(AND(N148="Approved",T148="OK"),D148,0)</x:f>
        <x:v>0</x:v>
      </x:c>
      <x:c r="T148" s="42" t="str">
        <x:f>IF(A148="","",IF(COUNTIFS($A$6:$A$505,A148)&lt;&gt;1,"Duplicate ID",IF(OR(NOT(ISNUMBER(B148)),D148&lt;=0,NOT(ISNUMBER(D148)),I148="",J148="",L148=""),"Missing date/amount/ref/details",IF(OR(COUNTIFS('Accounts'!$A$6:$A$105,Q148)&lt;&gt;1,COUNTIFS('Accounts'!$A$6:$A$105,R148)&lt;&gt;1,Q148=R148),"Check accounts/event",IF(AND(OR(Q148="Trade payables",R148="Trade payables",Q148="Customer receivables",R148="Customer receivables",Q148="Courier receivables",R148="Courier receivables",Q148="Supplier advances",R148="Supplier advances"),H148=""),"Contact ID required",IF(AND(N148="Approved",OR(M148="",M148=L148)),"Independent review needed",IF(OR(N148="Draft",N148="Approved",N148="Void"),"OK","Status required")))))))</x:f>
      </x:c>
    </x:row>
    <x:row r="149" ht="23" customHeight="1">
      <x:c r="A149" s="36"/>
      <x:c r="B149" s="40"/>
      <x:c r="C149" s="36"/>
      <x:c r="D149" s="41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42" t="str">
        <x:f>IF(A149="","",IF(COUNTIFS('Event Guide'!$A$6:$A$29,C149)=1,VLOOKUP(C149,'Event Guide'!$A$6:$C$29,2,FALSE),"Unknown event"))</x:f>
      </x:c>
      <x:c r="P149" s="42" t="str">
        <x:f>IF(A149="","",IF(COUNTIFS('Event Guide'!$A$6:$A$29,C149)=1,VLOOKUP(C149,'Event Guide'!$A$6:$C$29,3,FALSE),"Unknown event"))</x:f>
      </x:c>
      <x:c r="Q149" s="42" t="str">
        <x:f>IF(A149="","",IF(O149="PAY",E149,IF(O149="OTHER",F149,IF(O149="CAPITAL","Capital - "&amp;G149,IF(O149="DUE","Due to - "&amp;G149,IF(O149="DRAW","Drawings - "&amp;G149,O149))))))</x:f>
      </x:c>
      <x:c r="R149" s="42" t="str">
        <x:f>IF(A149="","",IF(P149="PAY",E149,IF(P149="OTHER",F149,IF(P149="CAPITAL","Capital - "&amp;G149,IF(P149="DUE","Due to - "&amp;G149,IF(P149="DRAW","Drawings - "&amp;G149,P149))))))</x:f>
      </x:c>
      <x:c r="S149" s="37" t="n">
        <x:f>IF(AND(N149="Approved",T149="OK"),D149,0)</x:f>
        <x:v>0</x:v>
      </x:c>
      <x:c r="T149" s="42" t="str">
        <x:f>IF(A149="","",IF(COUNTIFS($A$6:$A$505,A149)&lt;&gt;1,"Duplicate ID",IF(OR(NOT(ISNUMBER(B149)),D149&lt;=0,NOT(ISNUMBER(D149)),I149="",J149="",L149=""),"Missing date/amount/ref/details",IF(OR(COUNTIFS('Accounts'!$A$6:$A$105,Q149)&lt;&gt;1,COUNTIFS('Accounts'!$A$6:$A$105,R149)&lt;&gt;1,Q149=R149),"Check accounts/event",IF(AND(OR(Q149="Trade payables",R149="Trade payables",Q149="Customer receivables",R149="Customer receivables",Q149="Courier receivables",R149="Courier receivables",Q149="Supplier advances",R149="Supplier advances"),H149=""),"Contact ID required",IF(AND(N149="Approved",OR(M149="",M149=L149)),"Independent review needed",IF(OR(N149="Draft",N149="Approved",N149="Void"),"OK","Status required")))))))</x:f>
      </x:c>
    </x:row>
    <x:row r="150" ht="23" customHeight="1">
      <x:c r="A150" s="36"/>
      <x:c r="B150" s="40"/>
      <x:c r="C150" s="36"/>
      <x:c r="D150" s="41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42" t="str">
        <x:f>IF(A150="","",IF(COUNTIFS('Event Guide'!$A$6:$A$29,C150)=1,VLOOKUP(C150,'Event Guide'!$A$6:$C$29,2,FALSE),"Unknown event"))</x:f>
      </x:c>
      <x:c r="P150" s="42" t="str">
        <x:f>IF(A150="","",IF(COUNTIFS('Event Guide'!$A$6:$A$29,C150)=1,VLOOKUP(C150,'Event Guide'!$A$6:$C$29,3,FALSE),"Unknown event"))</x:f>
      </x:c>
      <x:c r="Q150" s="42" t="str">
        <x:f>IF(A150="","",IF(O150="PAY",E150,IF(O150="OTHER",F150,IF(O150="CAPITAL","Capital - "&amp;G150,IF(O150="DUE","Due to - "&amp;G150,IF(O150="DRAW","Drawings - "&amp;G150,O150))))))</x:f>
      </x:c>
      <x:c r="R150" s="42" t="str">
        <x:f>IF(A150="","",IF(P150="PAY",E150,IF(P150="OTHER",F150,IF(P150="CAPITAL","Capital - "&amp;G150,IF(P150="DUE","Due to - "&amp;G150,IF(P150="DRAW","Drawings - "&amp;G150,P150))))))</x:f>
      </x:c>
      <x:c r="S150" s="37" t="n">
        <x:f>IF(AND(N150="Approved",T150="OK"),D150,0)</x:f>
        <x:v>0</x:v>
      </x:c>
      <x:c r="T150" s="42" t="str">
        <x:f>IF(A150="","",IF(COUNTIFS($A$6:$A$505,A150)&lt;&gt;1,"Duplicate ID",IF(OR(NOT(ISNUMBER(B150)),D150&lt;=0,NOT(ISNUMBER(D150)),I150="",J150="",L150=""),"Missing date/amount/ref/details",IF(OR(COUNTIFS('Accounts'!$A$6:$A$105,Q150)&lt;&gt;1,COUNTIFS('Accounts'!$A$6:$A$105,R150)&lt;&gt;1,Q150=R150),"Check accounts/event",IF(AND(OR(Q150="Trade payables",R150="Trade payables",Q150="Customer receivables",R150="Customer receivables",Q150="Courier receivables",R150="Courier receivables",Q150="Supplier advances",R150="Supplier advances"),H150=""),"Contact ID required",IF(AND(N150="Approved",OR(M150="",M150=L150)),"Independent review needed",IF(OR(N150="Draft",N150="Approved",N150="Void"),"OK","Status required")))))))</x:f>
      </x:c>
    </x:row>
    <x:row r="151" ht="23" customHeight="1">
      <x:c r="A151" s="36"/>
      <x:c r="B151" s="40"/>
      <x:c r="C151" s="36"/>
      <x:c r="D151" s="41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42" t="str">
        <x:f>IF(A151="","",IF(COUNTIFS('Event Guide'!$A$6:$A$29,C151)=1,VLOOKUP(C151,'Event Guide'!$A$6:$C$29,2,FALSE),"Unknown event"))</x:f>
      </x:c>
      <x:c r="P151" s="42" t="str">
        <x:f>IF(A151="","",IF(COUNTIFS('Event Guide'!$A$6:$A$29,C151)=1,VLOOKUP(C151,'Event Guide'!$A$6:$C$29,3,FALSE),"Unknown event"))</x:f>
      </x:c>
      <x:c r="Q151" s="42" t="str">
        <x:f>IF(A151="","",IF(O151="PAY",E151,IF(O151="OTHER",F151,IF(O151="CAPITAL","Capital - "&amp;G151,IF(O151="DUE","Due to - "&amp;G151,IF(O151="DRAW","Drawings - "&amp;G151,O151))))))</x:f>
      </x:c>
      <x:c r="R151" s="42" t="str">
        <x:f>IF(A151="","",IF(P151="PAY",E151,IF(P151="OTHER",F151,IF(P151="CAPITAL","Capital - "&amp;G151,IF(P151="DUE","Due to - "&amp;G151,IF(P151="DRAW","Drawings - "&amp;G151,P151))))))</x:f>
      </x:c>
      <x:c r="S151" s="37" t="n">
        <x:f>IF(AND(N151="Approved",T151="OK"),D151,0)</x:f>
        <x:v>0</x:v>
      </x:c>
      <x:c r="T151" s="42" t="str">
        <x:f>IF(A151="","",IF(COUNTIFS($A$6:$A$505,A151)&lt;&gt;1,"Duplicate ID",IF(OR(NOT(ISNUMBER(B151)),D151&lt;=0,NOT(ISNUMBER(D151)),I151="",J151="",L151=""),"Missing date/amount/ref/details",IF(OR(COUNTIFS('Accounts'!$A$6:$A$105,Q151)&lt;&gt;1,COUNTIFS('Accounts'!$A$6:$A$105,R151)&lt;&gt;1,Q151=R151),"Check accounts/event",IF(AND(OR(Q151="Trade payables",R151="Trade payables",Q151="Customer receivables",R151="Customer receivables",Q151="Courier receivables",R151="Courier receivables",Q151="Supplier advances",R151="Supplier advances"),H151=""),"Contact ID required",IF(AND(N151="Approved",OR(M151="",M151=L151)),"Independent review needed",IF(OR(N151="Draft",N151="Approved",N151="Void"),"OK","Status required")))))))</x:f>
      </x:c>
    </x:row>
    <x:row r="152" ht="23" customHeight="1">
      <x:c r="A152" s="36"/>
      <x:c r="B152" s="40"/>
      <x:c r="C152" s="36"/>
      <x:c r="D152" s="41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42" t="str">
        <x:f>IF(A152="","",IF(COUNTIFS('Event Guide'!$A$6:$A$29,C152)=1,VLOOKUP(C152,'Event Guide'!$A$6:$C$29,2,FALSE),"Unknown event"))</x:f>
      </x:c>
      <x:c r="P152" s="42" t="str">
        <x:f>IF(A152="","",IF(COUNTIFS('Event Guide'!$A$6:$A$29,C152)=1,VLOOKUP(C152,'Event Guide'!$A$6:$C$29,3,FALSE),"Unknown event"))</x:f>
      </x:c>
      <x:c r="Q152" s="42" t="str">
        <x:f>IF(A152="","",IF(O152="PAY",E152,IF(O152="OTHER",F152,IF(O152="CAPITAL","Capital - "&amp;G152,IF(O152="DUE","Due to - "&amp;G152,IF(O152="DRAW","Drawings - "&amp;G152,O152))))))</x:f>
      </x:c>
      <x:c r="R152" s="42" t="str">
        <x:f>IF(A152="","",IF(P152="PAY",E152,IF(P152="OTHER",F152,IF(P152="CAPITAL","Capital - "&amp;G152,IF(P152="DUE","Due to - "&amp;G152,IF(P152="DRAW","Drawings - "&amp;G152,P152))))))</x:f>
      </x:c>
      <x:c r="S152" s="37" t="n">
        <x:f>IF(AND(N152="Approved",T152="OK"),D152,0)</x:f>
        <x:v>0</x:v>
      </x:c>
      <x:c r="T152" s="42" t="str">
        <x:f>IF(A152="","",IF(COUNTIFS($A$6:$A$505,A152)&lt;&gt;1,"Duplicate ID",IF(OR(NOT(ISNUMBER(B152)),D152&lt;=0,NOT(ISNUMBER(D152)),I152="",J152="",L152=""),"Missing date/amount/ref/details",IF(OR(COUNTIFS('Accounts'!$A$6:$A$105,Q152)&lt;&gt;1,COUNTIFS('Accounts'!$A$6:$A$105,R152)&lt;&gt;1,Q152=R152),"Check accounts/event",IF(AND(OR(Q152="Trade payables",R152="Trade payables",Q152="Customer receivables",R152="Customer receivables",Q152="Courier receivables",R152="Courier receivables",Q152="Supplier advances",R152="Supplier advances"),H152=""),"Contact ID required",IF(AND(N152="Approved",OR(M152="",M152=L152)),"Independent review needed",IF(OR(N152="Draft",N152="Approved",N152="Void"),"OK","Status required")))))))</x:f>
      </x:c>
    </x:row>
    <x:row r="153" ht="23" customHeight="1">
      <x:c r="A153" s="36"/>
      <x:c r="B153" s="40"/>
      <x:c r="C153" s="36"/>
      <x:c r="D153" s="41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42" t="str">
        <x:f>IF(A153="","",IF(COUNTIFS('Event Guide'!$A$6:$A$29,C153)=1,VLOOKUP(C153,'Event Guide'!$A$6:$C$29,2,FALSE),"Unknown event"))</x:f>
      </x:c>
      <x:c r="P153" s="42" t="str">
        <x:f>IF(A153="","",IF(COUNTIFS('Event Guide'!$A$6:$A$29,C153)=1,VLOOKUP(C153,'Event Guide'!$A$6:$C$29,3,FALSE),"Unknown event"))</x:f>
      </x:c>
      <x:c r="Q153" s="42" t="str">
        <x:f>IF(A153="","",IF(O153="PAY",E153,IF(O153="OTHER",F153,IF(O153="CAPITAL","Capital - "&amp;G153,IF(O153="DUE","Due to - "&amp;G153,IF(O153="DRAW","Drawings - "&amp;G153,O153))))))</x:f>
      </x:c>
      <x:c r="R153" s="42" t="str">
        <x:f>IF(A153="","",IF(P153="PAY",E153,IF(P153="OTHER",F153,IF(P153="CAPITAL","Capital - "&amp;G153,IF(P153="DUE","Due to - "&amp;G153,IF(P153="DRAW","Drawings - "&amp;G153,P153))))))</x:f>
      </x:c>
      <x:c r="S153" s="37" t="n">
        <x:f>IF(AND(N153="Approved",T153="OK"),D153,0)</x:f>
        <x:v>0</x:v>
      </x:c>
      <x:c r="T153" s="42" t="str">
        <x:f>IF(A153="","",IF(COUNTIFS($A$6:$A$505,A153)&lt;&gt;1,"Duplicate ID",IF(OR(NOT(ISNUMBER(B153)),D153&lt;=0,NOT(ISNUMBER(D153)),I153="",J153="",L153=""),"Missing date/amount/ref/details",IF(OR(COUNTIFS('Accounts'!$A$6:$A$105,Q153)&lt;&gt;1,COUNTIFS('Accounts'!$A$6:$A$105,R153)&lt;&gt;1,Q153=R153),"Check accounts/event",IF(AND(OR(Q153="Trade payables",R153="Trade payables",Q153="Customer receivables",R153="Customer receivables",Q153="Courier receivables",R153="Courier receivables",Q153="Supplier advances",R153="Supplier advances"),H153=""),"Contact ID required",IF(AND(N153="Approved",OR(M153="",M153=L153)),"Independent review needed",IF(OR(N153="Draft",N153="Approved",N153="Void"),"OK","Status required")))))))</x:f>
      </x:c>
    </x:row>
    <x:row r="154" ht="23" customHeight="1">
      <x:c r="A154" s="36"/>
      <x:c r="B154" s="40"/>
      <x:c r="C154" s="36"/>
      <x:c r="D154" s="41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42" t="str">
        <x:f>IF(A154="","",IF(COUNTIFS('Event Guide'!$A$6:$A$29,C154)=1,VLOOKUP(C154,'Event Guide'!$A$6:$C$29,2,FALSE),"Unknown event"))</x:f>
      </x:c>
      <x:c r="P154" s="42" t="str">
        <x:f>IF(A154="","",IF(COUNTIFS('Event Guide'!$A$6:$A$29,C154)=1,VLOOKUP(C154,'Event Guide'!$A$6:$C$29,3,FALSE),"Unknown event"))</x:f>
      </x:c>
      <x:c r="Q154" s="42" t="str">
        <x:f>IF(A154="","",IF(O154="PAY",E154,IF(O154="OTHER",F154,IF(O154="CAPITAL","Capital - "&amp;G154,IF(O154="DUE","Due to - "&amp;G154,IF(O154="DRAW","Drawings - "&amp;G154,O154))))))</x:f>
      </x:c>
      <x:c r="R154" s="42" t="str">
        <x:f>IF(A154="","",IF(P154="PAY",E154,IF(P154="OTHER",F154,IF(P154="CAPITAL","Capital - "&amp;G154,IF(P154="DUE","Due to - "&amp;G154,IF(P154="DRAW","Drawings - "&amp;G154,P154))))))</x:f>
      </x:c>
      <x:c r="S154" s="37" t="n">
        <x:f>IF(AND(N154="Approved",T154="OK"),D154,0)</x:f>
        <x:v>0</x:v>
      </x:c>
      <x:c r="T154" s="42" t="str">
        <x:f>IF(A154="","",IF(COUNTIFS($A$6:$A$505,A154)&lt;&gt;1,"Duplicate ID",IF(OR(NOT(ISNUMBER(B154)),D154&lt;=0,NOT(ISNUMBER(D154)),I154="",J154="",L154=""),"Missing date/amount/ref/details",IF(OR(COUNTIFS('Accounts'!$A$6:$A$105,Q154)&lt;&gt;1,COUNTIFS('Accounts'!$A$6:$A$105,R154)&lt;&gt;1,Q154=R154),"Check accounts/event",IF(AND(OR(Q154="Trade payables",R154="Trade payables",Q154="Customer receivables",R154="Customer receivables",Q154="Courier receivables",R154="Courier receivables",Q154="Supplier advances",R154="Supplier advances"),H154=""),"Contact ID required",IF(AND(N154="Approved",OR(M154="",M154=L154)),"Independent review needed",IF(OR(N154="Draft",N154="Approved",N154="Void"),"OK","Status required")))))))</x:f>
      </x:c>
    </x:row>
    <x:row r="155" ht="23" customHeight="1">
      <x:c r="A155" s="36"/>
      <x:c r="B155" s="40"/>
      <x:c r="C155" s="36"/>
      <x:c r="D155" s="41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42" t="str">
        <x:f>IF(A155="","",IF(COUNTIFS('Event Guide'!$A$6:$A$29,C155)=1,VLOOKUP(C155,'Event Guide'!$A$6:$C$29,2,FALSE),"Unknown event"))</x:f>
      </x:c>
      <x:c r="P155" s="42" t="str">
        <x:f>IF(A155="","",IF(COUNTIFS('Event Guide'!$A$6:$A$29,C155)=1,VLOOKUP(C155,'Event Guide'!$A$6:$C$29,3,FALSE),"Unknown event"))</x:f>
      </x:c>
      <x:c r="Q155" s="42" t="str">
        <x:f>IF(A155="","",IF(O155="PAY",E155,IF(O155="OTHER",F155,IF(O155="CAPITAL","Capital - "&amp;G155,IF(O155="DUE","Due to - "&amp;G155,IF(O155="DRAW","Drawings - "&amp;G155,O155))))))</x:f>
      </x:c>
      <x:c r="R155" s="42" t="str">
        <x:f>IF(A155="","",IF(P155="PAY",E155,IF(P155="OTHER",F155,IF(P155="CAPITAL","Capital - "&amp;G155,IF(P155="DUE","Due to - "&amp;G155,IF(P155="DRAW","Drawings - "&amp;G155,P155))))))</x:f>
      </x:c>
      <x:c r="S155" s="37" t="n">
        <x:f>IF(AND(N155="Approved",T155="OK"),D155,0)</x:f>
        <x:v>0</x:v>
      </x:c>
      <x:c r="T155" s="42" t="str">
        <x:f>IF(A155="","",IF(COUNTIFS($A$6:$A$505,A155)&lt;&gt;1,"Duplicate ID",IF(OR(NOT(ISNUMBER(B155)),D155&lt;=0,NOT(ISNUMBER(D155)),I155="",J155="",L155=""),"Missing date/amount/ref/details",IF(OR(COUNTIFS('Accounts'!$A$6:$A$105,Q155)&lt;&gt;1,COUNTIFS('Accounts'!$A$6:$A$105,R155)&lt;&gt;1,Q155=R155),"Check accounts/event",IF(AND(OR(Q155="Trade payables",R155="Trade payables",Q155="Customer receivables",R155="Customer receivables",Q155="Courier receivables",R155="Courier receivables",Q155="Supplier advances",R155="Supplier advances"),H155=""),"Contact ID required",IF(AND(N155="Approved",OR(M155="",M155=L155)),"Independent review needed",IF(OR(N155="Draft",N155="Approved",N155="Void"),"OK","Status required")))))))</x:f>
      </x:c>
    </x:row>
    <x:row r="156" ht="23" customHeight="1">
      <x:c r="A156" s="36"/>
      <x:c r="B156" s="40"/>
      <x:c r="C156" s="36"/>
      <x:c r="D156" s="41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42" t="str">
        <x:f>IF(A156="","",IF(COUNTIFS('Event Guide'!$A$6:$A$29,C156)=1,VLOOKUP(C156,'Event Guide'!$A$6:$C$29,2,FALSE),"Unknown event"))</x:f>
      </x:c>
      <x:c r="P156" s="42" t="str">
        <x:f>IF(A156="","",IF(COUNTIFS('Event Guide'!$A$6:$A$29,C156)=1,VLOOKUP(C156,'Event Guide'!$A$6:$C$29,3,FALSE),"Unknown event"))</x:f>
      </x:c>
      <x:c r="Q156" s="42" t="str">
        <x:f>IF(A156="","",IF(O156="PAY",E156,IF(O156="OTHER",F156,IF(O156="CAPITAL","Capital - "&amp;G156,IF(O156="DUE","Due to - "&amp;G156,IF(O156="DRAW","Drawings - "&amp;G156,O156))))))</x:f>
      </x:c>
      <x:c r="R156" s="42" t="str">
        <x:f>IF(A156="","",IF(P156="PAY",E156,IF(P156="OTHER",F156,IF(P156="CAPITAL","Capital - "&amp;G156,IF(P156="DUE","Due to - "&amp;G156,IF(P156="DRAW","Drawings - "&amp;G156,P156))))))</x:f>
      </x:c>
      <x:c r="S156" s="37" t="n">
        <x:f>IF(AND(N156="Approved",T156="OK"),D156,0)</x:f>
        <x:v>0</x:v>
      </x:c>
      <x:c r="T156" s="42" t="str">
        <x:f>IF(A156="","",IF(COUNTIFS($A$6:$A$505,A156)&lt;&gt;1,"Duplicate ID",IF(OR(NOT(ISNUMBER(B156)),D156&lt;=0,NOT(ISNUMBER(D156)),I156="",J156="",L156=""),"Missing date/amount/ref/details",IF(OR(COUNTIFS('Accounts'!$A$6:$A$105,Q156)&lt;&gt;1,COUNTIFS('Accounts'!$A$6:$A$105,R156)&lt;&gt;1,Q156=R156),"Check accounts/event",IF(AND(OR(Q156="Trade payables",R156="Trade payables",Q156="Customer receivables",R156="Customer receivables",Q156="Courier receivables",R156="Courier receivables",Q156="Supplier advances",R156="Supplier advances"),H156=""),"Contact ID required",IF(AND(N156="Approved",OR(M156="",M156=L156)),"Independent review needed",IF(OR(N156="Draft",N156="Approved",N156="Void"),"OK","Status required")))))))</x:f>
      </x:c>
    </x:row>
    <x:row r="157" ht="23" customHeight="1">
      <x:c r="A157" s="36"/>
      <x:c r="B157" s="40"/>
      <x:c r="C157" s="36"/>
      <x:c r="D157" s="41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42" t="str">
        <x:f>IF(A157="","",IF(COUNTIFS('Event Guide'!$A$6:$A$29,C157)=1,VLOOKUP(C157,'Event Guide'!$A$6:$C$29,2,FALSE),"Unknown event"))</x:f>
      </x:c>
      <x:c r="P157" s="42" t="str">
        <x:f>IF(A157="","",IF(COUNTIFS('Event Guide'!$A$6:$A$29,C157)=1,VLOOKUP(C157,'Event Guide'!$A$6:$C$29,3,FALSE),"Unknown event"))</x:f>
      </x:c>
      <x:c r="Q157" s="42" t="str">
        <x:f>IF(A157="","",IF(O157="PAY",E157,IF(O157="OTHER",F157,IF(O157="CAPITAL","Capital - "&amp;G157,IF(O157="DUE","Due to - "&amp;G157,IF(O157="DRAW","Drawings - "&amp;G157,O157))))))</x:f>
      </x:c>
      <x:c r="R157" s="42" t="str">
        <x:f>IF(A157="","",IF(P157="PAY",E157,IF(P157="OTHER",F157,IF(P157="CAPITAL","Capital - "&amp;G157,IF(P157="DUE","Due to - "&amp;G157,IF(P157="DRAW","Drawings - "&amp;G157,P157))))))</x:f>
      </x:c>
      <x:c r="S157" s="37" t="n">
        <x:f>IF(AND(N157="Approved",T157="OK"),D157,0)</x:f>
        <x:v>0</x:v>
      </x:c>
      <x:c r="T157" s="42" t="str">
        <x:f>IF(A157="","",IF(COUNTIFS($A$6:$A$505,A157)&lt;&gt;1,"Duplicate ID",IF(OR(NOT(ISNUMBER(B157)),D157&lt;=0,NOT(ISNUMBER(D157)),I157="",J157="",L157=""),"Missing date/amount/ref/details",IF(OR(COUNTIFS('Accounts'!$A$6:$A$105,Q157)&lt;&gt;1,COUNTIFS('Accounts'!$A$6:$A$105,R157)&lt;&gt;1,Q157=R157),"Check accounts/event",IF(AND(OR(Q157="Trade payables",R157="Trade payables",Q157="Customer receivables",R157="Customer receivables",Q157="Courier receivables",R157="Courier receivables",Q157="Supplier advances",R157="Supplier advances"),H157=""),"Contact ID required",IF(AND(N157="Approved",OR(M157="",M157=L157)),"Independent review needed",IF(OR(N157="Draft",N157="Approved",N157="Void"),"OK","Status required")))))))</x:f>
      </x:c>
    </x:row>
    <x:row r="158" ht="23" customHeight="1">
      <x:c r="A158" s="36"/>
      <x:c r="B158" s="40"/>
      <x:c r="C158" s="36"/>
      <x:c r="D158" s="41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42" t="str">
        <x:f>IF(A158="","",IF(COUNTIFS('Event Guide'!$A$6:$A$29,C158)=1,VLOOKUP(C158,'Event Guide'!$A$6:$C$29,2,FALSE),"Unknown event"))</x:f>
      </x:c>
      <x:c r="P158" s="42" t="str">
        <x:f>IF(A158="","",IF(COUNTIFS('Event Guide'!$A$6:$A$29,C158)=1,VLOOKUP(C158,'Event Guide'!$A$6:$C$29,3,FALSE),"Unknown event"))</x:f>
      </x:c>
      <x:c r="Q158" s="42" t="str">
        <x:f>IF(A158="","",IF(O158="PAY",E158,IF(O158="OTHER",F158,IF(O158="CAPITAL","Capital - "&amp;G158,IF(O158="DUE","Due to - "&amp;G158,IF(O158="DRAW","Drawings - "&amp;G158,O158))))))</x:f>
      </x:c>
      <x:c r="R158" s="42" t="str">
        <x:f>IF(A158="","",IF(P158="PAY",E158,IF(P158="OTHER",F158,IF(P158="CAPITAL","Capital - "&amp;G158,IF(P158="DUE","Due to - "&amp;G158,IF(P158="DRAW","Drawings - "&amp;G158,P158))))))</x:f>
      </x:c>
      <x:c r="S158" s="37" t="n">
        <x:f>IF(AND(N158="Approved",T158="OK"),D158,0)</x:f>
        <x:v>0</x:v>
      </x:c>
      <x:c r="T158" s="42" t="str">
        <x:f>IF(A158="","",IF(COUNTIFS($A$6:$A$505,A158)&lt;&gt;1,"Duplicate ID",IF(OR(NOT(ISNUMBER(B158)),D158&lt;=0,NOT(ISNUMBER(D158)),I158="",J158="",L158=""),"Missing date/amount/ref/details",IF(OR(COUNTIFS('Accounts'!$A$6:$A$105,Q158)&lt;&gt;1,COUNTIFS('Accounts'!$A$6:$A$105,R158)&lt;&gt;1,Q158=R158),"Check accounts/event",IF(AND(OR(Q158="Trade payables",R158="Trade payables",Q158="Customer receivables",R158="Customer receivables",Q158="Courier receivables",R158="Courier receivables",Q158="Supplier advances",R158="Supplier advances"),H158=""),"Contact ID required",IF(AND(N158="Approved",OR(M158="",M158=L158)),"Independent review needed",IF(OR(N158="Draft",N158="Approved",N158="Void"),"OK","Status required")))))))</x:f>
      </x:c>
    </x:row>
    <x:row r="159" ht="23" customHeight="1">
      <x:c r="A159" s="36"/>
      <x:c r="B159" s="40"/>
      <x:c r="C159" s="36"/>
      <x:c r="D159" s="41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42" t="str">
        <x:f>IF(A159="","",IF(COUNTIFS('Event Guide'!$A$6:$A$29,C159)=1,VLOOKUP(C159,'Event Guide'!$A$6:$C$29,2,FALSE),"Unknown event"))</x:f>
      </x:c>
      <x:c r="P159" s="42" t="str">
        <x:f>IF(A159="","",IF(COUNTIFS('Event Guide'!$A$6:$A$29,C159)=1,VLOOKUP(C159,'Event Guide'!$A$6:$C$29,3,FALSE),"Unknown event"))</x:f>
      </x:c>
      <x:c r="Q159" s="42" t="str">
        <x:f>IF(A159="","",IF(O159="PAY",E159,IF(O159="OTHER",F159,IF(O159="CAPITAL","Capital - "&amp;G159,IF(O159="DUE","Due to - "&amp;G159,IF(O159="DRAW","Drawings - "&amp;G159,O159))))))</x:f>
      </x:c>
      <x:c r="R159" s="42" t="str">
        <x:f>IF(A159="","",IF(P159="PAY",E159,IF(P159="OTHER",F159,IF(P159="CAPITAL","Capital - "&amp;G159,IF(P159="DUE","Due to - "&amp;G159,IF(P159="DRAW","Drawings - "&amp;G159,P159))))))</x:f>
      </x:c>
      <x:c r="S159" s="37" t="n">
        <x:f>IF(AND(N159="Approved",T159="OK"),D159,0)</x:f>
        <x:v>0</x:v>
      </x:c>
      <x:c r="T159" s="42" t="str">
        <x:f>IF(A159="","",IF(COUNTIFS($A$6:$A$505,A159)&lt;&gt;1,"Duplicate ID",IF(OR(NOT(ISNUMBER(B159)),D159&lt;=0,NOT(ISNUMBER(D159)),I159="",J159="",L159=""),"Missing date/amount/ref/details",IF(OR(COUNTIFS('Accounts'!$A$6:$A$105,Q159)&lt;&gt;1,COUNTIFS('Accounts'!$A$6:$A$105,R159)&lt;&gt;1,Q159=R159),"Check accounts/event",IF(AND(OR(Q159="Trade payables",R159="Trade payables",Q159="Customer receivables",R159="Customer receivables",Q159="Courier receivables",R159="Courier receivables",Q159="Supplier advances",R159="Supplier advances"),H159=""),"Contact ID required",IF(AND(N159="Approved",OR(M159="",M159=L159)),"Independent review needed",IF(OR(N159="Draft",N159="Approved",N159="Void"),"OK","Status required")))))))</x:f>
      </x:c>
    </x:row>
    <x:row r="160" ht="23" customHeight="1">
      <x:c r="A160" s="36"/>
      <x:c r="B160" s="40"/>
      <x:c r="C160" s="36"/>
      <x:c r="D160" s="41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42" t="str">
        <x:f>IF(A160="","",IF(COUNTIFS('Event Guide'!$A$6:$A$29,C160)=1,VLOOKUP(C160,'Event Guide'!$A$6:$C$29,2,FALSE),"Unknown event"))</x:f>
      </x:c>
      <x:c r="P160" s="42" t="str">
        <x:f>IF(A160="","",IF(COUNTIFS('Event Guide'!$A$6:$A$29,C160)=1,VLOOKUP(C160,'Event Guide'!$A$6:$C$29,3,FALSE),"Unknown event"))</x:f>
      </x:c>
      <x:c r="Q160" s="42" t="str">
        <x:f>IF(A160="","",IF(O160="PAY",E160,IF(O160="OTHER",F160,IF(O160="CAPITAL","Capital - "&amp;G160,IF(O160="DUE","Due to - "&amp;G160,IF(O160="DRAW","Drawings - "&amp;G160,O160))))))</x:f>
      </x:c>
      <x:c r="R160" s="42" t="str">
        <x:f>IF(A160="","",IF(P160="PAY",E160,IF(P160="OTHER",F160,IF(P160="CAPITAL","Capital - "&amp;G160,IF(P160="DUE","Due to - "&amp;G160,IF(P160="DRAW","Drawings - "&amp;G160,P160))))))</x:f>
      </x:c>
      <x:c r="S160" s="37" t="n">
        <x:f>IF(AND(N160="Approved",T160="OK"),D160,0)</x:f>
        <x:v>0</x:v>
      </x:c>
      <x:c r="T160" s="42" t="str">
        <x:f>IF(A160="","",IF(COUNTIFS($A$6:$A$505,A160)&lt;&gt;1,"Duplicate ID",IF(OR(NOT(ISNUMBER(B160)),D160&lt;=0,NOT(ISNUMBER(D160)),I160="",J160="",L160=""),"Missing date/amount/ref/details",IF(OR(COUNTIFS('Accounts'!$A$6:$A$105,Q160)&lt;&gt;1,COUNTIFS('Accounts'!$A$6:$A$105,R160)&lt;&gt;1,Q160=R160),"Check accounts/event",IF(AND(OR(Q160="Trade payables",R160="Trade payables",Q160="Customer receivables",R160="Customer receivables",Q160="Courier receivables",R160="Courier receivables",Q160="Supplier advances",R160="Supplier advances"),H160=""),"Contact ID required",IF(AND(N160="Approved",OR(M160="",M160=L160)),"Independent review needed",IF(OR(N160="Draft",N160="Approved",N160="Void"),"OK","Status required")))))))</x:f>
      </x:c>
    </x:row>
    <x:row r="161" ht="23" customHeight="1">
      <x:c r="A161" s="36"/>
      <x:c r="B161" s="40"/>
      <x:c r="C161" s="36"/>
      <x:c r="D161" s="41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42" t="str">
        <x:f>IF(A161="","",IF(COUNTIFS('Event Guide'!$A$6:$A$29,C161)=1,VLOOKUP(C161,'Event Guide'!$A$6:$C$29,2,FALSE),"Unknown event"))</x:f>
      </x:c>
      <x:c r="P161" s="42" t="str">
        <x:f>IF(A161="","",IF(COUNTIFS('Event Guide'!$A$6:$A$29,C161)=1,VLOOKUP(C161,'Event Guide'!$A$6:$C$29,3,FALSE),"Unknown event"))</x:f>
      </x:c>
      <x:c r="Q161" s="42" t="str">
        <x:f>IF(A161="","",IF(O161="PAY",E161,IF(O161="OTHER",F161,IF(O161="CAPITAL","Capital - "&amp;G161,IF(O161="DUE","Due to - "&amp;G161,IF(O161="DRAW","Drawings - "&amp;G161,O161))))))</x:f>
      </x:c>
      <x:c r="R161" s="42" t="str">
        <x:f>IF(A161="","",IF(P161="PAY",E161,IF(P161="OTHER",F161,IF(P161="CAPITAL","Capital - "&amp;G161,IF(P161="DUE","Due to - "&amp;G161,IF(P161="DRAW","Drawings - "&amp;G161,P161))))))</x:f>
      </x:c>
      <x:c r="S161" s="37" t="n">
        <x:f>IF(AND(N161="Approved",T161="OK"),D161,0)</x:f>
        <x:v>0</x:v>
      </x:c>
      <x:c r="T161" s="42" t="str">
        <x:f>IF(A161="","",IF(COUNTIFS($A$6:$A$505,A161)&lt;&gt;1,"Duplicate ID",IF(OR(NOT(ISNUMBER(B161)),D161&lt;=0,NOT(ISNUMBER(D161)),I161="",J161="",L161=""),"Missing date/amount/ref/details",IF(OR(COUNTIFS('Accounts'!$A$6:$A$105,Q161)&lt;&gt;1,COUNTIFS('Accounts'!$A$6:$A$105,R161)&lt;&gt;1,Q161=R161),"Check accounts/event",IF(AND(OR(Q161="Trade payables",R161="Trade payables",Q161="Customer receivables",R161="Customer receivables",Q161="Courier receivables",R161="Courier receivables",Q161="Supplier advances",R161="Supplier advances"),H161=""),"Contact ID required",IF(AND(N161="Approved",OR(M161="",M161=L161)),"Independent review needed",IF(OR(N161="Draft",N161="Approved",N161="Void"),"OK","Status required")))))))</x:f>
      </x:c>
    </x:row>
    <x:row r="162" ht="23" customHeight="1">
      <x:c r="A162" s="36"/>
      <x:c r="B162" s="40"/>
      <x:c r="C162" s="36"/>
      <x:c r="D162" s="41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42" t="str">
        <x:f>IF(A162="","",IF(COUNTIFS('Event Guide'!$A$6:$A$29,C162)=1,VLOOKUP(C162,'Event Guide'!$A$6:$C$29,2,FALSE),"Unknown event"))</x:f>
      </x:c>
      <x:c r="P162" s="42" t="str">
        <x:f>IF(A162="","",IF(COUNTIFS('Event Guide'!$A$6:$A$29,C162)=1,VLOOKUP(C162,'Event Guide'!$A$6:$C$29,3,FALSE),"Unknown event"))</x:f>
      </x:c>
      <x:c r="Q162" s="42" t="str">
        <x:f>IF(A162="","",IF(O162="PAY",E162,IF(O162="OTHER",F162,IF(O162="CAPITAL","Capital - "&amp;G162,IF(O162="DUE","Due to - "&amp;G162,IF(O162="DRAW","Drawings - "&amp;G162,O162))))))</x:f>
      </x:c>
      <x:c r="R162" s="42" t="str">
        <x:f>IF(A162="","",IF(P162="PAY",E162,IF(P162="OTHER",F162,IF(P162="CAPITAL","Capital - "&amp;G162,IF(P162="DUE","Due to - "&amp;G162,IF(P162="DRAW","Drawings - "&amp;G162,P162))))))</x:f>
      </x:c>
      <x:c r="S162" s="37" t="n">
        <x:f>IF(AND(N162="Approved",T162="OK"),D162,0)</x:f>
        <x:v>0</x:v>
      </x:c>
      <x:c r="T162" s="42" t="str">
        <x:f>IF(A162="","",IF(COUNTIFS($A$6:$A$505,A162)&lt;&gt;1,"Duplicate ID",IF(OR(NOT(ISNUMBER(B162)),D162&lt;=0,NOT(ISNUMBER(D162)),I162="",J162="",L162=""),"Missing date/amount/ref/details",IF(OR(COUNTIFS('Accounts'!$A$6:$A$105,Q162)&lt;&gt;1,COUNTIFS('Accounts'!$A$6:$A$105,R162)&lt;&gt;1,Q162=R162),"Check accounts/event",IF(AND(OR(Q162="Trade payables",R162="Trade payables",Q162="Customer receivables",R162="Customer receivables",Q162="Courier receivables",R162="Courier receivables",Q162="Supplier advances",R162="Supplier advances"),H162=""),"Contact ID required",IF(AND(N162="Approved",OR(M162="",M162=L162)),"Independent review needed",IF(OR(N162="Draft",N162="Approved",N162="Void"),"OK","Status required")))))))</x:f>
      </x:c>
    </x:row>
    <x:row r="163" ht="23" customHeight="1">
      <x:c r="A163" s="36"/>
      <x:c r="B163" s="40"/>
      <x:c r="C163" s="36"/>
      <x:c r="D163" s="41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42" t="str">
        <x:f>IF(A163="","",IF(COUNTIFS('Event Guide'!$A$6:$A$29,C163)=1,VLOOKUP(C163,'Event Guide'!$A$6:$C$29,2,FALSE),"Unknown event"))</x:f>
      </x:c>
      <x:c r="P163" s="42" t="str">
        <x:f>IF(A163="","",IF(COUNTIFS('Event Guide'!$A$6:$A$29,C163)=1,VLOOKUP(C163,'Event Guide'!$A$6:$C$29,3,FALSE),"Unknown event"))</x:f>
      </x:c>
      <x:c r="Q163" s="42" t="str">
        <x:f>IF(A163="","",IF(O163="PAY",E163,IF(O163="OTHER",F163,IF(O163="CAPITAL","Capital - "&amp;G163,IF(O163="DUE","Due to - "&amp;G163,IF(O163="DRAW","Drawings - "&amp;G163,O163))))))</x:f>
      </x:c>
      <x:c r="R163" s="42" t="str">
        <x:f>IF(A163="","",IF(P163="PAY",E163,IF(P163="OTHER",F163,IF(P163="CAPITAL","Capital - "&amp;G163,IF(P163="DUE","Due to - "&amp;G163,IF(P163="DRAW","Drawings - "&amp;G163,P163))))))</x:f>
      </x:c>
      <x:c r="S163" s="37" t="n">
        <x:f>IF(AND(N163="Approved",T163="OK"),D163,0)</x:f>
        <x:v>0</x:v>
      </x:c>
      <x:c r="T163" s="42" t="str">
        <x:f>IF(A163="","",IF(COUNTIFS($A$6:$A$505,A163)&lt;&gt;1,"Duplicate ID",IF(OR(NOT(ISNUMBER(B163)),D163&lt;=0,NOT(ISNUMBER(D163)),I163="",J163="",L163=""),"Missing date/amount/ref/details",IF(OR(COUNTIFS('Accounts'!$A$6:$A$105,Q163)&lt;&gt;1,COUNTIFS('Accounts'!$A$6:$A$105,R163)&lt;&gt;1,Q163=R163),"Check accounts/event",IF(AND(OR(Q163="Trade payables",R163="Trade payables",Q163="Customer receivables",R163="Customer receivables",Q163="Courier receivables",R163="Courier receivables",Q163="Supplier advances",R163="Supplier advances"),H163=""),"Contact ID required",IF(AND(N163="Approved",OR(M163="",M163=L163)),"Independent review needed",IF(OR(N163="Draft",N163="Approved",N163="Void"),"OK","Status required")))))))</x:f>
      </x:c>
    </x:row>
    <x:row r="164" ht="23" customHeight="1">
      <x:c r="A164" s="36"/>
      <x:c r="B164" s="40"/>
      <x:c r="C164" s="36"/>
      <x:c r="D164" s="41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42" t="str">
        <x:f>IF(A164="","",IF(COUNTIFS('Event Guide'!$A$6:$A$29,C164)=1,VLOOKUP(C164,'Event Guide'!$A$6:$C$29,2,FALSE),"Unknown event"))</x:f>
      </x:c>
      <x:c r="P164" s="42" t="str">
        <x:f>IF(A164="","",IF(COUNTIFS('Event Guide'!$A$6:$A$29,C164)=1,VLOOKUP(C164,'Event Guide'!$A$6:$C$29,3,FALSE),"Unknown event"))</x:f>
      </x:c>
      <x:c r="Q164" s="42" t="str">
        <x:f>IF(A164="","",IF(O164="PAY",E164,IF(O164="OTHER",F164,IF(O164="CAPITAL","Capital - "&amp;G164,IF(O164="DUE","Due to - "&amp;G164,IF(O164="DRAW","Drawings - "&amp;G164,O164))))))</x:f>
      </x:c>
      <x:c r="R164" s="42" t="str">
        <x:f>IF(A164="","",IF(P164="PAY",E164,IF(P164="OTHER",F164,IF(P164="CAPITAL","Capital - "&amp;G164,IF(P164="DUE","Due to - "&amp;G164,IF(P164="DRAW","Drawings - "&amp;G164,P164))))))</x:f>
      </x:c>
      <x:c r="S164" s="37" t="n">
        <x:f>IF(AND(N164="Approved",T164="OK"),D164,0)</x:f>
        <x:v>0</x:v>
      </x:c>
      <x:c r="T164" s="42" t="str">
        <x:f>IF(A164="","",IF(COUNTIFS($A$6:$A$505,A164)&lt;&gt;1,"Duplicate ID",IF(OR(NOT(ISNUMBER(B164)),D164&lt;=0,NOT(ISNUMBER(D164)),I164="",J164="",L164=""),"Missing date/amount/ref/details",IF(OR(COUNTIFS('Accounts'!$A$6:$A$105,Q164)&lt;&gt;1,COUNTIFS('Accounts'!$A$6:$A$105,R164)&lt;&gt;1,Q164=R164),"Check accounts/event",IF(AND(OR(Q164="Trade payables",R164="Trade payables",Q164="Customer receivables",R164="Customer receivables",Q164="Courier receivables",R164="Courier receivables",Q164="Supplier advances",R164="Supplier advances"),H164=""),"Contact ID required",IF(AND(N164="Approved",OR(M164="",M164=L164)),"Independent review needed",IF(OR(N164="Draft",N164="Approved",N164="Void"),"OK","Status required")))))))</x:f>
      </x:c>
    </x:row>
    <x:row r="165" ht="23" customHeight="1">
      <x:c r="A165" s="36"/>
      <x:c r="B165" s="40"/>
      <x:c r="C165" s="36"/>
      <x:c r="D165" s="41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42" t="str">
        <x:f>IF(A165="","",IF(COUNTIFS('Event Guide'!$A$6:$A$29,C165)=1,VLOOKUP(C165,'Event Guide'!$A$6:$C$29,2,FALSE),"Unknown event"))</x:f>
      </x:c>
      <x:c r="P165" s="42" t="str">
        <x:f>IF(A165="","",IF(COUNTIFS('Event Guide'!$A$6:$A$29,C165)=1,VLOOKUP(C165,'Event Guide'!$A$6:$C$29,3,FALSE),"Unknown event"))</x:f>
      </x:c>
      <x:c r="Q165" s="42" t="str">
        <x:f>IF(A165="","",IF(O165="PAY",E165,IF(O165="OTHER",F165,IF(O165="CAPITAL","Capital - "&amp;G165,IF(O165="DUE","Due to - "&amp;G165,IF(O165="DRAW","Drawings - "&amp;G165,O165))))))</x:f>
      </x:c>
      <x:c r="R165" s="42" t="str">
        <x:f>IF(A165="","",IF(P165="PAY",E165,IF(P165="OTHER",F165,IF(P165="CAPITAL","Capital - "&amp;G165,IF(P165="DUE","Due to - "&amp;G165,IF(P165="DRAW","Drawings - "&amp;G165,P165))))))</x:f>
      </x:c>
      <x:c r="S165" s="37" t="n">
        <x:f>IF(AND(N165="Approved",T165="OK"),D165,0)</x:f>
        <x:v>0</x:v>
      </x:c>
      <x:c r="T165" s="42" t="str">
        <x:f>IF(A165="","",IF(COUNTIFS($A$6:$A$505,A165)&lt;&gt;1,"Duplicate ID",IF(OR(NOT(ISNUMBER(B165)),D165&lt;=0,NOT(ISNUMBER(D165)),I165="",J165="",L165=""),"Missing date/amount/ref/details",IF(OR(COUNTIFS('Accounts'!$A$6:$A$105,Q165)&lt;&gt;1,COUNTIFS('Accounts'!$A$6:$A$105,R165)&lt;&gt;1,Q165=R165),"Check accounts/event",IF(AND(OR(Q165="Trade payables",R165="Trade payables",Q165="Customer receivables",R165="Customer receivables",Q165="Courier receivables",R165="Courier receivables",Q165="Supplier advances",R165="Supplier advances"),H165=""),"Contact ID required",IF(AND(N165="Approved",OR(M165="",M165=L165)),"Independent review needed",IF(OR(N165="Draft",N165="Approved",N165="Void"),"OK","Status required")))))))</x:f>
      </x:c>
    </x:row>
    <x:row r="166" ht="23" customHeight="1">
      <x:c r="A166" s="36"/>
      <x:c r="B166" s="40"/>
      <x:c r="C166" s="36"/>
      <x:c r="D166" s="41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42" t="str">
        <x:f>IF(A166="","",IF(COUNTIFS('Event Guide'!$A$6:$A$29,C166)=1,VLOOKUP(C166,'Event Guide'!$A$6:$C$29,2,FALSE),"Unknown event"))</x:f>
      </x:c>
      <x:c r="P166" s="42" t="str">
        <x:f>IF(A166="","",IF(COUNTIFS('Event Guide'!$A$6:$A$29,C166)=1,VLOOKUP(C166,'Event Guide'!$A$6:$C$29,3,FALSE),"Unknown event"))</x:f>
      </x:c>
      <x:c r="Q166" s="42" t="str">
        <x:f>IF(A166="","",IF(O166="PAY",E166,IF(O166="OTHER",F166,IF(O166="CAPITAL","Capital - "&amp;G166,IF(O166="DUE","Due to - "&amp;G166,IF(O166="DRAW","Drawings - "&amp;G166,O166))))))</x:f>
      </x:c>
      <x:c r="R166" s="42" t="str">
        <x:f>IF(A166="","",IF(P166="PAY",E166,IF(P166="OTHER",F166,IF(P166="CAPITAL","Capital - "&amp;G166,IF(P166="DUE","Due to - "&amp;G166,IF(P166="DRAW","Drawings - "&amp;G166,P166))))))</x:f>
      </x:c>
      <x:c r="S166" s="37" t="n">
        <x:f>IF(AND(N166="Approved",T166="OK"),D166,0)</x:f>
        <x:v>0</x:v>
      </x:c>
      <x:c r="T166" s="42" t="str">
        <x:f>IF(A166="","",IF(COUNTIFS($A$6:$A$505,A166)&lt;&gt;1,"Duplicate ID",IF(OR(NOT(ISNUMBER(B166)),D166&lt;=0,NOT(ISNUMBER(D166)),I166="",J166="",L166=""),"Missing date/amount/ref/details",IF(OR(COUNTIFS('Accounts'!$A$6:$A$105,Q166)&lt;&gt;1,COUNTIFS('Accounts'!$A$6:$A$105,R166)&lt;&gt;1,Q166=R166),"Check accounts/event",IF(AND(OR(Q166="Trade payables",R166="Trade payables",Q166="Customer receivables",R166="Customer receivables",Q166="Courier receivables",R166="Courier receivables",Q166="Supplier advances",R166="Supplier advances"),H166=""),"Contact ID required",IF(AND(N166="Approved",OR(M166="",M166=L166)),"Independent review needed",IF(OR(N166="Draft",N166="Approved",N166="Void"),"OK","Status required")))))))</x:f>
      </x:c>
    </x:row>
    <x:row r="167" ht="23" customHeight="1">
      <x:c r="A167" s="36"/>
      <x:c r="B167" s="40"/>
      <x:c r="C167" s="36"/>
      <x:c r="D167" s="41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42" t="str">
        <x:f>IF(A167="","",IF(COUNTIFS('Event Guide'!$A$6:$A$29,C167)=1,VLOOKUP(C167,'Event Guide'!$A$6:$C$29,2,FALSE),"Unknown event"))</x:f>
      </x:c>
      <x:c r="P167" s="42" t="str">
        <x:f>IF(A167="","",IF(COUNTIFS('Event Guide'!$A$6:$A$29,C167)=1,VLOOKUP(C167,'Event Guide'!$A$6:$C$29,3,FALSE),"Unknown event"))</x:f>
      </x:c>
      <x:c r="Q167" s="42" t="str">
        <x:f>IF(A167="","",IF(O167="PAY",E167,IF(O167="OTHER",F167,IF(O167="CAPITAL","Capital - "&amp;G167,IF(O167="DUE","Due to - "&amp;G167,IF(O167="DRAW","Drawings - "&amp;G167,O167))))))</x:f>
      </x:c>
      <x:c r="R167" s="42" t="str">
        <x:f>IF(A167="","",IF(P167="PAY",E167,IF(P167="OTHER",F167,IF(P167="CAPITAL","Capital - "&amp;G167,IF(P167="DUE","Due to - "&amp;G167,IF(P167="DRAW","Drawings - "&amp;G167,P167))))))</x:f>
      </x:c>
      <x:c r="S167" s="37" t="n">
        <x:f>IF(AND(N167="Approved",T167="OK"),D167,0)</x:f>
        <x:v>0</x:v>
      </x:c>
      <x:c r="T167" s="42" t="str">
        <x:f>IF(A167="","",IF(COUNTIFS($A$6:$A$505,A167)&lt;&gt;1,"Duplicate ID",IF(OR(NOT(ISNUMBER(B167)),D167&lt;=0,NOT(ISNUMBER(D167)),I167="",J167="",L167=""),"Missing date/amount/ref/details",IF(OR(COUNTIFS('Accounts'!$A$6:$A$105,Q167)&lt;&gt;1,COUNTIFS('Accounts'!$A$6:$A$105,R167)&lt;&gt;1,Q167=R167),"Check accounts/event",IF(AND(OR(Q167="Trade payables",R167="Trade payables",Q167="Customer receivables",R167="Customer receivables",Q167="Courier receivables",R167="Courier receivables",Q167="Supplier advances",R167="Supplier advances"),H167=""),"Contact ID required",IF(AND(N167="Approved",OR(M167="",M167=L167)),"Independent review needed",IF(OR(N167="Draft",N167="Approved",N167="Void"),"OK","Status required")))))))</x:f>
      </x:c>
    </x:row>
    <x:row r="168" ht="23" customHeight="1">
      <x:c r="A168" s="36"/>
      <x:c r="B168" s="40"/>
      <x:c r="C168" s="36"/>
      <x:c r="D168" s="41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42" t="str">
        <x:f>IF(A168="","",IF(COUNTIFS('Event Guide'!$A$6:$A$29,C168)=1,VLOOKUP(C168,'Event Guide'!$A$6:$C$29,2,FALSE),"Unknown event"))</x:f>
      </x:c>
      <x:c r="P168" s="42" t="str">
        <x:f>IF(A168="","",IF(COUNTIFS('Event Guide'!$A$6:$A$29,C168)=1,VLOOKUP(C168,'Event Guide'!$A$6:$C$29,3,FALSE),"Unknown event"))</x:f>
      </x:c>
      <x:c r="Q168" s="42" t="str">
        <x:f>IF(A168="","",IF(O168="PAY",E168,IF(O168="OTHER",F168,IF(O168="CAPITAL","Capital - "&amp;G168,IF(O168="DUE","Due to - "&amp;G168,IF(O168="DRAW","Drawings - "&amp;G168,O168))))))</x:f>
      </x:c>
      <x:c r="R168" s="42" t="str">
        <x:f>IF(A168="","",IF(P168="PAY",E168,IF(P168="OTHER",F168,IF(P168="CAPITAL","Capital - "&amp;G168,IF(P168="DUE","Due to - "&amp;G168,IF(P168="DRAW","Drawings - "&amp;G168,P168))))))</x:f>
      </x:c>
      <x:c r="S168" s="37" t="n">
        <x:f>IF(AND(N168="Approved",T168="OK"),D168,0)</x:f>
        <x:v>0</x:v>
      </x:c>
      <x:c r="T168" s="42" t="str">
        <x:f>IF(A168="","",IF(COUNTIFS($A$6:$A$505,A168)&lt;&gt;1,"Duplicate ID",IF(OR(NOT(ISNUMBER(B168)),D168&lt;=0,NOT(ISNUMBER(D168)),I168="",J168="",L168=""),"Missing date/amount/ref/details",IF(OR(COUNTIFS('Accounts'!$A$6:$A$105,Q168)&lt;&gt;1,COUNTIFS('Accounts'!$A$6:$A$105,R168)&lt;&gt;1,Q168=R168),"Check accounts/event",IF(AND(OR(Q168="Trade payables",R168="Trade payables",Q168="Customer receivables",R168="Customer receivables",Q168="Courier receivables",R168="Courier receivables",Q168="Supplier advances",R168="Supplier advances"),H168=""),"Contact ID required",IF(AND(N168="Approved",OR(M168="",M168=L168)),"Independent review needed",IF(OR(N168="Draft",N168="Approved",N168="Void"),"OK","Status required")))))))</x:f>
      </x:c>
    </x:row>
    <x:row r="169" ht="23" customHeight="1">
      <x:c r="A169" s="36"/>
      <x:c r="B169" s="40"/>
      <x:c r="C169" s="36"/>
      <x:c r="D169" s="41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42" t="str">
        <x:f>IF(A169="","",IF(COUNTIFS('Event Guide'!$A$6:$A$29,C169)=1,VLOOKUP(C169,'Event Guide'!$A$6:$C$29,2,FALSE),"Unknown event"))</x:f>
      </x:c>
      <x:c r="P169" s="42" t="str">
        <x:f>IF(A169="","",IF(COUNTIFS('Event Guide'!$A$6:$A$29,C169)=1,VLOOKUP(C169,'Event Guide'!$A$6:$C$29,3,FALSE),"Unknown event"))</x:f>
      </x:c>
      <x:c r="Q169" s="42" t="str">
        <x:f>IF(A169="","",IF(O169="PAY",E169,IF(O169="OTHER",F169,IF(O169="CAPITAL","Capital - "&amp;G169,IF(O169="DUE","Due to - "&amp;G169,IF(O169="DRAW","Drawings - "&amp;G169,O169))))))</x:f>
      </x:c>
      <x:c r="R169" s="42" t="str">
        <x:f>IF(A169="","",IF(P169="PAY",E169,IF(P169="OTHER",F169,IF(P169="CAPITAL","Capital - "&amp;G169,IF(P169="DUE","Due to - "&amp;G169,IF(P169="DRAW","Drawings - "&amp;G169,P169))))))</x:f>
      </x:c>
      <x:c r="S169" s="37" t="n">
        <x:f>IF(AND(N169="Approved",T169="OK"),D169,0)</x:f>
        <x:v>0</x:v>
      </x:c>
      <x:c r="T169" s="42" t="str">
        <x:f>IF(A169="","",IF(COUNTIFS($A$6:$A$505,A169)&lt;&gt;1,"Duplicate ID",IF(OR(NOT(ISNUMBER(B169)),D169&lt;=0,NOT(ISNUMBER(D169)),I169="",J169="",L169=""),"Missing date/amount/ref/details",IF(OR(COUNTIFS('Accounts'!$A$6:$A$105,Q169)&lt;&gt;1,COUNTIFS('Accounts'!$A$6:$A$105,R169)&lt;&gt;1,Q169=R169),"Check accounts/event",IF(AND(OR(Q169="Trade payables",R169="Trade payables",Q169="Customer receivables",R169="Customer receivables",Q169="Courier receivables",R169="Courier receivables",Q169="Supplier advances",R169="Supplier advances"),H169=""),"Contact ID required",IF(AND(N169="Approved",OR(M169="",M169=L169)),"Independent review needed",IF(OR(N169="Draft",N169="Approved",N169="Void"),"OK","Status required")))))))</x:f>
      </x:c>
    </x:row>
    <x:row r="170" ht="23" customHeight="1">
      <x:c r="A170" s="36"/>
      <x:c r="B170" s="40"/>
      <x:c r="C170" s="36"/>
      <x:c r="D170" s="41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42" t="str">
        <x:f>IF(A170="","",IF(COUNTIFS('Event Guide'!$A$6:$A$29,C170)=1,VLOOKUP(C170,'Event Guide'!$A$6:$C$29,2,FALSE),"Unknown event"))</x:f>
      </x:c>
      <x:c r="P170" s="42" t="str">
        <x:f>IF(A170="","",IF(COUNTIFS('Event Guide'!$A$6:$A$29,C170)=1,VLOOKUP(C170,'Event Guide'!$A$6:$C$29,3,FALSE),"Unknown event"))</x:f>
      </x:c>
      <x:c r="Q170" s="42" t="str">
        <x:f>IF(A170="","",IF(O170="PAY",E170,IF(O170="OTHER",F170,IF(O170="CAPITAL","Capital - "&amp;G170,IF(O170="DUE","Due to - "&amp;G170,IF(O170="DRAW","Drawings - "&amp;G170,O170))))))</x:f>
      </x:c>
      <x:c r="R170" s="42" t="str">
        <x:f>IF(A170="","",IF(P170="PAY",E170,IF(P170="OTHER",F170,IF(P170="CAPITAL","Capital - "&amp;G170,IF(P170="DUE","Due to - "&amp;G170,IF(P170="DRAW","Drawings - "&amp;G170,P170))))))</x:f>
      </x:c>
      <x:c r="S170" s="37" t="n">
        <x:f>IF(AND(N170="Approved",T170="OK"),D170,0)</x:f>
        <x:v>0</x:v>
      </x:c>
      <x:c r="T170" s="42" t="str">
        <x:f>IF(A170="","",IF(COUNTIFS($A$6:$A$505,A170)&lt;&gt;1,"Duplicate ID",IF(OR(NOT(ISNUMBER(B170)),D170&lt;=0,NOT(ISNUMBER(D170)),I170="",J170="",L170=""),"Missing date/amount/ref/details",IF(OR(COUNTIFS('Accounts'!$A$6:$A$105,Q170)&lt;&gt;1,COUNTIFS('Accounts'!$A$6:$A$105,R170)&lt;&gt;1,Q170=R170),"Check accounts/event",IF(AND(OR(Q170="Trade payables",R170="Trade payables",Q170="Customer receivables",R170="Customer receivables",Q170="Courier receivables",R170="Courier receivables",Q170="Supplier advances",R170="Supplier advances"),H170=""),"Contact ID required",IF(AND(N170="Approved",OR(M170="",M170=L170)),"Independent review needed",IF(OR(N170="Draft",N170="Approved",N170="Void"),"OK","Status required")))))))</x:f>
      </x:c>
    </x:row>
    <x:row r="171" ht="23" customHeight="1">
      <x:c r="A171" s="36"/>
      <x:c r="B171" s="40"/>
      <x:c r="C171" s="36"/>
      <x:c r="D171" s="41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42" t="str">
        <x:f>IF(A171="","",IF(COUNTIFS('Event Guide'!$A$6:$A$29,C171)=1,VLOOKUP(C171,'Event Guide'!$A$6:$C$29,2,FALSE),"Unknown event"))</x:f>
      </x:c>
      <x:c r="P171" s="42" t="str">
        <x:f>IF(A171="","",IF(COUNTIFS('Event Guide'!$A$6:$A$29,C171)=1,VLOOKUP(C171,'Event Guide'!$A$6:$C$29,3,FALSE),"Unknown event"))</x:f>
      </x:c>
      <x:c r="Q171" s="42" t="str">
        <x:f>IF(A171="","",IF(O171="PAY",E171,IF(O171="OTHER",F171,IF(O171="CAPITAL","Capital - "&amp;G171,IF(O171="DUE","Due to - "&amp;G171,IF(O171="DRAW","Drawings - "&amp;G171,O171))))))</x:f>
      </x:c>
      <x:c r="R171" s="42" t="str">
        <x:f>IF(A171="","",IF(P171="PAY",E171,IF(P171="OTHER",F171,IF(P171="CAPITAL","Capital - "&amp;G171,IF(P171="DUE","Due to - "&amp;G171,IF(P171="DRAW","Drawings - "&amp;G171,P171))))))</x:f>
      </x:c>
      <x:c r="S171" s="37" t="n">
        <x:f>IF(AND(N171="Approved",T171="OK"),D171,0)</x:f>
        <x:v>0</x:v>
      </x:c>
      <x:c r="T171" s="42" t="str">
        <x:f>IF(A171="","",IF(COUNTIFS($A$6:$A$505,A171)&lt;&gt;1,"Duplicate ID",IF(OR(NOT(ISNUMBER(B171)),D171&lt;=0,NOT(ISNUMBER(D171)),I171="",J171="",L171=""),"Missing date/amount/ref/details",IF(OR(COUNTIFS('Accounts'!$A$6:$A$105,Q171)&lt;&gt;1,COUNTIFS('Accounts'!$A$6:$A$105,R171)&lt;&gt;1,Q171=R171),"Check accounts/event",IF(AND(OR(Q171="Trade payables",R171="Trade payables",Q171="Customer receivables",R171="Customer receivables",Q171="Courier receivables",R171="Courier receivables",Q171="Supplier advances",R171="Supplier advances"),H171=""),"Contact ID required",IF(AND(N171="Approved",OR(M171="",M171=L171)),"Independent review needed",IF(OR(N171="Draft",N171="Approved",N171="Void"),"OK","Status required")))))))</x:f>
      </x:c>
    </x:row>
    <x:row r="172" ht="23" customHeight="1">
      <x:c r="A172" s="36"/>
      <x:c r="B172" s="40"/>
      <x:c r="C172" s="36"/>
      <x:c r="D172" s="41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42" t="str">
        <x:f>IF(A172="","",IF(COUNTIFS('Event Guide'!$A$6:$A$29,C172)=1,VLOOKUP(C172,'Event Guide'!$A$6:$C$29,2,FALSE),"Unknown event"))</x:f>
      </x:c>
      <x:c r="P172" s="42" t="str">
        <x:f>IF(A172="","",IF(COUNTIFS('Event Guide'!$A$6:$A$29,C172)=1,VLOOKUP(C172,'Event Guide'!$A$6:$C$29,3,FALSE),"Unknown event"))</x:f>
      </x:c>
      <x:c r="Q172" s="42" t="str">
        <x:f>IF(A172="","",IF(O172="PAY",E172,IF(O172="OTHER",F172,IF(O172="CAPITAL","Capital - "&amp;G172,IF(O172="DUE","Due to - "&amp;G172,IF(O172="DRAW","Drawings - "&amp;G172,O172))))))</x:f>
      </x:c>
      <x:c r="R172" s="42" t="str">
        <x:f>IF(A172="","",IF(P172="PAY",E172,IF(P172="OTHER",F172,IF(P172="CAPITAL","Capital - "&amp;G172,IF(P172="DUE","Due to - "&amp;G172,IF(P172="DRAW","Drawings - "&amp;G172,P172))))))</x:f>
      </x:c>
      <x:c r="S172" s="37" t="n">
        <x:f>IF(AND(N172="Approved",T172="OK"),D172,0)</x:f>
        <x:v>0</x:v>
      </x:c>
      <x:c r="T172" s="42" t="str">
        <x:f>IF(A172="","",IF(COUNTIFS($A$6:$A$505,A172)&lt;&gt;1,"Duplicate ID",IF(OR(NOT(ISNUMBER(B172)),D172&lt;=0,NOT(ISNUMBER(D172)),I172="",J172="",L172=""),"Missing date/amount/ref/details",IF(OR(COUNTIFS('Accounts'!$A$6:$A$105,Q172)&lt;&gt;1,COUNTIFS('Accounts'!$A$6:$A$105,R172)&lt;&gt;1,Q172=R172),"Check accounts/event",IF(AND(OR(Q172="Trade payables",R172="Trade payables",Q172="Customer receivables",R172="Customer receivables",Q172="Courier receivables",R172="Courier receivables",Q172="Supplier advances",R172="Supplier advances"),H172=""),"Contact ID required",IF(AND(N172="Approved",OR(M172="",M172=L172)),"Independent review needed",IF(OR(N172="Draft",N172="Approved",N172="Void"),"OK","Status required")))))))</x:f>
      </x:c>
    </x:row>
    <x:row r="173" ht="23" customHeight="1">
      <x:c r="A173" s="36"/>
      <x:c r="B173" s="40"/>
      <x:c r="C173" s="36"/>
      <x:c r="D173" s="41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42" t="str">
        <x:f>IF(A173="","",IF(COUNTIFS('Event Guide'!$A$6:$A$29,C173)=1,VLOOKUP(C173,'Event Guide'!$A$6:$C$29,2,FALSE),"Unknown event"))</x:f>
      </x:c>
      <x:c r="P173" s="42" t="str">
        <x:f>IF(A173="","",IF(COUNTIFS('Event Guide'!$A$6:$A$29,C173)=1,VLOOKUP(C173,'Event Guide'!$A$6:$C$29,3,FALSE),"Unknown event"))</x:f>
      </x:c>
      <x:c r="Q173" s="42" t="str">
        <x:f>IF(A173="","",IF(O173="PAY",E173,IF(O173="OTHER",F173,IF(O173="CAPITAL","Capital - "&amp;G173,IF(O173="DUE","Due to - "&amp;G173,IF(O173="DRAW","Drawings - "&amp;G173,O173))))))</x:f>
      </x:c>
      <x:c r="R173" s="42" t="str">
        <x:f>IF(A173="","",IF(P173="PAY",E173,IF(P173="OTHER",F173,IF(P173="CAPITAL","Capital - "&amp;G173,IF(P173="DUE","Due to - "&amp;G173,IF(P173="DRAW","Drawings - "&amp;G173,P173))))))</x:f>
      </x:c>
      <x:c r="S173" s="37" t="n">
        <x:f>IF(AND(N173="Approved",T173="OK"),D173,0)</x:f>
        <x:v>0</x:v>
      </x:c>
      <x:c r="T173" s="42" t="str">
        <x:f>IF(A173="","",IF(COUNTIFS($A$6:$A$505,A173)&lt;&gt;1,"Duplicate ID",IF(OR(NOT(ISNUMBER(B173)),D173&lt;=0,NOT(ISNUMBER(D173)),I173="",J173="",L173=""),"Missing date/amount/ref/details",IF(OR(COUNTIFS('Accounts'!$A$6:$A$105,Q173)&lt;&gt;1,COUNTIFS('Accounts'!$A$6:$A$105,R173)&lt;&gt;1,Q173=R173),"Check accounts/event",IF(AND(OR(Q173="Trade payables",R173="Trade payables",Q173="Customer receivables",R173="Customer receivables",Q173="Courier receivables",R173="Courier receivables",Q173="Supplier advances",R173="Supplier advances"),H173=""),"Contact ID required",IF(AND(N173="Approved",OR(M173="",M173=L173)),"Independent review needed",IF(OR(N173="Draft",N173="Approved",N173="Void"),"OK","Status required")))))))</x:f>
      </x:c>
    </x:row>
    <x:row r="174" ht="23" customHeight="1">
      <x:c r="A174" s="36"/>
      <x:c r="B174" s="40"/>
      <x:c r="C174" s="36"/>
      <x:c r="D174" s="41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42" t="str">
        <x:f>IF(A174="","",IF(COUNTIFS('Event Guide'!$A$6:$A$29,C174)=1,VLOOKUP(C174,'Event Guide'!$A$6:$C$29,2,FALSE),"Unknown event"))</x:f>
      </x:c>
      <x:c r="P174" s="42" t="str">
        <x:f>IF(A174="","",IF(COUNTIFS('Event Guide'!$A$6:$A$29,C174)=1,VLOOKUP(C174,'Event Guide'!$A$6:$C$29,3,FALSE),"Unknown event"))</x:f>
      </x:c>
      <x:c r="Q174" s="42" t="str">
        <x:f>IF(A174="","",IF(O174="PAY",E174,IF(O174="OTHER",F174,IF(O174="CAPITAL","Capital - "&amp;G174,IF(O174="DUE","Due to - "&amp;G174,IF(O174="DRAW","Drawings - "&amp;G174,O174))))))</x:f>
      </x:c>
      <x:c r="R174" s="42" t="str">
        <x:f>IF(A174="","",IF(P174="PAY",E174,IF(P174="OTHER",F174,IF(P174="CAPITAL","Capital - "&amp;G174,IF(P174="DUE","Due to - "&amp;G174,IF(P174="DRAW","Drawings - "&amp;G174,P174))))))</x:f>
      </x:c>
      <x:c r="S174" s="37" t="n">
        <x:f>IF(AND(N174="Approved",T174="OK"),D174,0)</x:f>
        <x:v>0</x:v>
      </x:c>
      <x:c r="T174" s="42" t="str">
        <x:f>IF(A174="","",IF(COUNTIFS($A$6:$A$505,A174)&lt;&gt;1,"Duplicate ID",IF(OR(NOT(ISNUMBER(B174)),D174&lt;=0,NOT(ISNUMBER(D174)),I174="",J174="",L174=""),"Missing date/amount/ref/details",IF(OR(COUNTIFS('Accounts'!$A$6:$A$105,Q174)&lt;&gt;1,COUNTIFS('Accounts'!$A$6:$A$105,R174)&lt;&gt;1,Q174=R174),"Check accounts/event",IF(AND(OR(Q174="Trade payables",R174="Trade payables",Q174="Customer receivables",R174="Customer receivables",Q174="Courier receivables",R174="Courier receivables",Q174="Supplier advances",R174="Supplier advances"),H174=""),"Contact ID required",IF(AND(N174="Approved",OR(M174="",M174=L174)),"Independent review needed",IF(OR(N174="Draft",N174="Approved",N174="Void"),"OK","Status required")))))))</x:f>
      </x:c>
    </x:row>
    <x:row r="175" ht="23" customHeight="1">
      <x:c r="A175" s="36"/>
      <x:c r="B175" s="40"/>
      <x:c r="C175" s="36"/>
      <x:c r="D175" s="41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42" t="str">
        <x:f>IF(A175="","",IF(COUNTIFS('Event Guide'!$A$6:$A$29,C175)=1,VLOOKUP(C175,'Event Guide'!$A$6:$C$29,2,FALSE),"Unknown event"))</x:f>
      </x:c>
      <x:c r="P175" s="42" t="str">
        <x:f>IF(A175="","",IF(COUNTIFS('Event Guide'!$A$6:$A$29,C175)=1,VLOOKUP(C175,'Event Guide'!$A$6:$C$29,3,FALSE),"Unknown event"))</x:f>
      </x:c>
      <x:c r="Q175" s="42" t="str">
        <x:f>IF(A175="","",IF(O175="PAY",E175,IF(O175="OTHER",F175,IF(O175="CAPITAL","Capital - "&amp;G175,IF(O175="DUE","Due to - "&amp;G175,IF(O175="DRAW","Drawings - "&amp;G175,O175))))))</x:f>
      </x:c>
      <x:c r="R175" s="42" t="str">
        <x:f>IF(A175="","",IF(P175="PAY",E175,IF(P175="OTHER",F175,IF(P175="CAPITAL","Capital - "&amp;G175,IF(P175="DUE","Due to - "&amp;G175,IF(P175="DRAW","Drawings - "&amp;G175,P175))))))</x:f>
      </x:c>
      <x:c r="S175" s="37" t="n">
        <x:f>IF(AND(N175="Approved",T175="OK"),D175,0)</x:f>
        <x:v>0</x:v>
      </x:c>
      <x:c r="T175" s="42" t="str">
        <x:f>IF(A175="","",IF(COUNTIFS($A$6:$A$505,A175)&lt;&gt;1,"Duplicate ID",IF(OR(NOT(ISNUMBER(B175)),D175&lt;=0,NOT(ISNUMBER(D175)),I175="",J175="",L175=""),"Missing date/amount/ref/details",IF(OR(COUNTIFS('Accounts'!$A$6:$A$105,Q175)&lt;&gt;1,COUNTIFS('Accounts'!$A$6:$A$105,R175)&lt;&gt;1,Q175=R175),"Check accounts/event",IF(AND(OR(Q175="Trade payables",R175="Trade payables",Q175="Customer receivables",R175="Customer receivables",Q175="Courier receivables",R175="Courier receivables",Q175="Supplier advances",R175="Supplier advances"),H175=""),"Contact ID required",IF(AND(N175="Approved",OR(M175="",M175=L175)),"Independent review needed",IF(OR(N175="Draft",N175="Approved",N175="Void"),"OK","Status required")))))))</x:f>
      </x:c>
    </x:row>
    <x:row r="176" ht="23" customHeight="1">
      <x:c r="A176" s="36"/>
      <x:c r="B176" s="40"/>
      <x:c r="C176" s="36"/>
      <x:c r="D176" s="41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42" t="str">
        <x:f>IF(A176="","",IF(COUNTIFS('Event Guide'!$A$6:$A$29,C176)=1,VLOOKUP(C176,'Event Guide'!$A$6:$C$29,2,FALSE),"Unknown event"))</x:f>
      </x:c>
      <x:c r="P176" s="42" t="str">
        <x:f>IF(A176="","",IF(COUNTIFS('Event Guide'!$A$6:$A$29,C176)=1,VLOOKUP(C176,'Event Guide'!$A$6:$C$29,3,FALSE),"Unknown event"))</x:f>
      </x:c>
      <x:c r="Q176" s="42" t="str">
        <x:f>IF(A176="","",IF(O176="PAY",E176,IF(O176="OTHER",F176,IF(O176="CAPITAL","Capital - "&amp;G176,IF(O176="DUE","Due to - "&amp;G176,IF(O176="DRAW","Drawings - "&amp;G176,O176))))))</x:f>
      </x:c>
      <x:c r="R176" s="42" t="str">
        <x:f>IF(A176="","",IF(P176="PAY",E176,IF(P176="OTHER",F176,IF(P176="CAPITAL","Capital - "&amp;G176,IF(P176="DUE","Due to - "&amp;G176,IF(P176="DRAW","Drawings - "&amp;G176,P176))))))</x:f>
      </x:c>
      <x:c r="S176" s="37" t="n">
        <x:f>IF(AND(N176="Approved",T176="OK"),D176,0)</x:f>
        <x:v>0</x:v>
      </x:c>
      <x:c r="T176" s="42" t="str">
        <x:f>IF(A176="","",IF(COUNTIFS($A$6:$A$505,A176)&lt;&gt;1,"Duplicate ID",IF(OR(NOT(ISNUMBER(B176)),D176&lt;=0,NOT(ISNUMBER(D176)),I176="",J176="",L176=""),"Missing date/amount/ref/details",IF(OR(COUNTIFS('Accounts'!$A$6:$A$105,Q176)&lt;&gt;1,COUNTIFS('Accounts'!$A$6:$A$105,R176)&lt;&gt;1,Q176=R176),"Check accounts/event",IF(AND(OR(Q176="Trade payables",R176="Trade payables",Q176="Customer receivables",R176="Customer receivables",Q176="Courier receivables",R176="Courier receivables",Q176="Supplier advances",R176="Supplier advances"),H176=""),"Contact ID required",IF(AND(N176="Approved",OR(M176="",M176=L176)),"Independent review needed",IF(OR(N176="Draft",N176="Approved",N176="Void"),"OK","Status required")))))))</x:f>
      </x:c>
    </x:row>
    <x:row r="177" ht="23" customHeight="1">
      <x:c r="A177" s="36"/>
      <x:c r="B177" s="40"/>
      <x:c r="C177" s="36"/>
      <x:c r="D177" s="41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42" t="str">
        <x:f>IF(A177="","",IF(COUNTIFS('Event Guide'!$A$6:$A$29,C177)=1,VLOOKUP(C177,'Event Guide'!$A$6:$C$29,2,FALSE),"Unknown event"))</x:f>
      </x:c>
      <x:c r="P177" s="42" t="str">
        <x:f>IF(A177="","",IF(COUNTIFS('Event Guide'!$A$6:$A$29,C177)=1,VLOOKUP(C177,'Event Guide'!$A$6:$C$29,3,FALSE),"Unknown event"))</x:f>
      </x:c>
      <x:c r="Q177" s="42" t="str">
        <x:f>IF(A177="","",IF(O177="PAY",E177,IF(O177="OTHER",F177,IF(O177="CAPITAL","Capital - "&amp;G177,IF(O177="DUE","Due to - "&amp;G177,IF(O177="DRAW","Drawings - "&amp;G177,O177))))))</x:f>
      </x:c>
      <x:c r="R177" s="42" t="str">
        <x:f>IF(A177="","",IF(P177="PAY",E177,IF(P177="OTHER",F177,IF(P177="CAPITAL","Capital - "&amp;G177,IF(P177="DUE","Due to - "&amp;G177,IF(P177="DRAW","Drawings - "&amp;G177,P177))))))</x:f>
      </x:c>
      <x:c r="S177" s="37" t="n">
        <x:f>IF(AND(N177="Approved",T177="OK"),D177,0)</x:f>
        <x:v>0</x:v>
      </x:c>
      <x:c r="T177" s="42" t="str">
        <x:f>IF(A177="","",IF(COUNTIFS($A$6:$A$505,A177)&lt;&gt;1,"Duplicate ID",IF(OR(NOT(ISNUMBER(B177)),D177&lt;=0,NOT(ISNUMBER(D177)),I177="",J177="",L177=""),"Missing date/amount/ref/details",IF(OR(COUNTIFS('Accounts'!$A$6:$A$105,Q177)&lt;&gt;1,COUNTIFS('Accounts'!$A$6:$A$105,R177)&lt;&gt;1,Q177=R177),"Check accounts/event",IF(AND(OR(Q177="Trade payables",R177="Trade payables",Q177="Customer receivables",R177="Customer receivables",Q177="Courier receivables",R177="Courier receivables",Q177="Supplier advances",R177="Supplier advances"),H177=""),"Contact ID required",IF(AND(N177="Approved",OR(M177="",M177=L177)),"Independent review needed",IF(OR(N177="Draft",N177="Approved",N177="Void"),"OK","Status required")))))))</x:f>
      </x:c>
    </x:row>
    <x:row r="178" ht="23" customHeight="1">
      <x:c r="A178" s="36"/>
      <x:c r="B178" s="40"/>
      <x:c r="C178" s="36"/>
      <x:c r="D178" s="41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42" t="str">
        <x:f>IF(A178="","",IF(COUNTIFS('Event Guide'!$A$6:$A$29,C178)=1,VLOOKUP(C178,'Event Guide'!$A$6:$C$29,2,FALSE),"Unknown event"))</x:f>
      </x:c>
      <x:c r="P178" s="42" t="str">
        <x:f>IF(A178="","",IF(COUNTIFS('Event Guide'!$A$6:$A$29,C178)=1,VLOOKUP(C178,'Event Guide'!$A$6:$C$29,3,FALSE),"Unknown event"))</x:f>
      </x:c>
      <x:c r="Q178" s="42" t="str">
        <x:f>IF(A178="","",IF(O178="PAY",E178,IF(O178="OTHER",F178,IF(O178="CAPITAL","Capital - "&amp;G178,IF(O178="DUE","Due to - "&amp;G178,IF(O178="DRAW","Drawings - "&amp;G178,O178))))))</x:f>
      </x:c>
      <x:c r="R178" s="42" t="str">
        <x:f>IF(A178="","",IF(P178="PAY",E178,IF(P178="OTHER",F178,IF(P178="CAPITAL","Capital - "&amp;G178,IF(P178="DUE","Due to - "&amp;G178,IF(P178="DRAW","Drawings - "&amp;G178,P178))))))</x:f>
      </x:c>
      <x:c r="S178" s="37" t="n">
        <x:f>IF(AND(N178="Approved",T178="OK"),D178,0)</x:f>
        <x:v>0</x:v>
      </x:c>
      <x:c r="T178" s="42" t="str">
        <x:f>IF(A178="","",IF(COUNTIFS($A$6:$A$505,A178)&lt;&gt;1,"Duplicate ID",IF(OR(NOT(ISNUMBER(B178)),D178&lt;=0,NOT(ISNUMBER(D178)),I178="",J178="",L178=""),"Missing date/amount/ref/details",IF(OR(COUNTIFS('Accounts'!$A$6:$A$105,Q178)&lt;&gt;1,COUNTIFS('Accounts'!$A$6:$A$105,R178)&lt;&gt;1,Q178=R178),"Check accounts/event",IF(AND(OR(Q178="Trade payables",R178="Trade payables",Q178="Customer receivables",R178="Customer receivables",Q178="Courier receivables",R178="Courier receivables",Q178="Supplier advances",R178="Supplier advances"),H178=""),"Contact ID required",IF(AND(N178="Approved",OR(M178="",M178=L178)),"Independent review needed",IF(OR(N178="Draft",N178="Approved",N178="Void"),"OK","Status required")))))))</x:f>
      </x:c>
    </x:row>
    <x:row r="179" ht="23" customHeight="1">
      <x:c r="A179" s="36"/>
      <x:c r="B179" s="40"/>
      <x:c r="C179" s="36"/>
      <x:c r="D179" s="41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42" t="str">
        <x:f>IF(A179="","",IF(COUNTIFS('Event Guide'!$A$6:$A$29,C179)=1,VLOOKUP(C179,'Event Guide'!$A$6:$C$29,2,FALSE),"Unknown event"))</x:f>
      </x:c>
      <x:c r="P179" s="42" t="str">
        <x:f>IF(A179="","",IF(COUNTIFS('Event Guide'!$A$6:$A$29,C179)=1,VLOOKUP(C179,'Event Guide'!$A$6:$C$29,3,FALSE),"Unknown event"))</x:f>
      </x:c>
      <x:c r="Q179" s="42" t="str">
        <x:f>IF(A179="","",IF(O179="PAY",E179,IF(O179="OTHER",F179,IF(O179="CAPITAL","Capital - "&amp;G179,IF(O179="DUE","Due to - "&amp;G179,IF(O179="DRAW","Drawings - "&amp;G179,O179))))))</x:f>
      </x:c>
      <x:c r="R179" s="42" t="str">
        <x:f>IF(A179="","",IF(P179="PAY",E179,IF(P179="OTHER",F179,IF(P179="CAPITAL","Capital - "&amp;G179,IF(P179="DUE","Due to - "&amp;G179,IF(P179="DRAW","Drawings - "&amp;G179,P179))))))</x:f>
      </x:c>
      <x:c r="S179" s="37" t="n">
        <x:f>IF(AND(N179="Approved",T179="OK"),D179,0)</x:f>
        <x:v>0</x:v>
      </x:c>
      <x:c r="T179" s="42" t="str">
        <x:f>IF(A179="","",IF(COUNTIFS($A$6:$A$505,A179)&lt;&gt;1,"Duplicate ID",IF(OR(NOT(ISNUMBER(B179)),D179&lt;=0,NOT(ISNUMBER(D179)),I179="",J179="",L179=""),"Missing date/amount/ref/details",IF(OR(COUNTIFS('Accounts'!$A$6:$A$105,Q179)&lt;&gt;1,COUNTIFS('Accounts'!$A$6:$A$105,R179)&lt;&gt;1,Q179=R179),"Check accounts/event",IF(AND(OR(Q179="Trade payables",R179="Trade payables",Q179="Customer receivables",R179="Customer receivables",Q179="Courier receivables",R179="Courier receivables",Q179="Supplier advances",R179="Supplier advances"),H179=""),"Contact ID required",IF(AND(N179="Approved",OR(M179="",M179=L179)),"Independent review needed",IF(OR(N179="Draft",N179="Approved",N179="Void"),"OK","Status required")))))))</x:f>
      </x:c>
    </x:row>
    <x:row r="180" ht="23" customHeight="1">
      <x:c r="A180" s="36"/>
      <x:c r="B180" s="40"/>
      <x:c r="C180" s="36"/>
      <x:c r="D180" s="41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42" t="str">
        <x:f>IF(A180="","",IF(COUNTIFS('Event Guide'!$A$6:$A$29,C180)=1,VLOOKUP(C180,'Event Guide'!$A$6:$C$29,2,FALSE),"Unknown event"))</x:f>
      </x:c>
      <x:c r="P180" s="42" t="str">
        <x:f>IF(A180="","",IF(COUNTIFS('Event Guide'!$A$6:$A$29,C180)=1,VLOOKUP(C180,'Event Guide'!$A$6:$C$29,3,FALSE),"Unknown event"))</x:f>
      </x:c>
      <x:c r="Q180" s="42" t="str">
        <x:f>IF(A180="","",IF(O180="PAY",E180,IF(O180="OTHER",F180,IF(O180="CAPITAL","Capital - "&amp;G180,IF(O180="DUE","Due to - "&amp;G180,IF(O180="DRAW","Drawings - "&amp;G180,O180))))))</x:f>
      </x:c>
      <x:c r="R180" s="42" t="str">
        <x:f>IF(A180="","",IF(P180="PAY",E180,IF(P180="OTHER",F180,IF(P180="CAPITAL","Capital - "&amp;G180,IF(P180="DUE","Due to - "&amp;G180,IF(P180="DRAW","Drawings - "&amp;G180,P180))))))</x:f>
      </x:c>
      <x:c r="S180" s="37" t="n">
        <x:f>IF(AND(N180="Approved",T180="OK"),D180,0)</x:f>
        <x:v>0</x:v>
      </x:c>
      <x:c r="T180" s="42" t="str">
        <x:f>IF(A180="","",IF(COUNTIFS($A$6:$A$505,A180)&lt;&gt;1,"Duplicate ID",IF(OR(NOT(ISNUMBER(B180)),D180&lt;=0,NOT(ISNUMBER(D180)),I180="",J180="",L180=""),"Missing date/amount/ref/details",IF(OR(COUNTIFS('Accounts'!$A$6:$A$105,Q180)&lt;&gt;1,COUNTIFS('Accounts'!$A$6:$A$105,R180)&lt;&gt;1,Q180=R180),"Check accounts/event",IF(AND(OR(Q180="Trade payables",R180="Trade payables",Q180="Customer receivables",R180="Customer receivables",Q180="Courier receivables",R180="Courier receivables",Q180="Supplier advances",R180="Supplier advances"),H180=""),"Contact ID required",IF(AND(N180="Approved",OR(M180="",M180=L180)),"Independent review needed",IF(OR(N180="Draft",N180="Approved",N180="Void"),"OK","Status required")))))))</x:f>
      </x:c>
    </x:row>
    <x:row r="181" ht="23" customHeight="1">
      <x:c r="A181" s="36"/>
      <x:c r="B181" s="40"/>
      <x:c r="C181" s="36"/>
      <x:c r="D181" s="41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42" t="str">
        <x:f>IF(A181="","",IF(COUNTIFS('Event Guide'!$A$6:$A$29,C181)=1,VLOOKUP(C181,'Event Guide'!$A$6:$C$29,2,FALSE),"Unknown event"))</x:f>
      </x:c>
      <x:c r="P181" s="42" t="str">
        <x:f>IF(A181="","",IF(COUNTIFS('Event Guide'!$A$6:$A$29,C181)=1,VLOOKUP(C181,'Event Guide'!$A$6:$C$29,3,FALSE),"Unknown event"))</x:f>
      </x:c>
      <x:c r="Q181" s="42" t="str">
        <x:f>IF(A181="","",IF(O181="PAY",E181,IF(O181="OTHER",F181,IF(O181="CAPITAL","Capital - "&amp;G181,IF(O181="DUE","Due to - "&amp;G181,IF(O181="DRAW","Drawings - "&amp;G181,O181))))))</x:f>
      </x:c>
      <x:c r="R181" s="42" t="str">
        <x:f>IF(A181="","",IF(P181="PAY",E181,IF(P181="OTHER",F181,IF(P181="CAPITAL","Capital - "&amp;G181,IF(P181="DUE","Due to - "&amp;G181,IF(P181="DRAW","Drawings - "&amp;G181,P181))))))</x:f>
      </x:c>
      <x:c r="S181" s="37" t="n">
        <x:f>IF(AND(N181="Approved",T181="OK"),D181,0)</x:f>
        <x:v>0</x:v>
      </x:c>
      <x:c r="T181" s="42" t="str">
        <x:f>IF(A181="","",IF(COUNTIFS($A$6:$A$505,A181)&lt;&gt;1,"Duplicate ID",IF(OR(NOT(ISNUMBER(B181)),D181&lt;=0,NOT(ISNUMBER(D181)),I181="",J181="",L181=""),"Missing date/amount/ref/details",IF(OR(COUNTIFS('Accounts'!$A$6:$A$105,Q181)&lt;&gt;1,COUNTIFS('Accounts'!$A$6:$A$105,R181)&lt;&gt;1,Q181=R181),"Check accounts/event",IF(AND(OR(Q181="Trade payables",R181="Trade payables",Q181="Customer receivables",R181="Customer receivables",Q181="Courier receivables",R181="Courier receivables",Q181="Supplier advances",R181="Supplier advances"),H181=""),"Contact ID required",IF(AND(N181="Approved",OR(M181="",M181=L181)),"Independent review needed",IF(OR(N181="Draft",N181="Approved",N181="Void"),"OK","Status required")))))))</x:f>
      </x:c>
    </x:row>
    <x:row r="182" ht="23" customHeight="1">
      <x:c r="A182" s="36"/>
      <x:c r="B182" s="40"/>
      <x:c r="C182" s="36"/>
      <x:c r="D182" s="41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42" t="str">
        <x:f>IF(A182="","",IF(COUNTIFS('Event Guide'!$A$6:$A$29,C182)=1,VLOOKUP(C182,'Event Guide'!$A$6:$C$29,2,FALSE),"Unknown event"))</x:f>
      </x:c>
      <x:c r="P182" s="42" t="str">
        <x:f>IF(A182="","",IF(COUNTIFS('Event Guide'!$A$6:$A$29,C182)=1,VLOOKUP(C182,'Event Guide'!$A$6:$C$29,3,FALSE),"Unknown event"))</x:f>
      </x:c>
      <x:c r="Q182" s="42" t="str">
        <x:f>IF(A182="","",IF(O182="PAY",E182,IF(O182="OTHER",F182,IF(O182="CAPITAL","Capital - "&amp;G182,IF(O182="DUE","Due to - "&amp;G182,IF(O182="DRAW","Drawings - "&amp;G182,O182))))))</x:f>
      </x:c>
      <x:c r="R182" s="42" t="str">
        <x:f>IF(A182="","",IF(P182="PAY",E182,IF(P182="OTHER",F182,IF(P182="CAPITAL","Capital - "&amp;G182,IF(P182="DUE","Due to - "&amp;G182,IF(P182="DRAW","Drawings - "&amp;G182,P182))))))</x:f>
      </x:c>
      <x:c r="S182" s="37" t="n">
        <x:f>IF(AND(N182="Approved",T182="OK"),D182,0)</x:f>
        <x:v>0</x:v>
      </x:c>
      <x:c r="T182" s="42" t="str">
        <x:f>IF(A182="","",IF(COUNTIFS($A$6:$A$505,A182)&lt;&gt;1,"Duplicate ID",IF(OR(NOT(ISNUMBER(B182)),D182&lt;=0,NOT(ISNUMBER(D182)),I182="",J182="",L182=""),"Missing date/amount/ref/details",IF(OR(COUNTIFS('Accounts'!$A$6:$A$105,Q182)&lt;&gt;1,COUNTIFS('Accounts'!$A$6:$A$105,R182)&lt;&gt;1,Q182=R182),"Check accounts/event",IF(AND(OR(Q182="Trade payables",R182="Trade payables",Q182="Customer receivables",R182="Customer receivables",Q182="Courier receivables",R182="Courier receivables",Q182="Supplier advances",R182="Supplier advances"),H182=""),"Contact ID required",IF(AND(N182="Approved",OR(M182="",M182=L182)),"Independent review needed",IF(OR(N182="Draft",N182="Approved",N182="Void"),"OK","Status required")))))))</x:f>
      </x:c>
    </x:row>
    <x:row r="183" ht="23" customHeight="1">
      <x:c r="A183" s="36"/>
      <x:c r="B183" s="40"/>
      <x:c r="C183" s="36"/>
      <x:c r="D183" s="41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42" t="str">
        <x:f>IF(A183="","",IF(COUNTIFS('Event Guide'!$A$6:$A$29,C183)=1,VLOOKUP(C183,'Event Guide'!$A$6:$C$29,2,FALSE),"Unknown event"))</x:f>
      </x:c>
      <x:c r="P183" s="42" t="str">
        <x:f>IF(A183="","",IF(COUNTIFS('Event Guide'!$A$6:$A$29,C183)=1,VLOOKUP(C183,'Event Guide'!$A$6:$C$29,3,FALSE),"Unknown event"))</x:f>
      </x:c>
      <x:c r="Q183" s="42" t="str">
        <x:f>IF(A183="","",IF(O183="PAY",E183,IF(O183="OTHER",F183,IF(O183="CAPITAL","Capital - "&amp;G183,IF(O183="DUE","Due to - "&amp;G183,IF(O183="DRAW","Drawings - "&amp;G183,O183))))))</x:f>
      </x:c>
      <x:c r="R183" s="42" t="str">
        <x:f>IF(A183="","",IF(P183="PAY",E183,IF(P183="OTHER",F183,IF(P183="CAPITAL","Capital - "&amp;G183,IF(P183="DUE","Due to - "&amp;G183,IF(P183="DRAW","Drawings - "&amp;G183,P183))))))</x:f>
      </x:c>
      <x:c r="S183" s="37" t="n">
        <x:f>IF(AND(N183="Approved",T183="OK"),D183,0)</x:f>
        <x:v>0</x:v>
      </x:c>
      <x:c r="T183" s="42" t="str">
        <x:f>IF(A183="","",IF(COUNTIFS($A$6:$A$505,A183)&lt;&gt;1,"Duplicate ID",IF(OR(NOT(ISNUMBER(B183)),D183&lt;=0,NOT(ISNUMBER(D183)),I183="",J183="",L183=""),"Missing date/amount/ref/details",IF(OR(COUNTIFS('Accounts'!$A$6:$A$105,Q183)&lt;&gt;1,COUNTIFS('Accounts'!$A$6:$A$105,R183)&lt;&gt;1,Q183=R183),"Check accounts/event",IF(AND(OR(Q183="Trade payables",R183="Trade payables",Q183="Customer receivables",R183="Customer receivables",Q183="Courier receivables",R183="Courier receivables",Q183="Supplier advances",R183="Supplier advances"),H183=""),"Contact ID required",IF(AND(N183="Approved",OR(M183="",M183=L183)),"Independent review needed",IF(OR(N183="Draft",N183="Approved",N183="Void"),"OK","Status required")))))))</x:f>
      </x:c>
    </x:row>
    <x:row r="184" ht="23" customHeight="1">
      <x:c r="A184" s="36"/>
      <x:c r="B184" s="40"/>
      <x:c r="C184" s="36"/>
      <x:c r="D184" s="41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42" t="str">
        <x:f>IF(A184="","",IF(COUNTIFS('Event Guide'!$A$6:$A$29,C184)=1,VLOOKUP(C184,'Event Guide'!$A$6:$C$29,2,FALSE),"Unknown event"))</x:f>
      </x:c>
      <x:c r="P184" s="42" t="str">
        <x:f>IF(A184="","",IF(COUNTIFS('Event Guide'!$A$6:$A$29,C184)=1,VLOOKUP(C184,'Event Guide'!$A$6:$C$29,3,FALSE),"Unknown event"))</x:f>
      </x:c>
      <x:c r="Q184" s="42" t="str">
        <x:f>IF(A184="","",IF(O184="PAY",E184,IF(O184="OTHER",F184,IF(O184="CAPITAL","Capital - "&amp;G184,IF(O184="DUE","Due to - "&amp;G184,IF(O184="DRAW","Drawings - "&amp;G184,O184))))))</x:f>
      </x:c>
      <x:c r="R184" s="42" t="str">
        <x:f>IF(A184="","",IF(P184="PAY",E184,IF(P184="OTHER",F184,IF(P184="CAPITAL","Capital - "&amp;G184,IF(P184="DUE","Due to - "&amp;G184,IF(P184="DRAW","Drawings - "&amp;G184,P184))))))</x:f>
      </x:c>
      <x:c r="S184" s="37" t="n">
        <x:f>IF(AND(N184="Approved",T184="OK"),D184,0)</x:f>
        <x:v>0</x:v>
      </x:c>
      <x:c r="T184" s="42" t="str">
        <x:f>IF(A184="","",IF(COUNTIFS($A$6:$A$505,A184)&lt;&gt;1,"Duplicate ID",IF(OR(NOT(ISNUMBER(B184)),D184&lt;=0,NOT(ISNUMBER(D184)),I184="",J184="",L184=""),"Missing date/amount/ref/details",IF(OR(COUNTIFS('Accounts'!$A$6:$A$105,Q184)&lt;&gt;1,COUNTIFS('Accounts'!$A$6:$A$105,R184)&lt;&gt;1,Q184=R184),"Check accounts/event",IF(AND(OR(Q184="Trade payables",R184="Trade payables",Q184="Customer receivables",R184="Customer receivables",Q184="Courier receivables",R184="Courier receivables",Q184="Supplier advances",R184="Supplier advances"),H184=""),"Contact ID required",IF(AND(N184="Approved",OR(M184="",M184=L184)),"Independent review needed",IF(OR(N184="Draft",N184="Approved",N184="Void"),"OK","Status required")))))))</x:f>
      </x:c>
    </x:row>
    <x:row r="185" ht="23" customHeight="1">
      <x:c r="A185" s="36"/>
      <x:c r="B185" s="40"/>
      <x:c r="C185" s="36"/>
      <x:c r="D185" s="41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42" t="str">
        <x:f>IF(A185="","",IF(COUNTIFS('Event Guide'!$A$6:$A$29,C185)=1,VLOOKUP(C185,'Event Guide'!$A$6:$C$29,2,FALSE),"Unknown event"))</x:f>
      </x:c>
      <x:c r="P185" s="42" t="str">
        <x:f>IF(A185="","",IF(COUNTIFS('Event Guide'!$A$6:$A$29,C185)=1,VLOOKUP(C185,'Event Guide'!$A$6:$C$29,3,FALSE),"Unknown event"))</x:f>
      </x:c>
      <x:c r="Q185" s="42" t="str">
        <x:f>IF(A185="","",IF(O185="PAY",E185,IF(O185="OTHER",F185,IF(O185="CAPITAL","Capital - "&amp;G185,IF(O185="DUE","Due to - "&amp;G185,IF(O185="DRAW","Drawings - "&amp;G185,O185))))))</x:f>
      </x:c>
      <x:c r="R185" s="42" t="str">
        <x:f>IF(A185="","",IF(P185="PAY",E185,IF(P185="OTHER",F185,IF(P185="CAPITAL","Capital - "&amp;G185,IF(P185="DUE","Due to - "&amp;G185,IF(P185="DRAW","Drawings - "&amp;G185,P185))))))</x:f>
      </x:c>
      <x:c r="S185" s="37" t="n">
        <x:f>IF(AND(N185="Approved",T185="OK"),D185,0)</x:f>
        <x:v>0</x:v>
      </x:c>
      <x:c r="T185" s="42" t="str">
        <x:f>IF(A185="","",IF(COUNTIFS($A$6:$A$505,A185)&lt;&gt;1,"Duplicate ID",IF(OR(NOT(ISNUMBER(B185)),D185&lt;=0,NOT(ISNUMBER(D185)),I185="",J185="",L185=""),"Missing date/amount/ref/details",IF(OR(COUNTIFS('Accounts'!$A$6:$A$105,Q185)&lt;&gt;1,COUNTIFS('Accounts'!$A$6:$A$105,R185)&lt;&gt;1,Q185=R185),"Check accounts/event",IF(AND(OR(Q185="Trade payables",R185="Trade payables",Q185="Customer receivables",R185="Customer receivables",Q185="Courier receivables",R185="Courier receivables",Q185="Supplier advances",R185="Supplier advances"),H185=""),"Contact ID required",IF(AND(N185="Approved",OR(M185="",M185=L185)),"Independent review needed",IF(OR(N185="Draft",N185="Approved",N185="Void"),"OK","Status required")))))))</x:f>
      </x:c>
    </x:row>
    <x:row r="186" ht="23" customHeight="1">
      <x:c r="A186" s="36"/>
      <x:c r="B186" s="40"/>
      <x:c r="C186" s="36"/>
      <x:c r="D186" s="41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42" t="str">
        <x:f>IF(A186="","",IF(COUNTIFS('Event Guide'!$A$6:$A$29,C186)=1,VLOOKUP(C186,'Event Guide'!$A$6:$C$29,2,FALSE),"Unknown event"))</x:f>
      </x:c>
      <x:c r="P186" s="42" t="str">
        <x:f>IF(A186="","",IF(COUNTIFS('Event Guide'!$A$6:$A$29,C186)=1,VLOOKUP(C186,'Event Guide'!$A$6:$C$29,3,FALSE),"Unknown event"))</x:f>
      </x:c>
      <x:c r="Q186" s="42" t="str">
        <x:f>IF(A186="","",IF(O186="PAY",E186,IF(O186="OTHER",F186,IF(O186="CAPITAL","Capital - "&amp;G186,IF(O186="DUE","Due to - "&amp;G186,IF(O186="DRAW","Drawings - "&amp;G186,O186))))))</x:f>
      </x:c>
      <x:c r="R186" s="42" t="str">
        <x:f>IF(A186="","",IF(P186="PAY",E186,IF(P186="OTHER",F186,IF(P186="CAPITAL","Capital - "&amp;G186,IF(P186="DUE","Due to - "&amp;G186,IF(P186="DRAW","Drawings - "&amp;G186,P186))))))</x:f>
      </x:c>
      <x:c r="S186" s="37" t="n">
        <x:f>IF(AND(N186="Approved",T186="OK"),D186,0)</x:f>
        <x:v>0</x:v>
      </x:c>
      <x:c r="T186" s="42" t="str">
        <x:f>IF(A186="","",IF(COUNTIFS($A$6:$A$505,A186)&lt;&gt;1,"Duplicate ID",IF(OR(NOT(ISNUMBER(B186)),D186&lt;=0,NOT(ISNUMBER(D186)),I186="",J186="",L186=""),"Missing date/amount/ref/details",IF(OR(COUNTIFS('Accounts'!$A$6:$A$105,Q186)&lt;&gt;1,COUNTIFS('Accounts'!$A$6:$A$105,R186)&lt;&gt;1,Q186=R186),"Check accounts/event",IF(AND(OR(Q186="Trade payables",R186="Trade payables",Q186="Customer receivables",R186="Customer receivables",Q186="Courier receivables",R186="Courier receivables",Q186="Supplier advances",R186="Supplier advances"),H186=""),"Contact ID required",IF(AND(N186="Approved",OR(M186="",M186=L186)),"Independent review needed",IF(OR(N186="Draft",N186="Approved",N186="Void"),"OK","Status required")))))))</x:f>
      </x:c>
    </x:row>
    <x:row r="187" ht="23" customHeight="1">
      <x:c r="A187" s="36"/>
      <x:c r="B187" s="40"/>
      <x:c r="C187" s="36"/>
      <x:c r="D187" s="41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42" t="str">
        <x:f>IF(A187="","",IF(COUNTIFS('Event Guide'!$A$6:$A$29,C187)=1,VLOOKUP(C187,'Event Guide'!$A$6:$C$29,2,FALSE),"Unknown event"))</x:f>
      </x:c>
      <x:c r="P187" s="42" t="str">
        <x:f>IF(A187="","",IF(COUNTIFS('Event Guide'!$A$6:$A$29,C187)=1,VLOOKUP(C187,'Event Guide'!$A$6:$C$29,3,FALSE),"Unknown event"))</x:f>
      </x:c>
      <x:c r="Q187" s="42" t="str">
        <x:f>IF(A187="","",IF(O187="PAY",E187,IF(O187="OTHER",F187,IF(O187="CAPITAL","Capital - "&amp;G187,IF(O187="DUE","Due to - "&amp;G187,IF(O187="DRAW","Drawings - "&amp;G187,O187))))))</x:f>
      </x:c>
      <x:c r="R187" s="42" t="str">
        <x:f>IF(A187="","",IF(P187="PAY",E187,IF(P187="OTHER",F187,IF(P187="CAPITAL","Capital - "&amp;G187,IF(P187="DUE","Due to - "&amp;G187,IF(P187="DRAW","Drawings - "&amp;G187,P187))))))</x:f>
      </x:c>
      <x:c r="S187" s="37" t="n">
        <x:f>IF(AND(N187="Approved",T187="OK"),D187,0)</x:f>
        <x:v>0</x:v>
      </x:c>
      <x:c r="T187" s="42" t="str">
        <x:f>IF(A187="","",IF(COUNTIFS($A$6:$A$505,A187)&lt;&gt;1,"Duplicate ID",IF(OR(NOT(ISNUMBER(B187)),D187&lt;=0,NOT(ISNUMBER(D187)),I187="",J187="",L187=""),"Missing date/amount/ref/details",IF(OR(COUNTIFS('Accounts'!$A$6:$A$105,Q187)&lt;&gt;1,COUNTIFS('Accounts'!$A$6:$A$105,R187)&lt;&gt;1,Q187=R187),"Check accounts/event",IF(AND(OR(Q187="Trade payables",R187="Trade payables",Q187="Customer receivables",R187="Customer receivables",Q187="Courier receivables",R187="Courier receivables",Q187="Supplier advances",R187="Supplier advances"),H187=""),"Contact ID required",IF(AND(N187="Approved",OR(M187="",M187=L187)),"Independent review needed",IF(OR(N187="Draft",N187="Approved",N187="Void"),"OK","Status required")))))))</x:f>
      </x:c>
    </x:row>
    <x:row r="188" ht="23" customHeight="1">
      <x:c r="A188" s="36"/>
      <x:c r="B188" s="40"/>
      <x:c r="C188" s="36"/>
      <x:c r="D188" s="41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42" t="str">
        <x:f>IF(A188="","",IF(COUNTIFS('Event Guide'!$A$6:$A$29,C188)=1,VLOOKUP(C188,'Event Guide'!$A$6:$C$29,2,FALSE),"Unknown event"))</x:f>
      </x:c>
      <x:c r="P188" s="42" t="str">
        <x:f>IF(A188="","",IF(COUNTIFS('Event Guide'!$A$6:$A$29,C188)=1,VLOOKUP(C188,'Event Guide'!$A$6:$C$29,3,FALSE),"Unknown event"))</x:f>
      </x:c>
      <x:c r="Q188" s="42" t="str">
        <x:f>IF(A188="","",IF(O188="PAY",E188,IF(O188="OTHER",F188,IF(O188="CAPITAL","Capital - "&amp;G188,IF(O188="DUE","Due to - "&amp;G188,IF(O188="DRAW","Drawings - "&amp;G188,O188))))))</x:f>
      </x:c>
      <x:c r="R188" s="42" t="str">
        <x:f>IF(A188="","",IF(P188="PAY",E188,IF(P188="OTHER",F188,IF(P188="CAPITAL","Capital - "&amp;G188,IF(P188="DUE","Due to - "&amp;G188,IF(P188="DRAW","Drawings - "&amp;G188,P188))))))</x:f>
      </x:c>
      <x:c r="S188" s="37" t="n">
        <x:f>IF(AND(N188="Approved",T188="OK"),D188,0)</x:f>
        <x:v>0</x:v>
      </x:c>
      <x:c r="T188" s="42" t="str">
        <x:f>IF(A188="","",IF(COUNTIFS($A$6:$A$505,A188)&lt;&gt;1,"Duplicate ID",IF(OR(NOT(ISNUMBER(B188)),D188&lt;=0,NOT(ISNUMBER(D188)),I188="",J188="",L188=""),"Missing date/amount/ref/details",IF(OR(COUNTIFS('Accounts'!$A$6:$A$105,Q188)&lt;&gt;1,COUNTIFS('Accounts'!$A$6:$A$105,R188)&lt;&gt;1,Q188=R188),"Check accounts/event",IF(AND(OR(Q188="Trade payables",R188="Trade payables",Q188="Customer receivables",R188="Customer receivables",Q188="Courier receivables",R188="Courier receivables",Q188="Supplier advances",R188="Supplier advances"),H188=""),"Contact ID required",IF(AND(N188="Approved",OR(M188="",M188=L188)),"Independent review needed",IF(OR(N188="Draft",N188="Approved",N188="Void"),"OK","Status required")))))))</x:f>
      </x:c>
    </x:row>
    <x:row r="189" ht="23" customHeight="1">
      <x:c r="A189" s="36"/>
      <x:c r="B189" s="40"/>
      <x:c r="C189" s="36"/>
      <x:c r="D189" s="41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42" t="str">
        <x:f>IF(A189="","",IF(COUNTIFS('Event Guide'!$A$6:$A$29,C189)=1,VLOOKUP(C189,'Event Guide'!$A$6:$C$29,2,FALSE),"Unknown event"))</x:f>
      </x:c>
      <x:c r="P189" s="42" t="str">
        <x:f>IF(A189="","",IF(COUNTIFS('Event Guide'!$A$6:$A$29,C189)=1,VLOOKUP(C189,'Event Guide'!$A$6:$C$29,3,FALSE),"Unknown event"))</x:f>
      </x:c>
      <x:c r="Q189" s="42" t="str">
        <x:f>IF(A189="","",IF(O189="PAY",E189,IF(O189="OTHER",F189,IF(O189="CAPITAL","Capital - "&amp;G189,IF(O189="DUE","Due to - "&amp;G189,IF(O189="DRAW","Drawings - "&amp;G189,O189))))))</x:f>
      </x:c>
      <x:c r="R189" s="42" t="str">
        <x:f>IF(A189="","",IF(P189="PAY",E189,IF(P189="OTHER",F189,IF(P189="CAPITAL","Capital - "&amp;G189,IF(P189="DUE","Due to - "&amp;G189,IF(P189="DRAW","Drawings - "&amp;G189,P189))))))</x:f>
      </x:c>
      <x:c r="S189" s="37" t="n">
        <x:f>IF(AND(N189="Approved",T189="OK"),D189,0)</x:f>
        <x:v>0</x:v>
      </x:c>
      <x:c r="T189" s="42" t="str">
        <x:f>IF(A189="","",IF(COUNTIFS($A$6:$A$505,A189)&lt;&gt;1,"Duplicate ID",IF(OR(NOT(ISNUMBER(B189)),D189&lt;=0,NOT(ISNUMBER(D189)),I189="",J189="",L189=""),"Missing date/amount/ref/details",IF(OR(COUNTIFS('Accounts'!$A$6:$A$105,Q189)&lt;&gt;1,COUNTIFS('Accounts'!$A$6:$A$105,R189)&lt;&gt;1,Q189=R189),"Check accounts/event",IF(AND(OR(Q189="Trade payables",R189="Trade payables",Q189="Customer receivables",R189="Customer receivables",Q189="Courier receivables",R189="Courier receivables",Q189="Supplier advances",R189="Supplier advances"),H189=""),"Contact ID required",IF(AND(N189="Approved",OR(M189="",M189=L189)),"Independent review needed",IF(OR(N189="Draft",N189="Approved",N189="Void"),"OK","Status required")))))))</x:f>
      </x:c>
    </x:row>
    <x:row r="190" ht="23" customHeight="1">
      <x:c r="A190" s="36"/>
      <x:c r="B190" s="40"/>
      <x:c r="C190" s="36"/>
      <x:c r="D190" s="41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42" t="str">
        <x:f>IF(A190="","",IF(COUNTIFS('Event Guide'!$A$6:$A$29,C190)=1,VLOOKUP(C190,'Event Guide'!$A$6:$C$29,2,FALSE),"Unknown event"))</x:f>
      </x:c>
      <x:c r="P190" s="42" t="str">
        <x:f>IF(A190="","",IF(COUNTIFS('Event Guide'!$A$6:$A$29,C190)=1,VLOOKUP(C190,'Event Guide'!$A$6:$C$29,3,FALSE),"Unknown event"))</x:f>
      </x:c>
      <x:c r="Q190" s="42" t="str">
        <x:f>IF(A190="","",IF(O190="PAY",E190,IF(O190="OTHER",F190,IF(O190="CAPITAL","Capital - "&amp;G190,IF(O190="DUE","Due to - "&amp;G190,IF(O190="DRAW","Drawings - "&amp;G190,O190))))))</x:f>
      </x:c>
      <x:c r="R190" s="42" t="str">
        <x:f>IF(A190="","",IF(P190="PAY",E190,IF(P190="OTHER",F190,IF(P190="CAPITAL","Capital - "&amp;G190,IF(P190="DUE","Due to - "&amp;G190,IF(P190="DRAW","Drawings - "&amp;G190,P190))))))</x:f>
      </x:c>
      <x:c r="S190" s="37" t="n">
        <x:f>IF(AND(N190="Approved",T190="OK"),D190,0)</x:f>
        <x:v>0</x:v>
      </x:c>
      <x:c r="T190" s="42" t="str">
        <x:f>IF(A190="","",IF(COUNTIFS($A$6:$A$505,A190)&lt;&gt;1,"Duplicate ID",IF(OR(NOT(ISNUMBER(B190)),D190&lt;=0,NOT(ISNUMBER(D190)),I190="",J190="",L190=""),"Missing date/amount/ref/details",IF(OR(COUNTIFS('Accounts'!$A$6:$A$105,Q190)&lt;&gt;1,COUNTIFS('Accounts'!$A$6:$A$105,R190)&lt;&gt;1,Q190=R190),"Check accounts/event",IF(AND(OR(Q190="Trade payables",R190="Trade payables",Q190="Customer receivables",R190="Customer receivables",Q190="Courier receivables",R190="Courier receivables",Q190="Supplier advances",R190="Supplier advances"),H190=""),"Contact ID required",IF(AND(N190="Approved",OR(M190="",M190=L190)),"Independent review needed",IF(OR(N190="Draft",N190="Approved",N190="Void"),"OK","Status required")))))))</x:f>
      </x:c>
    </x:row>
    <x:row r="191" ht="23" customHeight="1">
      <x:c r="A191" s="36"/>
      <x:c r="B191" s="40"/>
      <x:c r="C191" s="36"/>
      <x:c r="D191" s="41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42" t="str">
        <x:f>IF(A191="","",IF(COUNTIFS('Event Guide'!$A$6:$A$29,C191)=1,VLOOKUP(C191,'Event Guide'!$A$6:$C$29,2,FALSE),"Unknown event"))</x:f>
      </x:c>
      <x:c r="P191" s="42" t="str">
        <x:f>IF(A191="","",IF(COUNTIFS('Event Guide'!$A$6:$A$29,C191)=1,VLOOKUP(C191,'Event Guide'!$A$6:$C$29,3,FALSE),"Unknown event"))</x:f>
      </x:c>
      <x:c r="Q191" s="42" t="str">
        <x:f>IF(A191="","",IF(O191="PAY",E191,IF(O191="OTHER",F191,IF(O191="CAPITAL","Capital - "&amp;G191,IF(O191="DUE","Due to - "&amp;G191,IF(O191="DRAW","Drawings - "&amp;G191,O191))))))</x:f>
      </x:c>
      <x:c r="R191" s="42" t="str">
        <x:f>IF(A191="","",IF(P191="PAY",E191,IF(P191="OTHER",F191,IF(P191="CAPITAL","Capital - "&amp;G191,IF(P191="DUE","Due to - "&amp;G191,IF(P191="DRAW","Drawings - "&amp;G191,P191))))))</x:f>
      </x:c>
      <x:c r="S191" s="37" t="n">
        <x:f>IF(AND(N191="Approved",T191="OK"),D191,0)</x:f>
        <x:v>0</x:v>
      </x:c>
      <x:c r="T191" s="42" t="str">
        <x:f>IF(A191="","",IF(COUNTIFS($A$6:$A$505,A191)&lt;&gt;1,"Duplicate ID",IF(OR(NOT(ISNUMBER(B191)),D191&lt;=0,NOT(ISNUMBER(D191)),I191="",J191="",L191=""),"Missing date/amount/ref/details",IF(OR(COUNTIFS('Accounts'!$A$6:$A$105,Q191)&lt;&gt;1,COUNTIFS('Accounts'!$A$6:$A$105,R191)&lt;&gt;1,Q191=R191),"Check accounts/event",IF(AND(OR(Q191="Trade payables",R191="Trade payables",Q191="Customer receivables",R191="Customer receivables",Q191="Courier receivables",R191="Courier receivables",Q191="Supplier advances",R191="Supplier advances"),H191=""),"Contact ID required",IF(AND(N191="Approved",OR(M191="",M191=L191)),"Independent review needed",IF(OR(N191="Draft",N191="Approved",N191="Void"),"OK","Status required")))))))</x:f>
      </x:c>
    </x:row>
    <x:row r="192" ht="23" customHeight="1">
      <x:c r="A192" s="36"/>
      <x:c r="B192" s="40"/>
      <x:c r="C192" s="36"/>
      <x:c r="D192" s="41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42" t="str">
        <x:f>IF(A192="","",IF(COUNTIFS('Event Guide'!$A$6:$A$29,C192)=1,VLOOKUP(C192,'Event Guide'!$A$6:$C$29,2,FALSE),"Unknown event"))</x:f>
      </x:c>
      <x:c r="P192" s="42" t="str">
        <x:f>IF(A192="","",IF(COUNTIFS('Event Guide'!$A$6:$A$29,C192)=1,VLOOKUP(C192,'Event Guide'!$A$6:$C$29,3,FALSE),"Unknown event"))</x:f>
      </x:c>
      <x:c r="Q192" s="42" t="str">
        <x:f>IF(A192="","",IF(O192="PAY",E192,IF(O192="OTHER",F192,IF(O192="CAPITAL","Capital - "&amp;G192,IF(O192="DUE","Due to - "&amp;G192,IF(O192="DRAW","Drawings - "&amp;G192,O192))))))</x:f>
      </x:c>
      <x:c r="R192" s="42" t="str">
        <x:f>IF(A192="","",IF(P192="PAY",E192,IF(P192="OTHER",F192,IF(P192="CAPITAL","Capital - "&amp;G192,IF(P192="DUE","Due to - "&amp;G192,IF(P192="DRAW","Drawings - "&amp;G192,P192))))))</x:f>
      </x:c>
      <x:c r="S192" s="37" t="n">
        <x:f>IF(AND(N192="Approved",T192="OK"),D192,0)</x:f>
        <x:v>0</x:v>
      </x:c>
      <x:c r="T192" s="42" t="str">
        <x:f>IF(A192="","",IF(COUNTIFS($A$6:$A$505,A192)&lt;&gt;1,"Duplicate ID",IF(OR(NOT(ISNUMBER(B192)),D192&lt;=0,NOT(ISNUMBER(D192)),I192="",J192="",L192=""),"Missing date/amount/ref/details",IF(OR(COUNTIFS('Accounts'!$A$6:$A$105,Q192)&lt;&gt;1,COUNTIFS('Accounts'!$A$6:$A$105,R192)&lt;&gt;1,Q192=R192),"Check accounts/event",IF(AND(OR(Q192="Trade payables",R192="Trade payables",Q192="Customer receivables",R192="Customer receivables",Q192="Courier receivables",R192="Courier receivables",Q192="Supplier advances",R192="Supplier advances"),H192=""),"Contact ID required",IF(AND(N192="Approved",OR(M192="",M192=L192)),"Independent review needed",IF(OR(N192="Draft",N192="Approved",N192="Void"),"OK","Status required")))))))</x:f>
      </x:c>
    </x:row>
    <x:row r="193" ht="23" customHeight="1">
      <x:c r="A193" s="36"/>
      <x:c r="B193" s="40"/>
      <x:c r="C193" s="36"/>
      <x:c r="D193" s="41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42" t="str">
        <x:f>IF(A193="","",IF(COUNTIFS('Event Guide'!$A$6:$A$29,C193)=1,VLOOKUP(C193,'Event Guide'!$A$6:$C$29,2,FALSE),"Unknown event"))</x:f>
      </x:c>
      <x:c r="P193" s="42" t="str">
        <x:f>IF(A193="","",IF(COUNTIFS('Event Guide'!$A$6:$A$29,C193)=1,VLOOKUP(C193,'Event Guide'!$A$6:$C$29,3,FALSE),"Unknown event"))</x:f>
      </x:c>
      <x:c r="Q193" s="42" t="str">
        <x:f>IF(A193="","",IF(O193="PAY",E193,IF(O193="OTHER",F193,IF(O193="CAPITAL","Capital - "&amp;G193,IF(O193="DUE","Due to - "&amp;G193,IF(O193="DRAW","Drawings - "&amp;G193,O193))))))</x:f>
      </x:c>
      <x:c r="R193" s="42" t="str">
        <x:f>IF(A193="","",IF(P193="PAY",E193,IF(P193="OTHER",F193,IF(P193="CAPITAL","Capital - "&amp;G193,IF(P193="DUE","Due to - "&amp;G193,IF(P193="DRAW","Drawings - "&amp;G193,P193))))))</x:f>
      </x:c>
      <x:c r="S193" s="37" t="n">
        <x:f>IF(AND(N193="Approved",T193="OK"),D193,0)</x:f>
        <x:v>0</x:v>
      </x:c>
      <x:c r="T193" s="42" t="str">
        <x:f>IF(A193="","",IF(COUNTIFS($A$6:$A$505,A193)&lt;&gt;1,"Duplicate ID",IF(OR(NOT(ISNUMBER(B193)),D193&lt;=0,NOT(ISNUMBER(D193)),I193="",J193="",L193=""),"Missing date/amount/ref/details",IF(OR(COUNTIFS('Accounts'!$A$6:$A$105,Q193)&lt;&gt;1,COUNTIFS('Accounts'!$A$6:$A$105,R193)&lt;&gt;1,Q193=R193),"Check accounts/event",IF(AND(OR(Q193="Trade payables",R193="Trade payables",Q193="Customer receivables",R193="Customer receivables",Q193="Courier receivables",R193="Courier receivables",Q193="Supplier advances",R193="Supplier advances"),H193=""),"Contact ID required",IF(AND(N193="Approved",OR(M193="",M193=L193)),"Independent review needed",IF(OR(N193="Draft",N193="Approved",N193="Void"),"OK","Status required")))))))</x:f>
      </x:c>
    </x:row>
    <x:row r="194" ht="23" customHeight="1">
      <x:c r="A194" s="36"/>
      <x:c r="B194" s="40"/>
      <x:c r="C194" s="36"/>
      <x:c r="D194" s="41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42" t="str">
        <x:f>IF(A194="","",IF(COUNTIFS('Event Guide'!$A$6:$A$29,C194)=1,VLOOKUP(C194,'Event Guide'!$A$6:$C$29,2,FALSE),"Unknown event"))</x:f>
      </x:c>
      <x:c r="P194" s="42" t="str">
        <x:f>IF(A194="","",IF(COUNTIFS('Event Guide'!$A$6:$A$29,C194)=1,VLOOKUP(C194,'Event Guide'!$A$6:$C$29,3,FALSE),"Unknown event"))</x:f>
      </x:c>
      <x:c r="Q194" s="42" t="str">
        <x:f>IF(A194="","",IF(O194="PAY",E194,IF(O194="OTHER",F194,IF(O194="CAPITAL","Capital - "&amp;G194,IF(O194="DUE","Due to - "&amp;G194,IF(O194="DRAW","Drawings - "&amp;G194,O194))))))</x:f>
      </x:c>
      <x:c r="R194" s="42" t="str">
        <x:f>IF(A194="","",IF(P194="PAY",E194,IF(P194="OTHER",F194,IF(P194="CAPITAL","Capital - "&amp;G194,IF(P194="DUE","Due to - "&amp;G194,IF(P194="DRAW","Drawings - "&amp;G194,P194))))))</x:f>
      </x:c>
      <x:c r="S194" s="37" t="n">
        <x:f>IF(AND(N194="Approved",T194="OK"),D194,0)</x:f>
        <x:v>0</x:v>
      </x:c>
      <x:c r="T194" s="42" t="str">
        <x:f>IF(A194="","",IF(COUNTIFS($A$6:$A$505,A194)&lt;&gt;1,"Duplicate ID",IF(OR(NOT(ISNUMBER(B194)),D194&lt;=0,NOT(ISNUMBER(D194)),I194="",J194="",L194=""),"Missing date/amount/ref/details",IF(OR(COUNTIFS('Accounts'!$A$6:$A$105,Q194)&lt;&gt;1,COUNTIFS('Accounts'!$A$6:$A$105,R194)&lt;&gt;1,Q194=R194),"Check accounts/event",IF(AND(OR(Q194="Trade payables",R194="Trade payables",Q194="Customer receivables",R194="Customer receivables",Q194="Courier receivables",R194="Courier receivables",Q194="Supplier advances",R194="Supplier advances"),H194=""),"Contact ID required",IF(AND(N194="Approved",OR(M194="",M194=L194)),"Independent review needed",IF(OR(N194="Draft",N194="Approved",N194="Void"),"OK","Status required")))))))</x:f>
      </x:c>
    </x:row>
    <x:row r="195" ht="23" customHeight="1">
      <x:c r="A195" s="36"/>
      <x:c r="B195" s="40"/>
      <x:c r="C195" s="36"/>
      <x:c r="D195" s="41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42" t="str">
        <x:f>IF(A195="","",IF(COUNTIFS('Event Guide'!$A$6:$A$29,C195)=1,VLOOKUP(C195,'Event Guide'!$A$6:$C$29,2,FALSE),"Unknown event"))</x:f>
      </x:c>
      <x:c r="P195" s="42" t="str">
        <x:f>IF(A195="","",IF(COUNTIFS('Event Guide'!$A$6:$A$29,C195)=1,VLOOKUP(C195,'Event Guide'!$A$6:$C$29,3,FALSE),"Unknown event"))</x:f>
      </x:c>
      <x:c r="Q195" s="42" t="str">
        <x:f>IF(A195="","",IF(O195="PAY",E195,IF(O195="OTHER",F195,IF(O195="CAPITAL","Capital - "&amp;G195,IF(O195="DUE","Due to - "&amp;G195,IF(O195="DRAW","Drawings - "&amp;G195,O195))))))</x:f>
      </x:c>
      <x:c r="R195" s="42" t="str">
        <x:f>IF(A195="","",IF(P195="PAY",E195,IF(P195="OTHER",F195,IF(P195="CAPITAL","Capital - "&amp;G195,IF(P195="DUE","Due to - "&amp;G195,IF(P195="DRAW","Drawings - "&amp;G195,P195))))))</x:f>
      </x:c>
      <x:c r="S195" s="37" t="n">
        <x:f>IF(AND(N195="Approved",T195="OK"),D195,0)</x:f>
        <x:v>0</x:v>
      </x:c>
      <x:c r="T195" s="42" t="str">
        <x:f>IF(A195="","",IF(COUNTIFS($A$6:$A$505,A195)&lt;&gt;1,"Duplicate ID",IF(OR(NOT(ISNUMBER(B195)),D195&lt;=0,NOT(ISNUMBER(D195)),I195="",J195="",L195=""),"Missing date/amount/ref/details",IF(OR(COUNTIFS('Accounts'!$A$6:$A$105,Q195)&lt;&gt;1,COUNTIFS('Accounts'!$A$6:$A$105,R195)&lt;&gt;1,Q195=R195),"Check accounts/event",IF(AND(OR(Q195="Trade payables",R195="Trade payables",Q195="Customer receivables",R195="Customer receivables",Q195="Courier receivables",R195="Courier receivables",Q195="Supplier advances",R195="Supplier advances"),H195=""),"Contact ID required",IF(AND(N195="Approved",OR(M195="",M195=L195)),"Independent review needed",IF(OR(N195="Draft",N195="Approved",N195="Void"),"OK","Status required")))))))</x:f>
      </x:c>
    </x:row>
    <x:row r="196" ht="23" customHeight="1">
      <x:c r="A196" s="36"/>
      <x:c r="B196" s="40"/>
      <x:c r="C196" s="36"/>
      <x:c r="D196" s="41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42" t="str">
        <x:f>IF(A196="","",IF(COUNTIFS('Event Guide'!$A$6:$A$29,C196)=1,VLOOKUP(C196,'Event Guide'!$A$6:$C$29,2,FALSE),"Unknown event"))</x:f>
      </x:c>
      <x:c r="P196" s="42" t="str">
        <x:f>IF(A196="","",IF(COUNTIFS('Event Guide'!$A$6:$A$29,C196)=1,VLOOKUP(C196,'Event Guide'!$A$6:$C$29,3,FALSE),"Unknown event"))</x:f>
      </x:c>
      <x:c r="Q196" s="42" t="str">
        <x:f>IF(A196="","",IF(O196="PAY",E196,IF(O196="OTHER",F196,IF(O196="CAPITAL","Capital - "&amp;G196,IF(O196="DUE","Due to - "&amp;G196,IF(O196="DRAW","Drawings - "&amp;G196,O196))))))</x:f>
      </x:c>
      <x:c r="R196" s="42" t="str">
        <x:f>IF(A196="","",IF(P196="PAY",E196,IF(P196="OTHER",F196,IF(P196="CAPITAL","Capital - "&amp;G196,IF(P196="DUE","Due to - "&amp;G196,IF(P196="DRAW","Drawings - "&amp;G196,P196))))))</x:f>
      </x:c>
      <x:c r="S196" s="37" t="n">
        <x:f>IF(AND(N196="Approved",T196="OK"),D196,0)</x:f>
        <x:v>0</x:v>
      </x:c>
      <x:c r="T196" s="42" t="str">
        <x:f>IF(A196="","",IF(COUNTIFS($A$6:$A$505,A196)&lt;&gt;1,"Duplicate ID",IF(OR(NOT(ISNUMBER(B196)),D196&lt;=0,NOT(ISNUMBER(D196)),I196="",J196="",L196=""),"Missing date/amount/ref/details",IF(OR(COUNTIFS('Accounts'!$A$6:$A$105,Q196)&lt;&gt;1,COUNTIFS('Accounts'!$A$6:$A$105,R196)&lt;&gt;1,Q196=R196),"Check accounts/event",IF(AND(OR(Q196="Trade payables",R196="Trade payables",Q196="Customer receivables",R196="Customer receivables",Q196="Courier receivables",R196="Courier receivables",Q196="Supplier advances",R196="Supplier advances"),H196=""),"Contact ID required",IF(AND(N196="Approved",OR(M196="",M196=L196)),"Independent review needed",IF(OR(N196="Draft",N196="Approved",N196="Void"),"OK","Status required")))))))</x:f>
      </x:c>
    </x:row>
    <x:row r="197" ht="23" customHeight="1">
      <x:c r="A197" s="36"/>
      <x:c r="B197" s="40"/>
      <x:c r="C197" s="36"/>
      <x:c r="D197" s="41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42" t="str">
        <x:f>IF(A197="","",IF(COUNTIFS('Event Guide'!$A$6:$A$29,C197)=1,VLOOKUP(C197,'Event Guide'!$A$6:$C$29,2,FALSE),"Unknown event"))</x:f>
      </x:c>
      <x:c r="P197" s="42" t="str">
        <x:f>IF(A197="","",IF(COUNTIFS('Event Guide'!$A$6:$A$29,C197)=1,VLOOKUP(C197,'Event Guide'!$A$6:$C$29,3,FALSE),"Unknown event"))</x:f>
      </x:c>
      <x:c r="Q197" s="42" t="str">
        <x:f>IF(A197="","",IF(O197="PAY",E197,IF(O197="OTHER",F197,IF(O197="CAPITAL","Capital - "&amp;G197,IF(O197="DUE","Due to - "&amp;G197,IF(O197="DRAW","Drawings - "&amp;G197,O197))))))</x:f>
      </x:c>
      <x:c r="R197" s="42" t="str">
        <x:f>IF(A197="","",IF(P197="PAY",E197,IF(P197="OTHER",F197,IF(P197="CAPITAL","Capital - "&amp;G197,IF(P197="DUE","Due to - "&amp;G197,IF(P197="DRAW","Drawings - "&amp;G197,P197))))))</x:f>
      </x:c>
      <x:c r="S197" s="37" t="n">
        <x:f>IF(AND(N197="Approved",T197="OK"),D197,0)</x:f>
        <x:v>0</x:v>
      </x:c>
      <x:c r="T197" s="42" t="str">
        <x:f>IF(A197="","",IF(COUNTIFS($A$6:$A$505,A197)&lt;&gt;1,"Duplicate ID",IF(OR(NOT(ISNUMBER(B197)),D197&lt;=0,NOT(ISNUMBER(D197)),I197="",J197="",L197=""),"Missing date/amount/ref/details",IF(OR(COUNTIFS('Accounts'!$A$6:$A$105,Q197)&lt;&gt;1,COUNTIFS('Accounts'!$A$6:$A$105,R197)&lt;&gt;1,Q197=R197),"Check accounts/event",IF(AND(OR(Q197="Trade payables",R197="Trade payables",Q197="Customer receivables",R197="Customer receivables",Q197="Courier receivables",R197="Courier receivables",Q197="Supplier advances",R197="Supplier advances"),H197=""),"Contact ID required",IF(AND(N197="Approved",OR(M197="",M197=L197)),"Independent review needed",IF(OR(N197="Draft",N197="Approved",N197="Void"),"OK","Status required")))))))</x:f>
      </x:c>
    </x:row>
    <x:row r="198" ht="23" customHeight="1">
      <x:c r="A198" s="36"/>
      <x:c r="B198" s="40"/>
      <x:c r="C198" s="36"/>
      <x:c r="D198" s="41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42" t="str">
        <x:f>IF(A198="","",IF(COUNTIFS('Event Guide'!$A$6:$A$29,C198)=1,VLOOKUP(C198,'Event Guide'!$A$6:$C$29,2,FALSE),"Unknown event"))</x:f>
      </x:c>
      <x:c r="P198" s="42" t="str">
        <x:f>IF(A198="","",IF(COUNTIFS('Event Guide'!$A$6:$A$29,C198)=1,VLOOKUP(C198,'Event Guide'!$A$6:$C$29,3,FALSE),"Unknown event"))</x:f>
      </x:c>
      <x:c r="Q198" s="42" t="str">
        <x:f>IF(A198="","",IF(O198="PAY",E198,IF(O198="OTHER",F198,IF(O198="CAPITAL","Capital - "&amp;G198,IF(O198="DUE","Due to - "&amp;G198,IF(O198="DRAW","Drawings - "&amp;G198,O198))))))</x:f>
      </x:c>
      <x:c r="R198" s="42" t="str">
        <x:f>IF(A198="","",IF(P198="PAY",E198,IF(P198="OTHER",F198,IF(P198="CAPITAL","Capital - "&amp;G198,IF(P198="DUE","Due to - "&amp;G198,IF(P198="DRAW","Drawings - "&amp;G198,P198))))))</x:f>
      </x:c>
      <x:c r="S198" s="37" t="n">
        <x:f>IF(AND(N198="Approved",T198="OK"),D198,0)</x:f>
        <x:v>0</x:v>
      </x:c>
      <x:c r="T198" s="42" t="str">
        <x:f>IF(A198="","",IF(COUNTIFS($A$6:$A$505,A198)&lt;&gt;1,"Duplicate ID",IF(OR(NOT(ISNUMBER(B198)),D198&lt;=0,NOT(ISNUMBER(D198)),I198="",J198="",L198=""),"Missing date/amount/ref/details",IF(OR(COUNTIFS('Accounts'!$A$6:$A$105,Q198)&lt;&gt;1,COUNTIFS('Accounts'!$A$6:$A$105,R198)&lt;&gt;1,Q198=R198),"Check accounts/event",IF(AND(OR(Q198="Trade payables",R198="Trade payables",Q198="Customer receivables",R198="Customer receivables",Q198="Courier receivables",R198="Courier receivables",Q198="Supplier advances",R198="Supplier advances"),H198=""),"Contact ID required",IF(AND(N198="Approved",OR(M198="",M198=L198)),"Independent review needed",IF(OR(N198="Draft",N198="Approved",N198="Void"),"OK","Status required")))))))</x:f>
      </x:c>
    </x:row>
    <x:row r="199" ht="23" customHeight="1">
      <x:c r="A199" s="36"/>
      <x:c r="B199" s="40"/>
      <x:c r="C199" s="36"/>
      <x:c r="D199" s="41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42" t="str">
        <x:f>IF(A199="","",IF(COUNTIFS('Event Guide'!$A$6:$A$29,C199)=1,VLOOKUP(C199,'Event Guide'!$A$6:$C$29,2,FALSE),"Unknown event"))</x:f>
      </x:c>
      <x:c r="P199" s="42" t="str">
        <x:f>IF(A199="","",IF(COUNTIFS('Event Guide'!$A$6:$A$29,C199)=1,VLOOKUP(C199,'Event Guide'!$A$6:$C$29,3,FALSE),"Unknown event"))</x:f>
      </x:c>
      <x:c r="Q199" s="42" t="str">
        <x:f>IF(A199="","",IF(O199="PAY",E199,IF(O199="OTHER",F199,IF(O199="CAPITAL","Capital - "&amp;G199,IF(O199="DUE","Due to - "&amp;G199,IF(O199="DRAW","Drawings - "&amp;G199,O199))))))</x:f>
      </x:c>
      <x:c r="R199" s="42" t="str">
        <x:f>IF(A199="","",IF(P199="PAY",E199,IF(P199="OTHER",F199,IF(P199="CAPITAL","Capital - "&amp;G199,IF(P199="DUE","Due to - "&amp;G199,IF(P199="DRAW","Drawings - "&amp;G199,P199))))))</x:f>
      </x:c>
      <x:c r="S199" s="37" t="n">
        <x:f>IF(AND(N199="Approved",T199="OK"),D199,0)</x:f>
        <x:v>0</x:v>
      </x:c>
      <x:c r="T199" s="42" t="str">
        <x:f>IF(A199="","",IF(COUNTIFS($A$6:$A$505,A199)&lt;&gt;1,"Duplicate ID",IF(OR(NOT(ISNUMBER(B199)),D199&lt;=0,NOT(ISNUMBER(D199)),I199="",J199="",L199=""),"Missing date/amount/ref/details",IF(OR(COUNTIFS('Accounts'!$A$6:$A$105,Q199)&lt;&gt;1,COUNTIFS('Accounts'!$A$6:$A$105,R199)&lt;&gt;1,Q199=R199),"Check accounts/event",IF(AND(OR(Q199="Trade payables",R199="Trade payables",Q199="Customer receivables",R199="Customer receivables",Q199="Courier receivables",R199="Courier receivables",Q199="Supplier advances",R199="Supplier advances"),H199=""),"Contact ID required",IF(AND(N199="Approved",OR(M199="",M199=L199)),"Independent review needed",IF(OR(N199="Draft",N199="Approved",N199="Void"),"OK","Status required")))))))</x:f>
      </x:c>
    </x:row>
    <x:row r="200" ht="23" customHeight="1">
      <x:c r="A200" s="36"/>
      <x:c r="B200" s="40"/>
      <x:c r="C200" s="36"/>
      <x:c r="D200" s="41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42" t="str">
        <x:f>IF(A200="","",IF(COUNTIFS('Event Guide'!$A$6:$A$29,C200)=1,VLOOKUP(C200,'Event Guide'!$A$6:$C$29,2,FALSE),"Unknown event"))</x:f>
      </x:c>
      <x:c r="P200" s="42" t="str">
        <x:f>IF(A200="","",IF(COUNTIFS('Event Guide'!$A$6:$A$29,C200)=1,VLOOKUP(C200,'Event Guide'!$A$6:$C$29,3,FALSE),"Unknown event"))</x:f>
      </x:c>
      <x:c r="Q200" s="42" t="str">
        <x:f>IF(A200="","",IF(O200="PAY",E200,IF(O200="OTHER",F200,IF(O200="CAPITAL","Capital - "&amp;G200,IF(O200="DUE","Due to - "&amp;G200,IF(O200="DRAW","Drawings - "&amp;G200,O200))))))</x:f>
      </x:c>
      <x:c r="R200" s="42" t="str">
        <x:f>IF(A200="","",IF(P200="PAY",E200,IF(P200="OTHER",F200,IF(P200="CAPITAL","Capital - "&amp;G200,IF(P200="DUE","Due to - "&amp;G200,IF(P200="DRAW","Drawings - "&amp;G200,P200))))))</x:f>
      </x:c>
      <x:c r="S200" s="37" t="n">
        <x:f>IF(AND(N200="Approved",T200="OK"),D200,0)</x:f>
        <x:v>0</x:v>
      </x:c>
      <x:c r="T200" s="42" t="str">
        <x:f>IF(A200="","",IF(COUNTIFS($A$6:$A$505,A200)&lt;&gt;1,"Duplicate ID",IF(OR(NOT(ISNUMBER(B200)),D200&lt;=0,NOT(ISNUMBER(D200)),I200="",J200="",L200=""),"Missing date/amount/ref/details",IF(OR(COUNTIFS('Accounts'!$A$6:$A$105,Q200)&lt;&gt;1,COUNTIFS('Accounts'!$A$6:$A$105,R200)&lt;&gt;1,Q200=R200),"Check accounts/event",IF(AND(OR(Q200="Trade payables",R200="Trade payables",Q200="Customer receivables",R200="Customer receivables",Q200="Courier receivables",R200="Courier receivables",Q200="Supplier advances",R200="Supplier advances"),H200=""),"Contact ID required",IF(AND(N200="Approved",OR(M200="",M200=L200)),"Independent review needed",IF(OR(N200="Draft",N200="Approved",N200="Void"),"OK","Status required")))))))</x:f>
      </x:c>
    </x:row>
    <x:row r="201" ht="23" customHeight="1">
      <x:c r="A201" s="36"/>
      <x:c r="B201" s="40"/>
      <x:c r="C201" s="36"/>
      <x:c r="D201" s="41"/>
      <x:c r="E201" s="36"/>
      <x:c r="F201" s="36"/>
      <x:c r="G201" s="36"/>
      <x:c r="H201" s="36"/>
      <x:c r="I201" s="36"/>
      <x:c r="J201" s="36"/>
      <x:c r="K201" s="36"/>
      <x:c r="L201" s="36"/>
      <x:c r="M201" s="36"/>
      <x:c r="N201" s="36"/>
      <x:c r="O201" s="42" t="str">
        <x:f>IF(A201="","",IF(COUNTIFS('Event Guide'!$A$6:$A$29,C201)=1,VLOOKUP(C201,'Event Guide'!$A$6:$C$29,2,FALSE),"Unknown event"))</x:f>
      </x:c>
      <x:c r="P201" s="42" t="str">
        <x:f>IF(A201="","",IF(COUNTIFS('Event Guide'!$A$6:$A$29,C201)=1,VLOOKUP(C201,'Event Guide'!$A$6:$C$29,3,FALSE),"Unknown event"))</x:f>
      </x:c>
      <x:c r="Q201" s="42" t="str">
        <x:f>IF(A201="","",IF(O201="PAY",E201,IF(O201="OTHER",F201,IF(O201="CAPITAL","Capital - "&amp;G201,IF(O201="DUE","Due to - "&amp;G201,IF(O201="DRAW","Drawings - "&amp;G201,O201))))))</x:f>
      </x:c>
      <x:c r="R201" s="42" t="str">
        <x:f>IF(A201="","",IF(P201="PAY",E201,IF(P201="OTHER",F201,IF(P201="CAPITAL","Capital - "&amp;G201,IF(P201="DUE","Due to - "&amp;G201,IF(P201="DRAW","Drawings - "&amp;G201,P201))))))</x:f>
      </x:c>
      <x:c r="S201" s="37" t="n">
        <x:f>IF(AND(N201="Approved",T201="OK"),D201,0)</x:f>
        <x:v>0</x:v>
      </x:c>
      <x:c r="T201" s="42" t="str">
        <x:f>IF(A201="","",IF(COUNTIFS($A$6:$A$505,A201)&lt;&gt;1,"Duplicate ID",IF(OR(NOT(ISNUMBER(B201)),D201&lt;=0,NOT(ISNUMBER(D201)),I201="",J201="",L201=""),"Missing date/amount/ref/details",IF(OR(COUNTIFS('Accounts'!$A$6:$A$105,Q201)&lt;&gt;1,COUNTIFS('Accounts'!$A$6:$A$105,R201)&lt;&gt;1,Q201=R201),"Check accounts/event",IF(AND(OR(Q201="Trade payables",R201="Trade payables",Q201="Customer receivables",R201="Customer receivables",Q201="Courier receivables",R201="Courier receivables",Q201="Supplier advances",R201="Supplier advances"),H201=""),"Contact ID required",IF(AND(N201="Approved",OR(M201="",M201=L201)),"Independent review needed",IF(OR(N201="Draft",N201="Approved",N201="Void"),"OK","Status required")))))))</x:f>
      </x:c>
    </x:row>
    <x:row r="202" ht="23" customHeight="1">
      <x:c r="A202" s="36"/>
      <x:c r="B202" s="40"/>
      <x:c r="C202" s="36"/>
      <x:c r="D202" s="41"/>
      <x:c r="E202" s="36"/>
      <x:c r="F202" s="36"/>
      <x:c r="G202" s="36"/>
      <x:c r="H202" s="36"/>
      <x:c r="I202" s="36"/>
      <x:c r="J202" s="36"/>
      <x:c r="K202" s="36"/>
      <x:c r="L202" s="36"/>
      <x:c r="M202" s="36"/>
      <x:c r="N202" s="36"/>
      <x:c r="O202" s="42" t="str">
        <x:f>IF(A202="","",IF(COUNTIFS('Event Guide'!$A$6:$A$29,C202)=1,VLOOKUP(C202,'Event Guide'!$A$6:$C$29,2,FALSE),"Unknown event"))</x:f>
      </x:c>
      <x:c r="P202" s="42" t="str">
        <x:f>IF(A202="","",IF(COUNTIFS('Event Guide'!$A$6:$A$29,C202)=1,VLOOKUP(C202,'Event Guide'!$A$6:$C$29,3,FALSE),"Unknown event"))</x:f>
      </x:c>
      <x:c r="Q202" s="42" t="str">
        <x:f>IF(A202="","",IF(O202="PAY",E202,IF(O202="OTHER",F202,IF(O202="CAPITAL","Capital - "&amp;G202,IF(O202="DUE","Due to - "&amp;G202,IF(O202="DRAW","Drawings - "&amp;G202,O202))))))</x:f>
      </x:c>
      <x:c r="R202" s="42" t="str">
        <x:f>IF(A202="","",IF(P202="PAY",E202,IF(P202="OTHER",F202,IF(P202="CAPITAL","Capital - "&amp;G202,IF(P202="DUE","Due to - "&amp;G202,IF(P202="DRAW","Drawings - "&amp;G202,P202))))))</x:f>
      </x:c>
      <x:c r="S202" s="37" t="n">
        <x:f>IF(AND(N202="Approved",T202="OK"),D202,0)</x:f>
        <x:v>0</x:v>
      </x:c>
      <x:c r="T202" s="42" t="str">
        <x:f>IF(A202="","",IF(COUNTIFS($A$6:$A$505,A202)&lt;&gt;1,"Duplicate ID",IF(OR(NOT(ISNUMBER(B202)),D202&lt;=0,NOT(ISNUMBER(D202)),I202="",J202="",L202=""),"Missing date/amount/ref/details",IF(OR(COUNTIFS('Accounts'!$A$6:$A$105,Q202)&lt;&gt;1,COUNTIFS('Accounts'!$A$6:$A$105,R202)&lt;&gt;1,Q202=R202),"Check accounts/event",IF(AND(OR(Q202="Trade payables",R202="Trade payables",Q202="Customer receivables",R202="Customer receivables",Q202="Courier receivables",R202="Courier receivables",Q202="Supplier advances",R202="Supplier advances"),H202=""),"Contact ID required",IF(AND(N202="Approved",OR(M202="",M202=L202)),"Independent review needed",IF(OR(N202="Draft",N202="Approved",N202="Void"),"OK","Status required")))))))</x:f>
      </x:c>
    </x:row>
    <x:row r="203" ht="23" customHeight="1">
      <x:c r="A203" s="36"/>
      <x:c r="B203" s="40"/>
      <x:c r="C203" s="36"/>
      <x:c r="D203" s="41"/>
      <x:c r="E203" s="36"/>
      <x:c r="F203" s="36"/>
      <x:c r="G203" s="36"/>
      <x:c r="H203" s="36"/>
      <x:c r="I203" s="36"/>
      <x:c r="J203" s="36"/>
      <x:c r="K203" s="36"/>
      <x:c r="L203" s="36"/>
      <x:c r="M203" s="36"/>
      <x:c r="N203" s="36"/>
      <x:c r="O203" s="42" t="str">
        <x:f>IF(A203="","",IF(COUNTIFS('Event Guide'!$A$6:$A$29,C203)=1,VLOOKUP(C203,'Event Guide'!$A$6:$C$29,2,FALSE),"Unknown event"))</x:f>
      </x:c>
      <x:c r="P203" s="42" t="str">
        <x:f>IF(A203="","",IF(COUNTIFS('Event Guide'!$A$6:$A$29,C203)=1,VLOOKUP(C203,'Event Guide'!$A$6:$C$29,3,FALSE),"Unknown event"))</x:f>
      </x:c>
      <x:c r="Q203" s="42" t="str">
        <x:f>IF(A203="","",IF(O203="PAY",E203,IF(O203="OTHER",F203,IF(O203="CAPITAL","Capital - "&amp;G203,IF(O203="DUE","Due to - "&amp;G203,IF(O203="DRAW","Drawings - "&amp;G203,O203))))))</x:f>
      </x:c>
      <x:c r="R203" s="42" t="str">
        <x:f>IF(A203="","",IF(P203="PAY",E203,IF(P203="OTHER",F203,IF(P203="CAPITAL","Capital - "&amp;G203,IF(P203="DUE","Due to - "&amp;G203,IF(P203="DRAW","Drawings - "&amp;G203,P203))))))</x:f>
      </x:c>
      <x:c r="S203" s="37" t="n">
        <x:f>IF(AND(N203="Approved",T203="OK"),D203,0)</x:f>
        <x:v>0</x:v>
      </x:c>
      <x:c r="T203" s="42" t="str">
        <x:f>IF(A203="","",IF(COUNTIFS($A$6:$A$505,A203)&lt;&gt;1,"Duplicate ID",IF(OR(NOT(ISNUMBER(B203)),D203&lt;=0,NOT(ISNUMBER(D203)),I203="",J203="",L203=""),"Missing date/amount/ref/details",IF(OR(COUNTIFS('Accounts'!$A$6:$A$105,Q203)&lt;&gt;1,COUNTIFS('Accounts'!$A$6:$A$105,R203)&lt;&gt;1,Q203=R203),"Check accounts/event",IF(AND(OR(Q203="Trade payables",R203="Trade payables",Q203="Customer receivables",R203="Customer receivables",Q203="Courier receivables",R203="Courier receivables",Q203="Supplier advances",R203="Supplier advances"),H203=""),"Contact ID required",IF(AND(N203="Approved",OR(M203="",M203=L203)),"Independent review needed",IF(OR(N203="Draft",N203="Approved",N203="Void"),"OK","Status required")))))))</x:f>
      </x:c>
    </x:row>
    <x:row r="204" ht="23" customHeight="1">
      <x:c r="A204" s="36"/>
      <x:c r="B204" s="40"/>
      <x:c r="C204" s="36"/>
      <x:c r="D204" s="41"/>
      <x:c r="E204" s="36"/>
      <x:c r="F204" s="36"/>
      <x:c r="G204" s="36"/>
      <x:c r="H204" s="36"/>
      <x:c r="I204" s="36"/>
      <x:c r="J204" s="36"/>
      <x:c r="K204" s="36"/>
      <x:c r="L204" s="36"/>
      <x:c r="M204" s="36"/>
      <x:c r="N204" s="36"/>
      <x:c r="O204" s="42" t="str">
        <x:f>IF(A204="","",IF(COUNTIFS('Event Guide'!$A$6:$A$29,C204)=1,VLOOKUP(C204,'Event Guide'!$A$6:$C$29,2,FALSE),"Unknown event"))</x:f>
      </x:c>
      <x:c r="P204" s="42" t="str">
        <x:f>IF(A204="","",IF(COUNTIFS('Event Guide'!$A$6:$A$29,C204)=1,VLOOKUP(C204,'Event Guide'!$A$6:$C$29,3,FALSE),"Unknown event"))</x:f>
      </x:c>
      <x:c r="Q204" s="42" t="str">
        <x:f>IF(A204="","",IF(O204="PAY",E204,IF(O204="OTHER",F204,IF(O204="CAPITAL","Capital - "&amp;G204,IF(O204="DUE","Due to - "&amp;G204,IF(O204="DRAW","Drawings - "&amp;G204,O204))))))</x:f>
      </x:c>
      <x:c r="R204" s="42" t="str">
        <x:f>IF(A204="","",IF(P204="PAY",E204,IF(P204="OTHER",F204,IF(P204="CAPITAL","Capital - "&amp;G204,IF(P204="DUE","Due to - "&amp;G204,IF(P204="DRAW","Drawings - "&amp;G204,P204))))))</x:f>
      </x:c>
      <x:c r="S204" s="37" t="n">
        <x:f>IF(AND(N204="Approved",T204="OK"),D204,0)</x:f>
        <x:v>0</x:v>
      </x:c>
      <x:c r="T204" s="42" t="str">
        <x:f>IF(A204="","",IF(COUNTIFS($A$6:$A$505,A204)&lt;&gt;1,"Duplicate ID",IF(OR(NOT(ISNUMBER(B204)),D204&lt;=0,NOT(ISNUMBER(D204)),I204="",J204="",L204=""),"Missing date/amount/ref/details",IF(OR(COUNTIFS('Accounts'!$A$6:$A$105,Q204)&lt;&gt;1,COUNTIFS('Accounts'!$A$6:$A$105,R204)&lt;&gt;1,Q204=R204),"Check accounts/event",IF(AND(OR(Q204="Trade payables",R204="Trade payables",Q204="Customer receivables",R204="Customer receivables",Q204="Courier receivables",R204="Courier receivables",Q204="Supplier advances",R204="Supplier advances"),H204=""),"Contact ID required",IF(AND(N204="Approved",OR(M204="",M204=L204)),"Independent review needed",IF(OR(N204="Draft",N204="Approved",N204="Void"),"OK","Status required")))))))</x:f>
      </x:c>
    </x:row>
    <x:row r="205" ht="23" customHeight="1">
      <x:c r="A205" s="36"/>
      <x:c r="B205" s="40"/>
      <x:c r="C205" s="36"/>
      <x:c r="D205" s="41"/>
      <x:c r="E205" s="36"/>
      <x:c r="F205" s="36"/>
      <x:c r="G205" s="36"/>
      <x:c r="H205" s="36"/>
      <x:c r="I205" s="36"/>
      <x:c r="J205" s="36"/>
      <x:c r="K205" s="36"/>
      <x:c r="L205" s="36"/>
      <x:c r="M205" s="36"/>
      <x:c r="N205" s="36"/>
      <x:c r="O205" s="42" t="str">
        <x:f>IF(A205="","",IF(COUNTIFS('Event Guide'!$A$6:$A$29,C205)=1,VLOOKUP(C205,'Event Guide'!$A$6:$C$29,2,FALSE),"Unknown event"))</x:f>
      </x:c>
      <x:c r="P205" s="42" t="str">
        <x:f>IF(A205="","",IF(COUNTIFS('Event Guide'!$A$6:$A$29,C205)=1,VLOOKUP(C205,'Event Guide'!$A$6:$C$29,3,FALSE),"Unknown event"))</x:f>
      </x:c>
      <x:c r="Q205" s="42" t="str">
        <x:f>IF(A205="","",IF(O205="PAY",E205,IF(O205="OTHER",F205,IF(O205="CAPITAL","Capital - "&amp;G205,IF(O205="DUE","Due to - "&amp;G205,IF(O205="DRAW","Drawings - "&amp;G205,O205))))))</x:f>
      </x:c>
      <x:c r="R205" s="42" t="str">
        <x:f>IF(A205="","",IF(P205="PAY",E205,IF(P205="OTHER",F205,IF(P205="CAPITAL","Capital - "&amp;G205,IF(P205="DUE","Due to - "&amp;G205,IF(P205="DRAW","Drawings - "&amp;G205,P205))))))</x:f>
      </x:c>
      <x:c r="S205" s="37" t="n">
        <x:f>IF(AND(N205="Approved",T205="OK"),D205,0)</x:f>
        <x:v>0</x:v>
      </x:c>
      <x:c r="T205" s="42" t="str">
        <x:f>IF(A205="","",IF(COUNTIFS($A$6:$A$505,A205)&lt;&gt;1,"Duplicate ID",IF(OR(NOT(ISNUMBER(B205)),D205&lt;=0,NOT(ISNUMBER(D205)),I205="",J205="",L205=""),"Missing date/amount/ref/details",IF(OR(COUNTIFS('Accounts'!$A$6:$A$105,Q205)&lt;&gt;1,COUNTIFS('Accounts'!$A$6:$A$105,R205)&lt;&gt;1,Q205=R205),"Check accounts/event",IF(AND(OR(Q205="Trade payables",R205="Trade payables",Q205="Customer receivables",R205="Customer receivables",Q205="Courier receivables",R205="Courier receivables",Q205="Supplier advances",R205="Supplier advances"),H205=""),"Contact ID required",IF(AND(N205="Approved",OR(M205="",M205=L205)),"Independent review needed",IF(OR(N205="Draft",N205="Approved",N205="Void"),"OK","Status required")))))))</x:f>
      </x:c>
    </x:row>
    <x:row r="206" ht="23" customHeight="1">
      <x:c r="A206" s="36"/>
      <x:c r="B206" s="40"/>
      <x:c r="C206" s="36"/>
      <x:c r="D206" s="41"/>
      <x:c r="E206" s="36"/>
      <x:c r="F206" s="36"/>
      <x:c r="G206" s="36"/>
      <x:c r="H206" s="36"/>
      <x:c r="I206" s="36"/>
      <x:c r="J206" s="36"/>
      <x:c r="K206" s="36"/>
      <x:c r="L206" s="36"/>
      <x:c r="M206" s="36"/>
      <x:c r="N206" s="36"/>
      <x:c r="O206" s="42" t="str">
        <x:f>IF(A206="","",IF(COUNTIFS('Event Guide'!$A$6:$A$29,C206)=1,VLOOKUP(C206,'Event Guide'!$A$6:$C$29,2,FALSE),"Unknown event"))</x:f>
      </x:c>
      <x:c r="P206" s="42" t="str">
        <x:f>IF(A206="","",IF(COUNTIFS('Event Guide'!$A$6:$A$29,C206)=1,VLOOKUP(C206,'Event Guide'!$A$6:$C$29,3,FALSE),"Unknown event"))</x:f>
      </x:c>
      <x:c r="Q206" s="42" t="str">
        <x:f>IF(A206="","",IF(O206="PAY",E206,IF(O206="OTHER",F206,IF(O206="CAPITAL","Capital - "&amp;G206,IF(O206="DUE","Due to - "&amp;G206,IF(O206="DRAW","Drawings - "&amp;G206,O206))))))</x:f>
      </x:c>
      <x:c r="R206" s="42" t="str">
        <x:f>IF(A206="","",IF(P206="PAY",E206,IF(P206="OTHER",F206,IF(P206="CAPITAL","Capital - "&amp;G206,IF(P206="DUE","Due to - "&amp;G206,IF(P206="DRAW","Drawings - "&amp;G206,P206))))))</x:f>
      </x:c>
      <x:c r="S206" s="37" t="n">
        <x:f>IF(AND(N206="Approved",T206="OK"),D206,0)</x:f>
        <x:v>0</x:v>
      </x:c>
      <x:c r="T206" s="42" t="str">
        <x:f>IF(A206="","",IF(COUNTIFS($A$6:$A$505,A206)&lt;&gt;1,"Duplicate ID",IF(OR(NOT(ISNUMBER(B206)),D206&lt;=0,NOT(ISNUMBER(D206)),I206="",J206="",L206=""),"Missing date/amount/ref/details",IF(OR(COUNTIFS('Accounts'!$A$6:$A$105,Q206)&lt;&gt;1,COUNTIFS('Accounts'!$A$6:$A$105,R206)&lt;&gt;1,Q206=R206),"Check accounts/event",IF(AND(OR(Q206="Trade payables",R206="Trade payables",Q206="Customer receivables",R206="Customer receivables",Q206="Courier receivables",R206="Courier receivables",Q206="Supplier advances",R206="Supplier advances"),H206=""),"Contact ID required",IF(AND(N206="Approved",OR(M206="",M206=L206)),"Independent review needed",IF(OR(N206="Draft",N206="Approved",N206="Void"),"OK","Status required")))))))</x:f>
      </x:c>
    </x:row>
    <x:row r="207" ht="23" customHeight="1">
      <x:c r="A207" s="36"/>
      <x:c r="B207" s="40"/>
      <x:c r="C207" s="36"/>
      <x:c r="D207" s="41"/>
      <x:c r="E207" s="36"/>
      <x:c r="F207" s="36"/>
      <x:c r="G207" s="36"/>
      <x:c r="H207" s="36"/>
      <x:c r="I207" s="36"/>
      <x:c r="J207" s="36"/>
      <x:c r="K207" s="36"/>
      <x:c r="L207" s="36"/>
      <x:c r="M207" s="36"/>
      <x:c r="N207" s="36"/>
      <x:c r="O207" s="42" t="str">
        <x:f>IF(A207="","",IF(COUNTIFS('Event Guide'!$A$6:$A$29,C207)=1,VLOOKUP(C207,'Event Guide'!$A$6:$C$29,2,FALSE),"Unknown event"))</x:f>
      </x:c>
      <x:c r="P207" s="42" t="str">
        <x:f>IF(A207="","",IF(COUNTIFS('Event Guide'!$A$6:$A$29,C207)=1,VLOOKUP(C207,'Event Guide'!$A$6:$C$29,3,FALSE),"Unknown event"))</x:f>
      </x:c>
      <x:c r="Q207" s="42" t="str">
        <x:f>IF(A207="","",IF(O207="PAY",E207,IF(O207="OTHER",F207,IF(O207="CAPITAL","Capital - "&amp;G207,IF(O207="DUE","Due to - "&amp;G207,IF(O207="DRAW","Drawings - "&amp;G207,O207))))))</x:f>
      </x:c>
      <x:c r="R207" s="42" t="str">
        <x:f>IF(A207="","",IF(P207="PAY",E207,IF(P207="OTHER",F207,IF(P207="CAPITAL","Capital - "&amp;G207,IF(P207="DUE","Due to - "&amp;G207,IF(P207="DRAW","Drawings - "&amp;G207,P207))))))</x:f>
      </x:c>
      <x:c r="S207" s="37" t="n">
        <x:f>IF(AND(N207="Approved",T207="OK"),D207,0)</x:f>
        <x:v>0</x:v>
      </x:c>
      <x:c r="T207" s="42" t="str">
        <x:f>IF(A207="","",IF(COUNTIFS($A$6:$A$505,A207)&lt;&gt;1,"Duplicate ID",IF(OR(NOT(ISNUMBER(B207)),D207&lt;=0,NOT(ISNUMBER(D207)),I207="",J207="",L207=""),"Missing date/amount/ref/details",IF(OR(COUNTIFS('Accounts'!$A$6:$A$105,Q207)&lt;&gt;1,COUNTIFS('Accounts'!$A$6:$A$105,R207)&lt;&gt;1,Q207=R207),"Check accounts/event",IF(AND(OR(Q207="Trade payables",R207="Trade payables",Q207="Customer receivables",R207="Customer receivables",Q207="Courier receivables",R207="Courier receivables",Q207="Supplier advances",R207="Supplier advances"),H207=""),"Contact ID required",IF(AND(N207="Approved",OR(M207="",M207=L207)),"Independent review needed",IF(OR(N207="Draft",N207="Approved",N207="Void"),"OK","Status required")))))))</x:f>
      </x:c>
    </x:row>
    <x:row r="208" ht="23" customHeight="1">
      <x:c r="A208" s="36"/>
      <x:c r="B208" s="40"/>
      <x:c r="C208" s="36"/>
      <x:c r="D208" s="41"/>
      <x:c r="E208" s="36"/>
      <x:c r="F208" s="36"/>
      <x:c r="G208" s="36"/>
      <x:c r="H208" s="36"/>
      <x:c r="I208" s="36"/>
      <x:c r="J208" s="36"/>
      <x:c r="K208" s="36"/>
      <x:c r="L208" s="36"/>
      <x:c r="M208" s="36"/>
      <x:c r="N208" s="36"/>
      <x:c r="O208" s="42" t="str">
        <x:f>IF(A208="","",IF(COUNTIFS('Event Guide'!$A$6:$A$29,C208)=1,VLOOKUP(C208,'Event Guide'!$A$6:$C$29,2,FALSE),"Unknown event"))</x:f>
      </x:c>
      <x:c r="P208" s="42" t="str">
        <x:f>IF(A208="","",IF(COUNTIFS('Event Guide'!$A$6:$A$29,C208)=1,VLOOKUP(C208,'Event Guide'!$A$6:$C$29,3,FALSE),"Unknown event"))</x:f>
      </x:c>
      <x:c r="Q208" s="42" t="str">
        <x:f>IF(A208="","",IF(O208="PAY",E208,IF(O208="OTHER",F208,IF(O208="CAPITAL","Capital - "&amp;G208,IF(O208="DUE","Due to - "&amp;G208,IF(O208="DRAW","Drawings - "&amp;G208,O208))))))</x:f>
      </x:c>
      <x:c r="R208" s="42" t="str">
        <x:f>IF(A208="","",IF(P208="PAY",E208,IF(P208="OTHER",F208,IF(P208="CAPITAL","Capital - "&amp;G208,IF(P208="DUE","Due to - "&amp;G208,IF(P208="DRAW","Drawings - "&amp;G208,P208))))))</x:f>
      </x:c>
      <x:c r="S208" s="37" t="n">
        <x:f>IF(AND(N208="Approved",T208="OK"),D208,0)</x:f>
        <x:v>0</x:v>
      </x:c>
      <x:c r="T208" s="42" t="str">
        <x:f>IF(A208="","",IF(COUNTIFS($A$6:$A$505,A208)&lt;&gt;1,"Duplicate ID",IF(OR(NOT(ISNUMBER(B208)),D208&lt;=0,NOT(ISNUMBER(D208)),I208="",J208="",L208=""),"Missing date/amount/ref/details",IF(OR(COUNTIFS('Accounts'!$A$6:$A$105,Q208)&lt;&gt;1,COUNTIFS('Accounts'!$A$6:$A$105,R208)&lt;&gt;1,Q208=R208),"Check accounts/event",IF(AND(OR(Q208="Trade payables",R208="Trade payables",Q208="Customer receivables",R208="Customer receivables",Q208="Courier receivables",R208="Courier receivables",Q208="Supplier advances",R208="Supplier advances"),H208=""),"Contact ID required",IF(AND(N208="Approved",OR(M208="",M208=L208)),"Independent review needed",IF(OR(N208="Draft",N208="Approved",N208="Void"),"OK","Status required")))))))</x:f>
      </x:c>
    </x:row>
    <x:row r="209" ht="23" customHeight="1">
      <x:c r="A209" s="36"/>
      <x:c r="B209" s="40"/>
      <x:c r="C209" s="36"/>
      <x:c r="D209" s="41"/>
      <x:c r="E209" s="36"/>
      <x:c r="F209" s="36"/>
      <x:c r="G209" s="36"/>
      <x:c r="H209" s="36"/>
      <x:c r="I209" s="36"/>
      <x:c r="J209" s="36"/>
      <x:c r="K209" s="36"/>
      <x:c r="L209" s="36"/>
      <x:c r="M209" s="36"/>
      <x:c r="N209" s="36"/>
      <x:c r="O209" s="42" t="str">
        <x:f>IF(A209="","",IF(COUNTIFS('Event Guide'!$A$6:$A$29,C209)=1,VLOOKUP(C209,'Event Guide'!$A$6:$C$29,2,FALSE),"Unknown event"))</x:f>
      </x:c>
      <x:c r="P209" s="42" t="str">
        <x:f>IF(A209="","",IF(COUNTIFS('Event Guide'!$A$6:$A$29,C209)=1,VLOOKUP(C209,'Event Guide'!$A$6:$C$29,3,FALSE),"Unknown event"))</x:f>
      </x:c>
      <x:c r="Q209" s="42" t="str">
        <x:f>IF(A209="","",IF(O209="PAY",E209,IF(O209="OTHER",F209,IF(O209="CAPITAL","Capital - "&amp;G209,IF(O209="DUE","Due to - "&amp;G209,IF(O209="DRAW","Drawings - "&amp;G209,O209))))))</x:f>
      </x:c>
      <x:c r="R209" s="42" t="str">
        <x:f>IF(A209="","",IF(P209="PAY",E209,IF(P209="OTHER",F209,IF(P209="CAPITAL","Capital - "&amp;G209,IF(P209="DUE","Due to - "&amp;G209,IF(P209="DRAW","Drawings - "&amp;G209,P209))))))</x:f>
      </x:c>
      <x:c r="S209" s="37" t="n">
        <x:f>IF(AND(N209="Approved",T209="OK"),D209,0)</x:f>
        <x:v>0</x:v>
      </x:c>
      <x:c r="T209" s="42" t="str">
        <x:f>IF(A209="","",IF(COUNTIFS($A$6:$A$505,A209)&lt;&gt;1,"Duplicate ID",IF(OR(NOT(ISNUMBER(B209)),D209&lt;=0,NOT(ISNUMBER(D209)),I209="",J209="",L209=""),"Missing date/amount/ref/details",IF(OR(COUNTIFS('Accounts'!$A$6:$A$105,Q209)&lt;&gt;1,COUNTIFS('Accounts'!$A$6:$A$105,R209)&lt;&gt;1,Q209=R209),"Check accounts/event",IF(AND(OR(Q209="Trade payables",R209="Trade payables",Q209="Customer receivables",R209="Customer receivables",Q209="Courier receivables",R209="Courier receivables",Q209="Supplier advances",R209="Supplier advances"),H209=""),"Contact ID required",IF(AND(N209="Approved",OR(M209="",M209=L209)),"Independent review needed",IF(OR(N209="Draft",N209="Approved",N209="Void"),"OK","Status required")))))))</x:f>
      </x:c>
    </x:row>
    <x:row r="210" ht="23" customHeight="1">
      <x:c r="A210" s="36"/>
      <x:c r="B210" s="40"/>
      <x:c r="C210" s="36"/>
      <x:c r="D210" s="41"/>
      <x:c r="E210" s="36"/>
      <x:c r="F210" s="36"/>
      <x:c r="G210" s="36"/>
      <x:c r="H210" s="36"/>
      <x:c r="I210" s="36"/>
      <x:c r="J210" s="36"/>
      <x:c r="K210" s="36"/>
      <x:c r="L210" s="36"/>
      <x:c r="M210" s="36"/>
      <x:c r="N210" s="36"/>
      <x:c r="O210" s="42" t="str">
        <x:f>IF(A210="","",IF(COUNTIFS('Event Guide'!$A$6:$A$29,C210)=1,VLOOKUP(C210,'Event Guide'!$A$6:$C$29,2,FALSE),"Unknown event"))</x:f>
      </x:c>
      <x:c r="P210" s="42" t="str">
        <x:f>IF(A210="","",IF(COUNTIFS('Event Guide'!$A$6:$A$29,C210)=1,VLOOKUP(C210,'Event Guide'!$A$6:$C$29,3,FALSE),"Unknown event"))</x:f>
      </x:c>
      <x:c r="Q210" s="42" t="str">
        <x:f>IF(A210="","",IF(O210="PAY",E210,IF(O210="OTHER",F210,IF(O210="CAPITAL","Capital - "&amp;G210,IF(O210="DUE","Due to - "&amp;G210,IF(O210="DRAW","Drawings - "&amp;G210,O210))))))</x:f>
      </x:c>
      <x:c r="R210" s="42" t="str">
        <x:f>IF(A210="","",IF(P210="PAY",E210,IF(P210="OTHER",F210,IF(P210="CAPITAL","Capital - "&amp;G210,IF(P210="DUE","Due to - "&amp;G210,IF(P210="DRAW","Drawings - "&amp;G210,P210))))))</x:f>
      </x:c>
      <x:c r="S210" s="37" t="n">
        <x:f>IF(AND(N210="Approved",T210="OK"),D210,0)</x:f>
        <x:v>0</x:v>
      </x:c>
      <x:c r="T210" s="42" t="str">
        <x:f>IF(A210="","",IF(COUNTIFS($A$6:$A$505,A210)&lt;&gt;1,"Duplicate ID",IF(OR(NOT(ISNUMBER(B210)),D210&lt;=0,NOT(ISNUMBER(D210)),I210="",J210="",L210=""),"Missing date/amount/ref/details",IF(OR(COUNTIFS('Accounts'!$A$6:$A$105,Q210)&lt;&gt;1,COUNTIFS('Accounts'!$A$6:$A$105,R210)&lt;&gt;1,Q210=R210),"Check accounts/event",IF(AND(OR(Q210="Trade payables",R210="Trade payables",Q210="Customer receivables",R210="Customer receivables",Q210="Courier receivables",R210="Courier receivables",Q210="Supplier advances",R210="Supplier advances"),H210=""),"Contact ID required",IF(AND(N210="Approved",OR(M210="",M210=L210)),"Independent review needed",IF(OR(N210="Draft",N210="Approved",N210="Void"),"OK","Status required")))))))</x:f>
      </x:c>
    </x:row>
    <x:row r="211" ht="23" customHeight="1">
      <x:c r="A211" s="36"/>
      <x:c r="B211" s="40"/>
      <x:c r="C211" s="36"/>
      <x:c r="D211" s="41"/>
      <x:c r="E211" s="36"/>
      <x:c r="F211" s="36"/>
      <x:c r="G211" s="36"/>
      <x:c r="H211" s="36"/>
      <x:c r="I211" s="36"/>
      <x:c r="J211" s="36"/>
      <x:c r="K211" s="36"/>
      <x:c r="L211" s="36"/>
      <x:c r="M211" s="36"/>
      <x:c r="N211" s="36"/>
      <x:c r="O211" s="42" t="str">
        <x:f>IF(A211="","",IF(COUNTIFS('Event Guide'!$A$6:$A$29,C211)=1,VLOOKUP(C211,'Event Guide'!$A$6:$C$29,2,FALSE),"Unknown event"))</x:f>
      </x:c>
      <x:c r="P211" s="42" t="str">
        <x:f>IF(A211="","",IF(COUNTIFS('Event Guide'!$A$6:$A$29,C211)=1,VLOOKUP(C211,'Event Guide'!$A$6:$C$29,3,FALSE),"Unknown event"))</x:f>
      </x:c>
      <x:c r="Q211" s="42" t="str">
        <x:f>IF(A211="","",IF(O211="PAY",E211,IF(O211="OTHER",F211,IF(O211="CAPITAL","Capital - "&amp;G211,IF(O211="DUE","Due to - "&amp;G211,IF(O211="DRAW","Drawings - "&amp;G211,O211))))))</x:f>
      </x:c>
      <x:c r="R211" s="42" t="str">
        <x:f>IF(A211="","",IF(P211="PAY",E211,IF(P211="OTHER",F211,IF(P211="CAPITAL","Capital - "&amp;G211,IF(P211="DUE","Due to - "&amp;G211,IF(P211="DRAW","Drawings - "&amp;G211,P211))))))</x:f>
      </x:c>
      <x:c r="S211" s="37" t="n">
        <x:f>IF(AND(N211="Approved",T211="OK"),D211,0)</x:f>
        <x:v>0</x:v>
      </x:c>
      <x:c r="T211" s="42" t="str">
        <x:f>IF(A211="","",IF(COUNTIFS($A$6:$A$505,A211)&lt;&gt;1,"Duplicate ID",IF(OR(NOT(ISNUMBER(B211)),D211&lt;=0,NOT(ISNUMBER(D211)),I211="",J211="",L211=""),"Missing date/amount/ref/details",IF(OR(COUNTIFS('Accounts'!$A$6:$A$105,Q211)&lt;&gt;1,COUNTIFS('Accounts'!$A$6:$A$105,R211)&lt;&gt;1,Q211=R211),"Check accounts/event",IF(AND(OR(Q211="Trade payables",R211="Trade payables",Q211="Customer receivables",R211="Customer receivables",Q211="Courier receivables",R211="Courier receivables",Q211="Supplier advances",R211="Supplier advances"),H211=""),"Contact ID required",IF(AND(N211="Approved",OR(M211="",M211=L211)),"Independent review needed",IF(OR(N211="Draft",N211="Approved",N211="Void"),"OK","Status required")))))))</x:f>
      </x:c>
    </x:row>
    <x:row r="212" ht="23" customHeight="1">
      <x:c r="A212" s="36"/>
      <x:c r="B212" s="40"/>
      <x:c r="C212" s="36"/>
      <x:c r="D212" s="41"/>
      <x:c r="E212" s="36"/>
      <x:c r="F212" s="36"/>
      <x:c r="G212" s="36"/>
      <x:c r="H212" s="36"/>
      <x:c r="I212" s="36"/>
      <x:c r="J212" s="36"/>
      <x:c r="K212" s="36"/>
      <x:c r="L212" s="36"/>
      <x:c r="M212" s="36"/>
      <x:c r="N212" s="36"/>
      <x:c r="O212" s="42" t="str">
        <x:f>IF(A212="","",IF(COUNTIFS('Event Guide'!$A$6:$A$29,C212)=1,VLOOKUP(C212,'Event Guide'!$A$6:$C$29,2,FALSE),"Unknown event"))</x:f>
      </x:c>
      <x:c r="P212" s="42" t="str">
        <x:f>IF(A212="","",IF(COUNTIFS('Event Guide'!$A$6:$A$29,C212)=1,VLOOKUP(C212,'Event Guide'!$A$6:$C$29,3,FALSE),"Unknown event"))</x:f>
      </x:c>
      <x:c r="Q212" s="42" t="str">
        <x:f>IF(A212="","",IF(O212="PAY",E212,IF(O212="OTHER",F212,IF(O212="CAPITAL","Capital - "&amp;G212,IF(O212="DUE","Due to - "&amp;G212,IF(O212="DRAW","Drawings - "&amp;G212,O212))))))</x:f>
      </x:c>
      <x:c r="R212" s="42" t="str">
        <x:f>IF(A212="","",IF(P212="PAY",E212,IF(P212="OTHER",F212,IF(P212="CAPITAL","Capital - "&amp;G212,IF(P212="DUE","Due to - "&amp;G212,IF(P212="DRAW","Drawings - "&amp;G212,P212))))))</x:f>
      </x:c>
      <x:c r="S212" s="37" t="n">
        <x:f>IF(AND(N212="Approved",T212="OK"),D212,0)</x:f>
        <x:v>0</x:v>
      </x:c>
      <x:c r="T212" s="42" t="str">
        <x:f>IF(A212="","",IF(COUNTIFS($A$6:$A$505,A212)&lt;&gt;1,"Duplicate ID",IF(OR(NOT(ISNUMBER(B212)),D212&lt;=0,NOT(ISNUMBER(D212)),I212="",J212="",L212=""),"Missing date/amount/ref/details",IF(OR(COUNTIFS('Accounts'!$A$6:$A$105,Q212)&lt;&gt;1,COUNTIFS('Accounts'!$A$6:$A$105,R212)&lt;&gt;1,Q212=R212),"Check accounts/event",IF(AND(OR(Q212="Trade payables",R212="Trade payables",Q212="Customer receivables",R212="Customer receivables",Q212="Courier receivables",R212="Courier receivables",Q212="Supplier advances",R212="Supplier advances"),H212=""),"Contact ID required",IF(AND(N212="Approved",OR(M212="",M212=L212)),"Independent review needed",IF(OR(N212="Draft",N212="Approved",N212="Void"),"OK","Status required")))))))</x:f>
      </x:c>
    </x:row>
    <x:row r="213" ht="23" customHeight="1">
      <x:c r="A213" s="36"/>
      <x:c r="B213" s="40"/>
      <x:c r="C213" s="36"/>
      <x:c r="D213" s="41"/>
      <x:c r="E213" s="36"/>
      <x:c r="F213" s="36"/>
      <x:c r="G213" s="36"/>
      <x:c r="H213" s="36"/>
      <x:c r="I213" s="36"/>
      <x:c r="J213" s="36"/>
      <x:c r="K213" s="36"/>
      <x:c r="L213" s="36"/>
      <x:c r="M213" s="36"/>
      <x:c r="N213" s="36"/>
      <x:c r="O213" s="42" t="str">
        <x:f>IF(A213="","",IF(COUNTIFS('Event Guide'!$A$6:$A$29,C213)=1,VLOOKUP(C213,'Event Guide'!$A$6:$C$29,2,FALSE),"Unknown event"))</x:f>
      </x:c>
      <x:c r="P213" s="42" t="str">
        <x:f>IF(A213="","",IF(COUNTIFS('Event Guide'!$A$6:$A$29,C213)=1,VLOOKUP(C213,'Event Guide'!$A$6:$C$29,3,FALSE),"Unknown event"))</x:f>
      </x:c>
      <x:c r="Q213" s="42" t="str">
        <x:f>IF(A213="","",IF(O213="PAY",E213,IF(O213="OTHER",F213,IF(O213="CAPITAL","Capital - "&amp;G213,IF(O213="DUE","Due to - "&amp;G213,IF(O213="DRAW","Drawings - "&amp;G213,O213))))))</x:f>
      </x:c>
      <x:c r="R213" s="42" t="str">
        <x:f>IF(A213="","",IF(P213="PAY",E213,IF(P213="OTHER",F213,IF(P213="CAPITAL","Capital - "&amp;G213,IF(P213="DUE","Due to - "&amp;G213,IF(P213="DRAW","Drawings - "&amp;G213,P213))))))</x:f>
      </x:c>
      <x:c r="S213" s="37" t="n">
        <x:f>IF(AND(N213="Approved",T213="OK"),D213,0)</x:f>
        <x:v>0</x:v>
      </x:c>
      <x:c r="T213" s="42" t="str">
        <x:f>IF(A213="","",IF(COUNTIFS($A$6:$A$505,A213)&lt;&gt;1,"Duplicate ID",IF(OR(NOT(ISNUMBER(B213)),D213&lt;=0,NOT(ISNUMBER(D213)),I213="",J213="",L213=""),"Missing date/amount/ref/details",IF(OR(COUNTIFS('Accounts'!$A$6:$A$105,Q213)&lt;&gt;1,COUNTIFS('Accounts'!$A$6:$A$105,R213)&lt;&gt;1,Q213=R213),"Check accounts/event",IF(AND(OR(Q213="Trade payables",R213="Trade payables",Q213="Customer receivables",R213="Customer receivables",Q213="Courier receivables",R213="Courier receivables",Q213="Supplier advances",R213="Supplier advances"),H213=""),"Contact ID required",IF(AND(N213="Approved",OR(M213="",M213=L213)),"Independent review needed",IF(OR(N213="Draft",N213="Approved",N213="Void"),"OK","Status required")))))))</x:f>
      </x:c>
    </x:row>
    <x:row r="214" ht="23" customHeight="1">
      <x:c r="A214" s="36"/>
      <x:c r="B214" s="40"/>
      <x:c r="C214" s="36"/>
      <x:c r="D214" s="41"/>
      <x:c r="E214" s="36"/>
      <x:c r="F214" s="36"/>
      <x:c r="G214" s="36"/>
      <x:c r="H214" s="36"/>
      <x:c r="I214" s="36"/>
      <x:c r="J214" s="36"/>
      <x:c r="K214" s="36"/>
      <x:c r="L214" s="36"/>
      <x:c r="M214" s="36"/>
      <x:c r="N214" s="36"/>
      <x:c r="O214" s="42" t="str">
        <x:f>IF(A214="","",IF(COUNTIFS('Event Guide'!$A$6:$A$29,C214)=1,VLOOKUP(C214,'Event Guide'!$A$6:$C$29,2,FALSE),"Unknown event"))</x:f>
      </x:c>
      <x:c r="P214" s="42" t="str">
        <x:f>IF(A214="","",IF(COUNTIFS('Event Guide'!$A$6:$A$29,C214)=1,VLOOKUP(C214,'Event Guide'!$A$6:$C$29,3,FALSE),"Unknown event"))</x:f>
      </x:c>
      <x:c r="Q214" s="42" t="str">
        <x:f>IF(A214="","",IF(O214="PAY",E214,IF(O214="OTHER",F214,IF(O214="CAPITAL","Capital - "&amp;G214,IF(O214="DUE","Due to - "&amp;G214,IF(O214="DRAW","Drawings - "&amp;G214,O214))))))</x:f>
      </x:c>
      <x:c r="R214" s="42" t="str">
        <x:f>IF(A214="","",IF(P214="PAY",E214,IF(P214="OTHER",F214,IF(P214="CAPITAL","Capital - "&amp;G214,IF(P214="DUE","Due to - "&amp;G214,IF(P214="DRAW","Drawings - "&amp;G214,P214))))))</x:f>
      </x:c>
      <x:c r="S214" s="37" t="n">
        <x:f>IF(AND(N214="Approved",T214="OK"),D214,0)</x:f>
        <x:v>0</x:v>
      </x:c>
      <x:c r="T214" s="42" t="str">
        <x:f>IF(A214="","",IF(COUNTIFS($A$6:$A$505,A214)&lt;&gt;1,"Duplicate ID",IF(OR(NOT(ISNUMBER(B214)),D214&lt;=0,NOT(ISNUMBER(D214)),I214="",J214="",L214=""),"Missing date/amount/ref/details",IF(OR(COUNTIFS('Accounts'!$A$6:$A$105,Q214)&lt;&gt;1,COUNTIFS('Accounts'!$A$6:$A$105,R214)&lt;&gt;1,Q214=R214),"Check accounts/event",IF(AND(OR(Q214="Trade payables",R214="Trade payables",Q214="Customer receivables",R214="Customer receivables",Q214="Courier receivables",R214="Courier receivables",Q214="Supplier advances",R214="Supplier advances"),H214=""),"Contact ID required",IF(AND(N214="Approved",OR(M214="",M214=L214)),"Independent review needed",IF(OR(N214="Draft",N214="Approved",N214="Void"),"OK","Status required")))))))</x:f>
      </x:c>
    </x:row>
    <x:row r="215" ht="23" customHeight="1">
      <x:c r="A215" s="36"/>
      <x:c r="B215" s="40"/>
      <x:c r="C215" s="36"/>
      <x:c r="D215" s="41"/>
      <x:c r="E215" s="36"/>
      <x:c r="F215" s="36"/>
      <x:c r="G215" s="36"/>
      <x:c r="H215" s="36"/>
      <x:c r="I215" s="36"/>
      <x:c r="J215" s="36"/>
      <x:c r="K215" s="36"/>
      <x:c r="L215" s="36"/>
      <x:c r="M215" s="36"/>
      <x:c r="N215" s="36"/>
      <x:c r="O215" s="42" t="str">
        <x:f>IF(A215="","",IF(COUNTIFS('Event Guide'!$A$6:$A$29,C215)=1,VLOOKUP(C215,'Event Guide'!$A$6:$C$29,2,FALSE),"Unknown event"))</x:f>
      </x:c>
      <x:c r="P215" s="42" t="str">
        <x:f>IF(A215="","",IF(COUNTIFS('Event Guide'!$A$6:$A$29,C215)=1,VLOOKUP(C215,'Event Guide'!$A$6:$C$29,3,FALSE),"Unknown event"))</x:f>
      </x:c>
      <x:c r="Q215" s="42" t="str">
        <x:f>IF(A215="","",IF(O215="PAY",E215,IF(O215="OTHER",F215,IF(O215="CAPITAL","Capital - "&amp;G215,IF(O215="DUE","Due to - "&amp;G215,IF(O215="DRAW","Drawings - "&amp;G215,O215))))))</x:f>
      </x:c>
      <x:c r="R215" s="42" t="str">
        <x:f>IF(A215="","",IF(P215="PAY",E215,IF(P215="OTHER",F215,IF(P215="CAPITAL","Capital - "&amp;G215,IF(P215="DUE","Due to - "&amp;G215,IF(P215="DRAW","Drawings - "&amp;G215,P215))))))</x:f>
      </x:c>
      <x:c r="S215" s="37" t="n">
        <x:f>IF(AND(N215="Approved",T215="OK"),D215,0)</x:f>
        <x:v>0</x:v>
      </x:c>
      <x:c r="T215" s="42" t="str">
        <x:f>IF(A215="","",IF(COUNTIFS($A$6:$A$505,A215)&lt;&gt;1,"Duplicate ID",IF(OR(NOT(ISNUMBER(B215)),D215&lt;=0,NOT(ISNUMBER(D215)),I215="",J215="",L215=""),"Missing date/amount/ref/details",IF(OR(COUNTIFS('Accounts'!$A$6:$A$105,Q215)&lt;&gt;1,COUNTIFS('Accounts'!$A$6:$A$105,R215)&lt;&gt;1,Q215=R215),"Check accounts/event",IF(AND(OR(Q215="Trade payables",R215="Trade payables",Q215="Customer receivables",R215="Customer receivables",Q215="Courier receivables",R215="Courier receivables",Q215="Supplier advances",R215="Supplier advances"),H215=""),"Contact ID required",IF(AND(N215="Approved",OR(M215="",M215=L215)),"Independent review needed",IF(OR(N215="Draft",N215="Approved",N215="Void"),"OK","Status required")))))))</x:f>
      </x:c>
    </x:row>
    <x:row r="216" ht="23" customHeight="1">
      <x:c r="A216" s="36"/>
      <x:c r="B216" s="40"/>
      <x:c r="C216" s="36"/>
      <x:c r="D216" s="41"/>
      <x:c r="E216" s="36"/>
      <x:c r="F216" s="36"/>
      <x:c r="G216" s="36"/>
      <x:c r="H216" s="36"/>
      <x:c r="I216" s="36"/>
      <x:c r="J216" s="36"/>
      <x:c r="K216" s="36"/>
      <x:c r="L216" s="36"/>
      <x:c r="M216" s="36"/>
      <x:c r="N216" s="36"/>
      <x:c r="O216" s="42" t="str">
        <x:f>IF(A216="","",IF(COUNTIFS('Event Guide'!$A$6:$A$29,C216)=1,VLOOKUP(C216,'Event Guide'!$A$6:$C$29,2,FALSE),"Unknown event"))</x:f>
      </x:c>
      <x:c r="P216" s="42" t="str">
        <x:f>IF(A216="","",IF(COUNTIFS('Event Guide'!$A$6:$A$29,C216)=1,VLOOKUP(C216,'Event Guide'!$A$6:$C$29,3,FALSE),"Unknown event"))</x:f>
      </x:c>
      <x:c r="Q216" s="42" t="str">
        <x:f>IF(A216="","",IF(O216="PAY",E216,IF(O216="OTHER",F216,IF(O216="CAPITAL","Capital - "&amp;G216,IF(O216="DUE","Due to - "&amp;G216,IF(O216="DRAW","Drawings - "&amp;G216,O216))))))</x:f>
      </x:c>
      <x:c r="R216" s="42" t="str">
        <x:f>IF(A216="","",IF(P216="PAY",E216,IF(P216="OTHER",F216,IF(P216="CAPITAL","Capital - "&amp;G216,IF(P216="DUE","Due to - "&amp;G216,IF(P216="DRAW","Drawings - "&amp;G216,P216))))))</x:f>
      </x:c>
      <x:c r="S216" s="37" t="n">
        <x:f>IF(AND(N216="Approved",T216="OK"),D216,0)</x:f>
        <x:v>0</x:v>
      </x:c>
      <x:c r="T216" s="42" t="str">
        <x:f>IF(A216="","",IF(COUNTIFS($A$6:$A$505,A216)&lt;&gt;1,"Duplicate ID",IF(OR(NOT(ISNUMBER(B216)),D216&lt;=0,NOT(ISNUMBER(D216)),I216="",J216="",L216=""),"Missing date/amount/ref/details",IF(OR(COUNTIFS('Accounts'!$A$6:$A$105,Q216)&lt;&gt;1,COUNTIFS('Accounts'!$A$6:$A$105,R216)&lt;&gt;1,Q216=R216),"Check accounts/event",IF(AND(OR(Q216="Trade payables",R216="Trade payables",Q216="Customer receivables",R216="Customer receivables",Q216="Courier receivables",R216="Courier receivables",Q216="Supplier advances",R216="Supplier advances"),H216=""),"Contact ID required",IF(AND(N216="Approved",OR(M216="",M216=L216)),"Independent review needed",IF(OR(N216="Draft",N216="Approved",N216="Void"),"OK","Status required")))))))</x:f>
      </x:c>
    </x:row>
    <x:row r="217" ht="23" customHeight="1">
      <x:c r="A217" s="36"/>
      <x:c r="B217" s="40"/>
      <x:c r="C217" s="36"/>
      <x:c r="D217" s="41"/>
      <x:c r="E217" s="36"/>
      <x:c r="F217" s="36"/>
      <x:c r="G217" s="36"/>
      <x:c r="H217" s="36"/>
      <x:c r="I217" s="36"/>
      <x:c r="J217" s="36"/>
      <x:c r="K217" s="36"/>
      <x:c r="L217" s="36"/>
      <x:c r="M217" s="36"/>
      <x:c r="N217" s="36"/>
      <x:c r="O217" s="42" t="str">
        <x:f>IF(A217="","",IF(COUNTIFS('Event Guide'!$A$6:$A$29,C217)=1,VLOOKUP(C217,'Event Guide'!$A$6:$C$29,2,FALSE),"Unknown event"))</x:f>
      </x:c>
      <x:c r="P217" s="42" t="str">
        <x:f>IF(A217="","",IF(COUNTIFS('Event Guide'!$A$6:$A$29,C217)=1,VLOOKUP(C217,'Event Guide'!$A$6:$C$29,3,FALSE),"Unknown event"))</x:f>
      </x:c>
      <x:c r="Q217" s="42" t="str">
        <x:f>IF(A217="","",IF(O217="PAY",E217,IF(O217="OTHER",F217,IF(O217="CAPITAL","Capital - "&amp;G217,IF(O217="DUE","Due to - "&amp;G217,IF(O217="DRAW","Drawings - "&amp;G217,O217))))))</x:f>
      </x:c>
      <x:c r="R217" s="42" t="str">
        <x:f>IF(A217="","",IF(P217="PAY",E217,IF(P217="OTHER",F217,IF(P217="CAPITAL","Capital - "&amp;G217,IF(P217="DUE","Due to - "&amp;G217,IF(P217="DRAW","Drawings - "&amp;G217,P217))))))</x:f>
      </x:c>
      <x:c r="S217" s="37" t="n">
        <x:f>IF(AND(N217="Approved",T217="OK"),D217,0)</x:f>
        <x:v>0</x:v>
      </x:c>
      <x:c r="T217" s="42" t="str">
        <x:f>IF(A217="","",IF(COUNTIFS($A$6:$A$505,A217)&lt;&gt;1,"Duplicate ID",IF(OR(NOT(ISNUMBER(B217)),D217&lt;=0,NOT(ISNUMBER(D217)),I217="",J217="",L217=""),"Missing date/amount/ref/details",IF(OR(COUNTIFS('Accounts'!$A$6:$A$105,Q217)&lt;&gt;1,COUNTIFS('Accounts'!$A$6:$A$105,R217)&lt;&gt;1,Q217=R217),"Check accounts/event",IF(AND(OR(Q217="Trade payables",R217="Trade payables",Q217="Customer receivables",R217="Customer receivables",Q217="Courier receivables",R217="Courier receivables",Q217="Supplier advances",R217="Supplier advances"),H217=""),"Contact ID required",IF(AND(N217="Approved",OR(M217="",M217=L217)),"Independent review needed",IF(OR(N217="Draft",N217="Approved",N217="Void"),"OK","Status required")))))))</x:f>
      </x:c>
    </x:row>
    <x:row r="218" ht="23" customHeight="1">
      <x:c r="A218" s="36"/>
      <x:c r="B218" s="40"/>
      <x:c r="C218" s="36"/>
      <x:c r="D218" s="41"/>
      <x:c r="E218" s="36"/>
      <x:c r="F218" s="36"/>
      <x:c r="G218" s="36"/>
      <x:c r="H218" s="36"/>
      <x:c r="I218" s="36"/>
      <x:c r="J218" s="36"/>
      <x:c r="K218" s="36"/>
      <x:c r="L218" s="36"/>
      <x:c r="M218" s="36"/>
      <x:c r="N218" s="36"/>
      <x:c r="O218" s="42" t="str">
        <x:f>IF(A218="","",IF(COUNTIFS('Event Guide'!$A$6:$A$29,C218)=1,VLOOKUP(C218,'Event Guide'!$A$6:$C$29,2,FALSE),"Unknown event"))</x:f>
      </x:c>
      <x:c r="P218" s="42" t="str">
        <x:f>IF(A218="","",IF(COUNTIFS('Event Guide'!$A$6:$A$29,C218)=1,VLOOKUP(C218,'Event Guide'!$A$6:$C$29,3,FALSE),"Unknown event"))</x:f>
      </x:c>
      <x:c r="Q218" s="42" t="str">
        <x:f>IF(A218="","",IF(O218="PAY",E218,IF(O218="OTHER",F218,IF(O218="CAPITAL","Capital - "&amp;G218,IF(O218="DUE","Due to - "&amp;G218,IF(O218="DRAW","Drawings - "&amp;G218,O218))))))</x:f>
      </x:c>
      <x:c r="R218" s="42" t="str">
        <x:f>IF(A218="","",IF(P218="PAY",E218,IF(P218="OTHER",F218,IF(P218="CAPITAL","Capital - "&amp;G218,IF(P218="DUE","Due to - "&amp;G218,IF(P218="DRAW","Drawings - "&amp;G218,P218))))))</x:f>
      </x:c>
      <x:c r="S218" s="37" t="n">
        <x:f>IF(AND(N218="Approved",T218="OK"),D218,0)</x:f>
        <x:v>0</x:v>
      </x:c>
      <x:c r="T218" s="42" t="str">
        <x:f>IF(A218="","",IF(COUNTIFS($A$6:$A$505,A218)&lt;&gt;1,"Duplicate ID",IF(OR(NOT(ISNUMBER(B218)),D218&lt;=0,NOT(ISNUMBER(D218)),I218="",J218="",L218=""),"Missing date/amount/ref/details",IF(OR(COUNTIFS('Accounts'!$A$6:$A$105,Q218)&lt;&gt;1,COUNTIFS('Accounts'!$A$6:$A$105,R218)&lt;&gt;1,Q218=R218),"Check accounts/event",IF(AND(OR(Q218="Trade payables",R218="Trade payables",Q218="Customer receivables",R218="Customer receivables",Q218="Courier receivables",R218="Courier receivables",Q218="Supplier advances",R218="Supplier advances"),H218=""),"Contact ID required",IF(AND(N218="Approved",OR(M218="",M218=L218)),"Independent review needed",IF(OR(N218="Draft",N218="Approved",N218="Void"),"OK","Status required")))))))</x:f>
      </x:c>
    </x:row>
    <x:row r="219" ht="23" customHeight="1">
      <x:c r="A219" s="36"/>
      <x:c r="B219" s="40"/>
      <x:c r="C219" s="36"/>
      <x:c r="D219" s="41"/>
      <x:c r="E219" s="36"/>
      <x:c r="F219" s="36"/>
      <x:c r="G219" s="36"/>
      <x:c r="H219" s="36"/>
      <x:c r="I219" s="36"/>
      <x:c r="J219" s="36"/>
      <x:c r="K219" s="36"/>
      <x:c r="L219" s="36"/>
      <x:c r="M219" s="36"/>
      <x:c r="N219" s="36"/>
      <x:c r="O219" s="42" t="str">
        <x:f>IF(A219="","",IF(COUNTIFS('Event Guide'!$A$6:$A$29,C219)=1,VLOOKUP(C219,'Event Guide'!$A$6:$C$29,2,FALSE),"Unknown event"))</x:f>
      </x:c>
      <x:c r="P219" s="42" t="str">
        <x:f>IF(A219="","",IF(COUNTIFS('Event Guide'!$A$6:$A$29,C219)=1,VLOOKUP(C219,'Event Guide'!$A$6:$C$29,3,FALSE),"Unknown event"))</x:f>
      </x:c>
      <x:c r="Q219" s="42" t="str">
        <x:f>IF(A219="","",IF(O219="PAY",E219,IF(O219="OTHER",F219,IF(O219="CAPITAL","Capital - "&amp;G219,IF(O219="DUE","Due to - "&amp;G219,IF(O219="DRAW","Drawings - "&amp;G219,O219))))))</x:f>
      </x:c>
      <x:c r="R219" s="42" t="str">
        <x:f>IF(A219="","",IF(P219="PAY",E219,IF(P219="OTHER",F219,IF(P219="CAPITAL","Capital - "&amp;G219,IF(P219="DUE","Due to - "&amp;G219,IF(P219="DRAW","Drawings - "&amp;G219,P219))))))</x:f>
      </x:c>
      <x:c r="S219" s="37" t="n">
        <x:f>IF(AND(N219="Approved",T219="OK"),D219,0)</x:f>
        <x:v>0</x:v>
      </x:c>
      <x:c r="T219" s="42" t="str">
        <x:f>IF(A219="","",IF(COUNTIFS($A$6:$A$505,A219)&lt;&gt;1,"Duplicate ID",IF(OR(NOT(ISNUMBER(B219)),D219&lt;=0,NOT(ISNUMBER(D219)),I219="",J219="",L219=""),"Missing date/amount/ref/details",IF(OR(COUNTIFS('Accounts'!$A$6:$A$105,Q219)&lt;&gt;1,COUNTIFS('Accounts'!$A$6:$A$105,R219)&lt;&gt;1,Q219=R219),"Check accounts/event",IF(AND(OR(Q219="Trade payables",R219="Trade payables",Q219="Customer receivables",R219="Customer receivables",Q219="Courier receivables",R219="Courier receivables",Q219="Supplier advances",R219="Supplier advances"),H219=""),"Contact ID required",IF(AND(N219="Approved",OR(M219="",M219=L219)),"Independent review needed",IF(OR(N219="Draft",N219="Approved",N219="Void"),"OK","Status required")))))))</x:f>
      </x:c>
    </x:row>
    <x:row r="220" ht="23" customHeight="1">
      <x:c r="A220" s="36"/>
      <x:c r="B220" s="40"/>
      <x:c r="C220" s="36"/>
      <x:c r="D220" s="41"/>
      <x:c r="E220" s="36"/>
      <x:c r="F220" s="36"/>
      <x:c r="G220" s="36"/>
      <x:c r="H220" s="36"/>
      <x:c r="I220" s="36"/>
      <x:c r="J220" s="36"/>
      <x:c r="K220" s="36"/>
      <x:c r="L220" s="36"/>
      <x:c r="M220" s="36"/>
      <x:c r="N220" s="36"/>
      <x:c r="O220" s="42" t="str">
        <x:f>IF(A220="","",IF(COUNTIFS('Event Guide'!$A$6:$A$29,C220)=1,VLOOKUP(C220,'Event Guide'!$A$6:$C$29,2,FALSE),"Unknown event"))</x:f>
      </x:c>
      <x:c r="P220" s="42" t="str">
        <x:f>IF(A220="","",IF(COUNTIFS('Event Guide'!$A$6:$A$29,C220)=1,VLOOKUP(C220,'Event Guide'!$A$6:$C$29,3,FALSE),"Unknown event"))</x:f>
      </x:c>
      <x:c r="Q220" s="42" t="str">
        <x:f>IF(A220="","",IF(O220="PAY",E220,IF(O220="OTHER",F220,IF(O220="CAPITAL","Capital - "&amp;G220,IF(O220="DUE","Due to - "&amp;G220,IF(O220="DRAW","Drawings - "&amp;G220,O220))))))</x:f>
      </x:c>
      <x:c r="R220" s="42" t="str">
        <x:f>IF(A220="","",IF(P220="PAY",E220,IF(P220="OTHER",F220,IF(P220="CAPITAL","Capital - "&amp;G220,IF(P220="DUE","Due to - "&amp;G220,IF(P220="DRAW","Drawings - "&amp;G220,P220))))))</x:f>
      </x:c>
      <x:c r="S220" s="37" t="n">
        <x:f>IF(AND(N220="Approved",T220="OK"),D220,0)</x:f>
        <x:v>0</x:v>
      </x:c>
      <x:c r="T220" s="42" t="str">
        <x:f>IF(A220="","",IF(COUNTIFS($A$6:$A$505,A220)&lt;&gt;1,"Duplicate ID",IF(OR(NOT(ISNUMBER(B220)),D220&lt;=0,NOT(ISNUMBER(D220)),I220="",J220="",L220=""),"Missing date/amount/ref/details",IF(OR(COUNTIFS('Accounts'!$A$6:$A$105,Q220)&lt;&gt;1,COUNTIFS('Accounts'!$A$6:$A$105,R220)&lt;&gt;1,Q220=R220),"Check accounts/event",IF(AND(OR(Q220="Trade payables",R220="Trade payables",Q220="Customer receivables",R220="Customer receivables",Q220="Courier receivables",R220="Courier receivables",Q220="Supplier advances",R220="Supplier advances"),H220=""),"Contact ID required",IF(AND(N220="Approved",OR(M220="",M220=L220)),"Independent review needed",IF(OR(N220="Draft",N220="Approved",N220="Void"),"OK","Status required")))))))</x:f>
      </x:c>
    </x:row>
    <x:row r="221" ht="23" customHeight="1">
      <x:c r="A221" s="36"/>
      <x:c r="B221" s="40"/>
      <x:c r="C221" s="36"/>
      <x:c r="D221" s="41"/>
      <x:c r="E221" s="36"/>
      <x:c r="F221" s="36"/>
      <x:c r="G221" s="36"/>
      <x:c r="H221" s="36"/>
      <x:c r="I221" s="36"/>
      <x:c r="J221" s="36"/>
      <x:c r="K221" s="36"/>
      <x:c r="L221" s="36"/>
      <x:c r="M221" s="36"/>
      <x:c r="N221" s="36"/>
      <x:c r="O221" s="42" t="str">
        <x:f>IF(A221="","",IF(COUNTIFS('Event Guide'!$A$6:$A$29,C221)=1,VLOOKUP(C221,'Event Guide'!$A$6:$C$29,2,FALSE),"Unknown event"))</x:f>
      </x:c>
      <x:c r="P221" s="42" t="str">
        <x:f>IF(A221="","",IF(COUNTIFS('Event Guide'!$A$6:$A$29,C221)=1,VLOOKUP(C221,'Event Guide'!$A$6:$C$29,3,FALSE),"Unknown event"))</x:f>
      </x:c>
      <x:c r="Q221" s="42" t="str">
        <x:f>IF(A221="","",IF(O221="PAY",E221,IF(O221="OTHER",F221,IF(O221="CAPITAL","Capital - "&amp;G221,IF(O221="DUE","Due to - "&amp;G221,IF(O221="DRAW","Drawings - "&amp;G221,O221))))))</x:f>
      </x:c>
      <x:c r="R221" s="42" t="str">
        <x:f>IF(A221="","",IF(P221="PAY",E221,IF(P221="OTHER",F221,IF(P221="CAPITAL","Capital - "&amp;G221,IF(P221="DUE","Due to - "&amp;G221,IF(P221="DRAW","Drawings - "&amp;G221,P221))))))</x:f>
      </x:c>
      <x:c r="S221" s="37" t="n">
        <x:f>IF(AND(N221="Approved",T221="OK"),D221,0)</x:f>
        <x:v>0</x:v>
      </x:c>
      <x:c r="T221" s="42" t="str">
        <x:f>IF(A221="","",IF(COUNTIFS($A$6:$A$505,A221)&lt;&gt;1,"Duplicate ID",IF(OR(NOT(ISNUMBER(B221)),D221&lt;=0,NOT(ISNUMBER(D221)),I221="",J221="",L221=""),"Missing date/amount/ref/details",IF(OR(COUNTIFS('Accounts'!$A$6:$A$105,Q221)&lt;&gt;1,COUNTIFS('Accounts'!$A$6:$A$105,R221)&lt;&gt;1,Q221=R221),"Check accounts/event",IF(AND(OR(Q221="Trade payables",R221="Trade payables",Q221="Customer receivables",R221="Customer receivables",Q221="Courier receivables",R221="Courier receivables",Q221="Supplier advances",R221="Supplier advances"),H221=""),"Contact ID required",IF(AND(N221="Approved",OR(M221="",M221=L221)),"Independent review needed",IF(OR(N221="Draft",N221="Approved",N221="Void"),"OK","Status required")))))))</x:f>
      </x:c>
    </x:row>
    <x:row r="222" ht="23" customHeight="1">
      <x:c r="A222" s="36"/>
      <x:c r="B222" s="40"/>
      <x:c r="C222" s="36"/>
      <x:c r="D222" s="41"/>
      <x:c r="E222" s="36"/>
      <x:c r="F222" s="36"/>
      <x:c r="G222" s="36"/>
      <x:c r="H222" s="36"/>
      <x:c r="I222" s="36"/>
      <x:c r="J222" s="36"/>
      <x:c r="K222" s="36"/>
      <x:c r="L222" s="36"/>
      <x:c r="M222" s="36"/>
      <x:c r="N222" s="36"/>
      <x:c r="O222" s="42" t="str">
        <x:f>IF(A222="","",IF(COUNTIFS('Event Guide'!$A$6:$A$29,C222)=1,VLOOKUP(C222,'Event Guide'!$A$6:$C$29,2,FALSE),"Unknown event"))</x:f>
      </x:c>
      <x:c r="P222" s="42" t="str">
        <x:f>IF(A222="","",IF(COUNTIFS('Event Guide'!$A$6:$A$29,C222)=1,VLOOKUP(C222,'Event Guide'!$A$6:$C$29,3,FALSE),"Unknown event"))</x:f>
      </x:c>
      <x:c r="Q222" s="42" t="str">
        <x:f>IF(A222="","",IF(O222="PAY",E222,IF(O222="OTHER",F222,IF(O222="CAPITAL","Capital - "&amp;G222,IF(O222="DUE","Due to - "&amp;G222,IF(O222="DRAW","Drawings - "&amp;G222,O222))))))</x:f>
      </x:c>
      <x:c r="R222" s="42" t="str">
        <x:f>IF(A222="","",IF(P222="PAY",E222,IF(P222="OTHER",F222,IF(P222="CAPITAL","Capital - "&amp;G222,IF(P222="DUE","Due to - "&amp;G222,IF(P222="DRAW","Drawings - "&amp;G222,P222))))))</x:f>
      </x:c>
      <x:c r="S222" s="37" t="n">
        <x:f>IF(AND(N222="Approved",T222="OK"),D222,0)</x:f>
        <x:v>0</x:v>
      </x:c>
      <x:c r="T222" s="42" t="str">
        <x:f>IF(A222="","",IF(COUNTIFS($A$6:$A$505,A222)&lt;&gt;1,"Duplicate ID",IF(OR(NOT(ISNUMBER(B222)),D222&lt;=0,NOT(ISNUMBER(D222)),I222="",J222="",L222=""),"Missing date/amount/ref/details",IF(OR(COUNTIFS('Accounts'!$A$6:$A$105,Q222)&lt;&gt;1,COUNTIFS('Accounts'!$A$6:$A$105,R222)&lt;&gt;1,Q222=R222),"Check accounts/event",IF(AND(OR(Q222="Trade payables",R222="Trade payables",Q222="Customer receivables",R222="Customer receivables",Q222="Courier receivables",R222="Courier receivables",Q222="Supplier advances",R222="Supplier advances"),H222=""),"Contact ID required",IF(AND(N222="Approved",OR(M222="",M222=L222)),"Independent review needed",IF(OR(N222="Draft",N222="Approved",N222="Void"),"OK","Status required")))))))</x:f>
      </x:c>
    </x:row>
    <x:row r="223" ht="23" customHeight="1">
      <x:c r="A223" s="36"/>
      <x:c r="B223" s="40"/>
      <x:c r="C223" s="36"/>
      <x:c r="D223" s="41"/>
      <x:c r="E223" s="36"/>
      <x:c r="F223" s="36"/>
      <x:c r="G223" s="36"/>
      <x:c r="H223" s="36"/>
      <x:c r="I223" s="36"/>
      <x:c r="J223" s="36"/>
      <x:c r="K223" s="36"/>
      <x:c r="L223" s="36"/>
      <x:c r="M223" s="36"/>
      <x:c r="N223" s="36"/>
      <x:c r="O223" s="42" t="str">
        <x:f>IF(A223="","",IF(COUNTIFS('Event Guide'!$A$6:$A$29,C223)=1,VLOOKUP(C223,'Event Guide'!$A$6:$C$29,2,FALSE),"Unknown event"))</x:f>
      </x:c>
      <x:c r="P223" s="42" t="str">
        <x:f>IF(A223="","",IF(COUNTIFS('Event Guide'!$A$6:$A$29,C223)=1,VLOOKUP(C223,'Event Guide'!$A$6:$C$29,3,FALSE),"Unknown event"))</x:f>
      </x:c>
      <x:c r="Q223" s="42" t="str">
        <x:f>IF(A223="","",IF(O223="PAY",E223,IF(O223="OTHER",F223,IF(O223="CAPITAL","Capital - "&amp;G223,IF(O223="DUE","Due to - "&amp;G223,IF(O223="DRAW","Drawings - "&amp;G223,O223))))))</x:f>
      </x:c>
      <x:c r="R223" s="42" t="str">
        <x:f>IF(A223="","",IF(P223="PAY",E223,IF(P223="OTHER",F223,IF(P223="CAPITAL","Capital - "&amp;G223,IF(P223="DUE","Due to - "&amp;G223,IF(P223="DRAW","Drawings - "&amp;G223,P223))))))</x:f>
      </x:c>
      <x:c r="S223" s="37" t="n">
        <x:f>IF(AND(N223="Approved",T223="OK"),D223,0)</x:f>
        <x:v>0</x:v>
      </x:c>
      <x:c r="T223" s="42" t="str">
        <x:f>IF(A223="","",IF(COUNTIFS($A$6:$A$505,A223)&lt;&gt;1,"Duplicate ID",IF(OR(NOT(ISNUMBER(B223)),D223&lt;=0,NOT(ISNUMBER(D223)),I223="",J223="",L223=""),"Missing date/amount/ref/details",IF(OR(COUNTIFS('Accounts'!$A$6:$A$105,Q223)&lt;&gt;1,COUNTIFS('Accounts'!$A$6:$A$105,R223)&lt;&gt;1,Q223=R223),"Check accounts/event",IF(AND(OR(Q223="Trade payables",R223="Trade payables",Q223="Customer receivables",R223="Customer receivables",Q223="Courier receivables",R223="Courier receivables",Q223="Supplier advances",R223="Supplier advances"),H223=""),"Contact ID required",IF(AND(N223="Approved",OR(M223="",M223=L223)),"Independent review needed",IF(OR(N223="Draft",N223="Approved",N223="Void"),"OK","Status required")))))))</x:f>
      </x:c>
    </x:row>
    <x:row r="224" ht="23" customHeight="1">
      <x:c r="A224" s="36"/>
      <x:c r="B224" s="40"/>
      <x:c r="C224" s="36"/>
      <x:c r="D224" s="41"/>
      <x:c r="E224" s="36"/>
      <x:c r="F224" s="36"/>
      <x:c r="G224" s="36"/>
      <x:c r="H224" s="36"/>
      <x:c r="I224" s="36"/>
      <x:c r="J224" s="36"/>
      <x:c r="K224" s="36"/>
      <x:c r="L224" s="36"/>
      <x:c r="M224" s="36"/>
      <x:c r="N224" s="36"/>
      <x:c r="O224" s="42" t="str">
        <x:f>IF(A224="","",IF(COUNTIFS('Event Guide'!$A$6:$A$29,C224)=1,VLOOKUP(C224,'Event Guide'!$A$6:$C$29,2,FALSE),"Unknown event"))</x:f>
      </x:c>
      <x:c r="P224" s="42" t="str">
        <x:f>IF(A224="","",IF(COUNTIFS('Event Guide'!$A$6:$A$29,C224)=1,VLOOKUP(C224,'Event Guide'!$A$6:$C$29,3,FALSE),"Unknown event"))</x:f>
      </x:c>
      <x:c r="Q224" s="42" t="str">
        <x:f>IF(A224="","",IF(O224="PAY",E224,IF(O224="OTHER",F224,IF(O224="CAPITAL","Capital - "&amp;G224,IF(O224="DUE","Due to - "&amp;G224,IF(O224="DRAW","Drawings - "&amp;G224,O224))))))</x:f>
      </x:c>
      <x:c r="R224" s="42" t="str">
        <x:f>IF(A224="","",IF(P224="PAY",E224,IF(P224="OTHER",F224,IF(P224="CAPITAL","Capital - "&amp;G224,IF(P224="DUE","Due to - "&amp;G224,IF(P224="DRAW","Drawings - "&amp;G224,P224))))))</x:f>
      </x:c>
      <x:c r="S224" s="37" t="n">
        <x:f>IF(AND(N224="Approved",T224="OK"),D224,0)</x:f>
        <x:v>0</x:v>
      </x:c>
      <x:c r="T224" s="42" t="str">
        <x:f>IF(A224="","",IF(COUNTIFS($A$6:$A$505,A224)&lt;&gt;1,"Duplicate ID",IF(OR(NOT(ISNUMBER(B224)),D224&lt;=0,NOT(ISNUMBER(D224)),I224="",J224="",L224=""),"Missing date/amount/ref/details",IF(OR(COUNTIFS('Accounts'!$A$6:$A$105,Q224)&lt;&gt;1,COUNTIFS('Accounts'!$A$6:$A$105,R224)&lt;&gt;1,Q224=R224),"Check accounts/event",IF(AND(OR(Q224="Trade payables",R224="Trade payables",Q224="Customer receivables",R224="Customer receivables",Q224="Courier receivables",R224="Courier receivables",Q224="Supplier advances",R224="Supplier advances"),H224=""),"Contact ID required",IF(AND(N224="Approved",OR(M224="",M224=L224)),"Independent review needed",IF(OR(N224="Draft",N224="Approved",N224="Void"),"OK","Status required")))))))</x:f>
      </x:c>
    </x:row>
    <x:row r="225" ht="23" customHeight="1">
      <x:c r="A225" s="36"/>
      <x:c r="B225" s="40"/>
      <x:c r="C225" s="36"/>
      <x:c r="D225" s="41"/>
      <x:c r="E225" s="36"/>
      <x:c r="F225" s="36"/>
      <x:c r="G225" s="36"/>
      <x:c r="H225" s="36"/>
      <x:c r="I225" s="36"/>
      <x:c r="J225" s="36"/>
      <x:c r="K225" s="36"/>
      <x:c r="L225" s="36"/>
      <x:c r="M225" s="36"/>
      <x:c r="N225" s="36"/>
      <x:c r="O225" s="42" t="str">
        <x:f>IF(A225="","",IF(COUNTIFS('Event Guide'!$A$6:$A$29,C225)=1,VLOOKUP(C225,'Event Guide'!$A$6:$C$29,2,FALSE),"Unknown event"))</x:f>
      </x:c>
      <x:c r="P225" s="42" t="str">
        <x:f>IF(A225="","",IF(COUNTIFS('Event Guide'!$A$6:$A$29,C225)=1,VLOOKUP(C225,'Event Guide'!$A$6:$C$29,3,FALSE),"Unknown event"))</x:f>
      </x:c>
      <x:c r="Q225" s="42" t="str">
        <x:f>IF(A225="","",IF(O225="PAY",E225,IF(O225="OTHER",F225,IF(O225="CAPITAL","Capital - "&amp;G225,IF(O225="DUE","Due to - "&amp;G225,IF(O225="DRAW","Drawings - "&amp;G225,O225))))))</x:f>
      </x:c>
      <x:c r="R225" s="42" t="str">
        <x:f>IF(A225="","",IF(P225="PAY",E225,IF(P225="OTHER",F225,IF(P225="CAPITAL","Capital - "&amp;G225,IF(P225="DUE","Due to - "&amp;G225,IF(P225="DRAW","Drawings - "&amp;G225,P225))))))</x:f>
      </x:c>
      <x:c r="S225" s="37" t="n">
        <x:f>IF(AND(N225="Approved",T225="OK"),D225,0)</x:f>
        <x:v>0</x:v>
      </x:c>
      <x:c r="T225" s="42" t="str">
        <x:f>IF(A225="","",IF(COUNTIFS($A$6:$A$505,A225)&lt;&gt;1,"Duplicate ID",IF(OR(NOT(ISNUMBER(B225)),D225&lt;=0,NOT(ISNUMBER(D225)),I225="",J225="",L225=""),"Missing date/amount/ref/details",IF(OR(COUNTIFS('Accounts'!$A$6:$A$105,Q225)&lt;&gt;1,COUNTIFS('Accounts'!$A$6:$A$105,R225)&lt;&gt;1,Q225=R225),"Check accounts/event",IF(AND(OR(Q225="Trade payables",R225="Trade payables",Q225="Customer receivables",R225="Customer receivables",Q225="Courier receivables",R225="Courier receivables",Q225="Supplier advances",R225="Supplier advances"),H225=""),"Contact ID required",IF(AND(N225="Approved",OR(M225="",M225=L225)),"Independent review needed",IF(OR(N225="Draft",N225="Approved",N225="Void"),"OK","Status required")))))))</x:f>
      </x:c>
    </x:row>
    <x:row r="226" ht="23" customHeight="1">
      <x:c r="A226" s="36"/>
      <x:c r="B226" s="40"/>
      <x:c r="C226" s="36"/>
      <x:c r="D226" s="41"/>
      <x:c r="E226" s="36"/>
      <x:c r="F226" s="36"/>
      <x:c r="G226" s="36"/>
      <x:c r="H226" s="36"/>
      <x:c r="I226" s="36"/>
      <x:c r="J226" s="36"/>
      <x:c r="K226" s="36"/>
      <x:c r="L226" s="36"/>
      <x:c r="M226" s="36"/>
      <x:c r="N226" s="36"/>
      <x:c r="O226" s="42" t="str">
        <x:f>IF(A226="","",IF(COUNTIFS('Event Guide'!$A$6:$A$29,C226)=1,VLOOKUP(C226,'Event Guide'!$A$6:$C$29,2,FALSE),"Unknown event"))</x:f>
      </x:c>
      <x:c r="P226" s="42" t="str">
        <x:f>IF(A226="","",IF(COUNTIFS('Event Guide'!$A$6:$A$29,C226)=1,VLOOKUP(C226,'Event Guide'!$A$6:$C$29,3,FALSE),"Unknown event"))</x:f>
      </x:c>
      <x:c r="Q226" s="42" t="str">
        <x:f>IF(A226="","",IF(O226="PAY",E226,IF(O226="OTHER",F226,IF(O226="CAPITAL","Capital - "&amp;G226,IF(O226="DUE","Due to - "&amp;G226,IF(O226="DRAW","Drawings - "&amp;G226,O226))))))</x:f>
      </x:c>
      <x:c r="R226" s="42" t="str">
        <x:f>IF(A226="","",IF(P226="PAY",E226,IF(P226="OTHER",F226,IF(P226="CAPITAL","Capital - "&amp;G226,IF(P226="DUE","Due to - "&amp;G226,IF(P226="DRAW","Drawings - "&amp;G226,P226))))))</x:f>
      </x:c>
      <x:c r="S226" s="37" t="n">
        <x:f>IF(AND(N226="Approved",T226="OK"),D226,0)</x:f>
        <x:v>0</x:v>
      </x:c>
      <x:c r="T226" s="42" t="str">
        <x:f>IF(A226="","",IF(COUNTIFS($A$6:$A$505,A226)&lt;&gt;1,"Duplicate ID",IF(OR(NOT(ISNUMBER(B226)),D226&lt;=0,NOT(ISNUMBER(D226)),I226="",J226="",L226=""),"Missing date/amount/ref/details",IF(OR(COUNTIFS('Accounts'!$A$6:$A$105,Q226)&lt;&gt;1,COUNTIFS('Accounts'!$A$6:$A$105,R226)&lt;&gt;1,Q226=R226),"Check accounts/event",IF(AND(OR(Q226="Trade payables",R226="Trade payables",Q226="Customer receivables",R226="Customer receivables",Q226="Courier receivables",R226="Courier receivables",Q226="Supplier advances",R226="Supplier advances"),H226=""),"Contact ID required",IF(AND(N226="Approved",OR(M226="",M226=L226)),"Independent review needed",IF(OR(N226="Draft",N226="Approved",N226="Void"),"OK","Status required")))))))</x:f>
      </x:c>
    </x:row>
    <x:row r="227" ht="23" customHeight="1">
      <x:c r="A227" s="36"/>
      <x:c r="B227" s="40"/>
      <x:c r="C227" s="36"/>
      <x:c r="D227" s="41"/>
      <x:c r="E227" s="36"/>
      <x:c r="F227" s="36"/>
      <x:c r="G227" s="36"/>
      <x:c r="H227" s="36"/>
      <x:c r="I227" s="36"/>
      <x:c r="J227" s="36"/>
      <x:c r="K227" s="36"/>
      <x:c r="L227" s="36"/>
      <x:c r="M227" s="36"/>
      <x:c r="N227" s="36"/>
      <x:c r="O227" s="42" t="str">
        <x:f>IF(A227="","",IF(COUNTIFS('Event Guide'!$A$6:$A$29,C227)=1,VLOOKUP(C227,'Event Guide'!$A$6:$C$29,2,FALSE),"Unknown event"))</x:f>
      </x:c>
      <x:c r="P227" s="42" t="str">
        <x:f>IF(A227="","",IF(COUNTIFS('Event Guide'!$A$6:$A$29,C227)=1,VLOOKUP(C227,'Event Guide'!$A$6:$C$29,3,FALSE),"Unknown event"))</x:f>
      </x:c>
      <x:c r="Q227" s="42" t="str">
        <x:f>IF(A227="","",IF(O227="PAY",E227,IF(O227="OTHER",F227,IF(O227="CAPITAL","Capital - "&amp;G227,IF(O227="DUE","Due to - "&amp;G227,IF(O227="DRAW","Drawings - "&amp;G227,O227))))))</x:f>
      </x:c>
      <x:c r="R227" s="42" t="str">
        <x:f>IF(A227="","",IF(P227="PAY",E227,IF(P227="OTHER",F227,IF(P227="CAPITAL","Capital - "&amp;G227,IF(P227="DUE","Due to - "&amp;G227,IF(P227="DRAW","Drawings - "&amp;G227,P227))))))</x:f>
      </x:c>
      <x:c r="S227" s="37" t="n">
        <x:f>IF(AND(N227="Approved",T227="OK"),D227,0)</x:f>
        <x:v>0</x:v>
      </x:c>
      <x:c r="T227" s="42" t="str">
        <x:f>IF(A227="","",IF(COUNTIFS($A$6:$A$505,A227)&lt;&gt;1,"Duplicate ID",IF(OR(NOT(ISNUMBER(B227)),D227&lt;=0,NOT(ISNUMBER(D227)),I227="",J227="",L227=""),"Missing date/amount/ref/details",IF(OR(COUNTIFS('Accounts'!$A$6:$A$105,Q227)&lt;&gt;1,COUNTIFS('Accounts'!$A$6:$A$105,R227)&lt;&gt;1,Q227=R227),"Check accounts/event",IF(AND(OR(Q227="Trade payables",R227="Trade payables",Q227="Customer receivables",R227="Customer receivables",Q227="Courier receivables",R227="Courier receivables",Q227="Supplier advances",R227="Supplier advances"),H227=""),"Contact ID required",IF(AND(N227="Approved",OR(M227="",M227=L227)),"Independent review needed",IF(OR(N227="Draft",N227="Approved",N227="Void"),"OK","Status required")))))))</x:f>
      </x:c>
    </x:row>
    <x:row r="228" ht="23" customHeight="1">
      <x:c r="A228" s="36"/>
      <x:c r="B228" s="40"/>
      <x:c r="C228" s="36"/>
      <x:c r="D228" s="41"/>
      <x:c r="E228" s="36"/>
      <x:c r="F228" s="36"/>
      <x:c r="G228" s="36"/>
      <x:c r="H228" s="36"/>
      <x:c r="I228" s="36"/>
      <x:c r="J228" s="36"/>
      <x:c r="K228" s="36"/>
      <x:c r="L228" s="36"/>
      <x:c r="M228" s="36"/>
      <x:c r="N228" s="36"/>
      <x:c r="O228" s="42" t="str">
        <x:f>IF(A228="","",IF(COUNTIFS('Event Guide'!$A$6:$A$29,C228)=1,VLOOKUP(C228,'Event Guide'!$A$6:$C$29,2,FALSE),"Unknown event"))</x:f>
      </x:c>
      <x:c r="P228" s="42" t="str">
        <x:f>IF(A228="","",IF(COUNTIFS('Event Guide'!$A$6:$A$29,C228)=1,VLOOKUP(C228,'Event Guide'!$A$6:$C$29,3,FALSE),"Unknown event"))</x:f>
      </x:c>
      <x:c r="Q228" s="42" t="str">
        <x:f>IF(A228="","",IF(O228="PAY",E228,IF(O228="OTHER",F228,IF(O228="CAPITAL","Capital - "&amp;G228,IF(O228="DUE","Due to - "&amp;G228,IF(O228="DRAW","Drawings - "&amp;G228,O228))))))</x:f>
      </x:c>
      <x:c r="R228" s="42" t="str">
        <x:f>IF(A228="","",IF(P228="PAY",E228,IF(P228="OTHER",F228,IF(P228="CAPITAL","Capital - "&amp;G228,IF(P228="DUE","Due to - "&amp;G228,IF(P228="DRAW","Drawings - "&amp;G228,P228))))))</x:f>
      </x:c>
      <x:c r="S228" s="37" t="n">
        <x:f>IF(AND(N228="Approved",T228="OK"),D228,0)</x:f>
        <x:v>0</x:v>
      </x:c>
      <x:c r="T228" s="42" t="str">
        <x:f>IF(A228="","",IF(COUNTIFS($A$6:$A$505,A228)&lt;&gt;1,"Duplicate ID",IF(OR(NOT(ISNUMBER(B228)),D228&lt;=0,NOT(ISNUMBER(D228)),I228="",J228="",L228=""),"Missing date/amount/ref/details",IF(OR(COUNTIFS('Accounts'!$A$6:$A$105,Q228)&lt;&gt;1,COUNTIFS('Accounts'!$A$6:$A$105,R228)&lt;&gt;1,Q228=R228),"Check accounts/event",IF(AND(OR(Q228="Trade payables",R228="Trade payables",Q228="Customer receivables",R228="Customer receivables",Q228="Courier receivables",R228="Courier receivables",Q228="Supplier advances",R228="Supplier advances"),H228=""),"Contact ID required",IF(AND(N228="Approved",OR(M228="",M228=L228)),"Independent review needed",IF(OR(N228="Draft",N228="Approved",N228="Void"),"OK","Status required")))))))</x:f>
      </x:c>
    </x:row>
    <x:row r="229" ht="23" customHeight="1">
      <x:c r="A229" s="36"/>
      <x:c r="B229" s="40"/>
      <x:c r="C229" s="36"/>
      <x:c r="D229" s="41"/>
      <x:c r="E229" s="36"/>
      <x:c r="F229" s="36"/>
      <x:c r="G229" s="36"/>
      <x:c r="H229" s="36"/>
      <x:c r="I229" s="36"/>
      <x:c r="J229" s="36"/>
      <x:c r="K229" s="36"/>
      <x:c r="L229" s="36"/>
      <x:c r="M229" s="36"/>
      <x:c r="N229" s="36"/>
      <x:c r="O229" s="42" t="str">
        <x:f>IF(A229="","",IF(COUNTIFS('Event Guide'!$A$6:$A$29,C229)=1,VLOOKUP(C229,'Event Guide'!$A$6:$C$29,2,FALSE),"Unknown event"))</x:f>
      </x:c>
      <x:c r="P229" s="42" t="str">
        <x:f>IF(A229="","",IF(COUNTIFS('Event Guide'!$A$6:$A$29,C229)=1,VLOOKUP(C229,'Event Guide'!$A$6:$C$29,3,FALSE),"Unknown event"))</x:f>
      </x:c>
      <x:c r="Q229" s="42" t="str">
        <x:f>IF(A229="","",IF(O229="PAY",E229,IF(O229="OTHER",F229,IF(O229="CAPITAL","Capital - "&amp;G229,IF(O229="DUE","Due to - "&amp;G229,IF(O229="DRAW","Drawings - "&amp;G229,O229))))))</x:f>
      </x:c>
      <x:c r="R229" s="42" t="str">
        <x:f>IF(A229="","",IF(P229="PAY",E229,IF(P229="OTHER",F229,IF(P229="CAPITAL","Capital - "&amp;G229,IF(P229="DUE","Due to - "&amp;G229,IF(P229="DRAW","Drawings - "&amp;G229,P229))))))</x:f>
      </x:c>
      <x:c r="S229" s="37" t="n">
        <x:f>IF(AND(N229="Approved",T229="OK"),D229,0)</x:f>
        <x:v>0</x:v>
      </x:c>
      <x:c r="T229" s="42" t="str">
        <x:f>IF(A229="","",IF(COUNTIFS($A$6:$A$505,A229)&lt;&gt;1,"Duplicate ID",IF(OR(NOT(ISNUMBER(B229)),D229&lt;=0,NOT(ISNUMBER(D229)),I229="",J229="",L229=""),"Missing date/amount/ref/details",IF(OR(COUNTIFS('Accounts'!$A$6:$A$105,Q229)&lt;&gt;1,COUNTIFS('Accounts'!$A$6:$A$105,R229)&lt;&gt;1,Q229=R229),"Check accounts/event",IF(AND(OR(Q229="Trade payables",R229="Trade payables",Q229="Customer receivables",R229="Customer receivables",Q229="Courier receivables",R229="Courier receivables",Q229="Supplier advances",R229="Supplier advances"),H229=""),"Contact ID required",IF(AND(N229="Approved",OR(M229="",M229=L229)),"Independent review needed",IF(OR(N229="Draft",N229="Approved",N229="Void"),"OK","Status required")))))))</x:f>
      </x:c>
    </x:row>
    <x:row r="230" ht="23" customHeight="1">
      <x:c r="A230" s="36"/>
      <x:c r="B230" s="40"/>
      <x:c r="C230" s="36"/>
      <x:c r="D230" s="41"/>
      <x:c r="E230" s="36"/>
      <x:c r="F230" s="36"/>
      <x:c r="G230" s="36"/>
      <x:c r="H230" s="36"/>
      <x:c r="I230" s="36"/>
      <x:c r="J230" s="36"/>
      <x:c r="K230" s="36"/>
      <x:c r="L230" s="36"/>
      <x:c r="M230" s="36"/>
      <x:c r="N230" s="36"/>
      <x:c r="O230" s="42" t="str">
        <x:f>IF(A230="","",IF(COUNTIFS('Event Guide'!$A$6:$A$29,C230)=1,VLOOKUP(C230,'Event Guide'!$A$6:$C$29,2,FALSE),"Unknown event"))</x:f>
      </x:c>
      <x:c r="P230" s="42" t="str">
        <x:f>IF(A230="","",IF(COUNTIFS('Event Guide'!$A$6:$A$29,C230)=1,VLOOKUP(C230,'Event Guide'!$A$6:$C$29,3,FALSE),"Unknown event"))</x:f>
      </x:c>
      <x:c r="Q230" s="42" t="str">
        <x:f>IF(A230="","",IF(O230="PAY",E230,IF(O230="OTHER",F230,IF(O230="CAPITAL","Capital - "&amp;G230,IF(O230="DUE","Due to - "&amp;G230,IF(O230="DRAW","Drawings - "&amp;G230,O230))))))</x:f>
      </x:c>
      <x:c r="R230" s="42" t="str">
        <x:f>IF(A230="","",IF(P230="PAY",E230,IF(P230="OTHER",F230,IF(P230="CAPITAL","Capital - "&amp;G230,IF(P230="DUE","Due to - "&amp;G230,IF(P230="DRAW","Drawings - "&amp;G230,P230))))))</x:f>
      </x:c>
      <x:c r="S230" s="37" t="n">
        <x:f>IF(AND(N230="Approved",T230="OK"),D230,0)</x:f>
        <x:v>0</x:v>
      </x:c>
      <x:c r="T230" s="42" t="str">
        <x:f>IF(A230="","",IF(COUNTIFS($A$6:$A$505,A230)&lt;&gt;1,"Duplicate ID",IF(OR(NOT(ISNUMBER(B230)),D230&lt;=0,NOT(ISNUMBER(D230)),I230="",J230="",L230=""),"Missing date/amount/ref/details",IF(OR(COUNTIFS('Accounts'!$A$6:$A$105,Q230)&lt;&gt;1,COUNTIFS('Accounts'!$A$6:$A$105,R230)&lt;&gt;1,Q230=R230),"Check accounts/event",IF(AND(OR(Q230="Trade payables",R230="Trade payables",Q230="Customer receivables",R230="Customer receivables",Q230="Courier receivables",R230="Courier receivables",Q230="Supplier advances",R230="Supplier advances"),H230=""),"Contact ID required",IF(AND(N230="Approved",OR(M230="",M230=L230)),"Independent review needed",IF(OR(N230="Draft",N230="Approved",N230="Void"),"OK","Status required")))))))</x:f>
      </x:c>
    </x:row>
    <x:row r="231" ht="23" customHeight="1">
      <x:c r="A231" s="36"/>
      <x:c r="B231" s="40"/>
      <x:c r="C231" s="36"/>
      <x:c r="D231" s="41"/>
      <x:c r="E231" s="36"/>
      <x:c r="F231" s="36"/>
      <x:c r="G231" s="36"/>
      <x:c r="H231" s="36"/>
      <x:c r="I231" s="36"/>
      <x:c r="J231" s="36"/>
      <x:c r="K231" s="36"/>
      <x:c r="L231" s="36"/>
      <x:c r="M231" s="36"/>
      <x:c r="N231" s="36"/>
      <x:c r="O231" s="42" t="str">
        <x:f>IF(A231="","",IF(COUNTIFS('Event Guide'!$A$6:$A$29,C231)=1,VLOOKUP(C231,'Event Guide'!$A$6:$C$29,2,FALSE),"Unknown event"))</x:f>
      </x:c>
      <x:c r="P231" s="42" t="str">
        <x:f>IF(A231="","",IF(COUNTIFS('Event Guide'!$A$6:$A$29,C231)=1,VLOOKUP(C231,'Event Guide'!$A$6:$C$29,3,FALSE),"Unknown event"))</x:f>
      </x:c>
      <x:c r="Q231" s="42" t="str">
        <x:f>IF(A231="","",IF(O231="PAY",E231,IF(O231="OTHER",F231,IF(O231="CAPITAL","Capital - "&amp;G231,IF(O231="DUE","Due to - "&amp;G231,IF(O231="DRAW","Drawings - "&amp;G231,O231))))))</x:f>
      </x:c>
      <x:c r="R231" s="42" t="str">
        <x:f>IF(A231="","",IF(P231="PAY",E231,IF(P231="OTHER",F231,IF(P231="CAPITAL","Capital - "&amp;G231,IF(P231="DUE","Due to - "&amp;G231,IF(P231="DRAW","Drawings - "&amp;G231,P231))))))</x:f>
      </x:c>
      <x:c r="S231" s="37" t="n">
        <x:f>IF(AND(N231="Approved",T231="OK"),D231,0)</x:f>
        <x:v>0</x:v>
      </x:c>
      <x:c r="T231" s="42" t="str">
        <x:f>IF(A231="","",IF(COUNTIFS($A$6:$A$505,A231)&lt;&gt;1,"Duplicate ID",IF(OR(NOT(ISNUMBER(B231)),D231&lt;=0,NOT(ISNUMBER(D231)),I231="",J231="",L231=""),"Missing date/amount/ref/details",IF(OR(COUNTIFS('Accounts'!$A$6:$A$105,Q231)&lt;&gt;1,COUNTIFS('Accounts'!$A$6:$A$105,R231)&lt;&gt;1,Q231=R231),"Check accounts/event",IF(AND(OR(Q231="Trade payables",R231="Trade payables",Q231="Customer receivables",R231="Customer receivables",Q231="Courier receivables",R231="Courier receivables",Q231="Supplier advances",R231="Supplier advances"),H231=""),"Contact ID required",IF(AND(N231="Approved",OR(M231="",M231=L231)),"Independent review needed",IF(OR(N231="Draft",N231="Approved",N231="Void"),"OK","Status required")))))))</x:f>
      </x:c>
    </x:row>
    <x:row r="232" ht="23" customHeight="1">
      <x:c r="A232" s="36"/>
      <x:c r="B232" s="40"/>
      <x:c r="C232" s="36"/>
      <x:c r="D232" s="41"/>
      <x:c r="E232" s="36"/>
      <x:c r="F232" s="36"/>
      <x:c r="G232" s="36"/>
      <x:c r="H232" s="36"/>
      <x:c r="I232" s="36"/>
      <x:c r="J232" s="36"/>
      <x:c r="K232" s="36"/>
      <x:c r="L232" s="36"/>
      <x:c r="M232" s="36"/>
      <x:c r="N232" s="36"/>
      <x:c r="O232" s="42" t="str">
        <x:f>IF(A232="","",IF(COUNTIFS('Event Guide'!$A$6:$A$29,C232)=1,VLOOKUP(C232,'Event Guide'!$A$6:$C$29,2,FALSE),"Unknown event"))</x:f>
      </x:c>
      <x:c r="P232" s="42" t="str">
        <x:f>IF(A232="","",IF(COUNTIFS('Event Guide'!$A$6:$A$29,C232)=1,VLOOKUP(C232,'Event Guide'!$A$6:$C$29,3,FALSE),"Unknown event"))</x:f>
      </x:c>
      <x:c r="Q232" s="42" t="str">
        <x:f>IF(A232="","",IF(O232="PAY",E232,IF(O232="OTHER",F232,IF(O232="CAPITAL","Capital - "&amp;G232,IF(O232="DUE","Due to - "&amp;G232,IF(O232="DRAW","Drawings - "&amp;G232,O232))))))</x:f>
      </x:c>
      <x:c r="R232" s="42" t="str">
        <x:f>IF(A232="","",IF(P232="PAY",E232,IF(P232="OTHER",F232,IF(P232="CAPITAL","Capital - "&amp;G232,IF(P232="DUE","Due to - "&amp;G232,IF(P232="DRAW","Drawings - "&amp;G232,P232))))))</x:f>
      </x:c>
      <x:c r="S232" s="37" t="n">
        <x:f>IF(AND(N232="Approved",T232="OK"),D232,0)</x:f>
        <x:v>0</x:v>
      </x:c>
      <x:c r="T232" s="42" t="str">
        <x:f>IF(A232="","",IF(COUNTIFS($A$6:$A$505,A232)&lt;&gt;1,"Duplicate ID",IF(OR(NOT(ISNUMBER(B232)),D232&lt;=0,NOT(ISNUMBER(D232)),I232="",J232="",L232=""),"Missing date/amount/ref/details",IF(OR(COUNTIFS('Accounts'!$A$6:$A$105,Q232)&lt;&gt;1,COUNTIFS('Accounts'!$A$6:$A$105,R232)&lt;&gt;1,Q232=R232),"Check accounts/event",IF(AND(OR(Q232="Trade payables",R232="Trade payables",Q232="Customer receivables",R232="Customer receivables",Q232="Courier receivables",R232="Courier receivables",Q232="Supplier advances",R232="Supplier advances"),H232=""),"Contact ID required",IF(AND(N232="Approved",OR(M232="",M232=L232)),"Independent review needed",IF(OR(N232="Draft",N232="Approved",N232="Void"),"OK","Status required")))))))</x:f>
      </x:c>
    </x:row>
    <x:row r="233" ht="23" customHeight="1">
      <x:c r="A233" s="36"/>
      <x:c r="B233" s="40"/>
      <x:c r="C233" s="36"/>
      <x:c r="D233" s="41"/>
      <x:c r="E233" s="36"/>
      <x:c r="F233" s="36"/>
      <x:c r="G233" s="36"/>
      <x:c r="H233" s="36"/>
      <x:c r="I233" s="36"/>
      <x:c r="J233" s="36"/>
      <x:c r="K233" s="36"/>
      <x:c r="L233" s="36"/>
      <x:c r="M233" s="36"/>
      <x:c r="N233" s="36"/>
      <x:c r="O233" s="42" t="str">
        <x:f>IF(A233="","",IF(COUNTIFS('Event Guide'!$A$6:$A$29,C233)=1,VLOOKUP(C233,'Event Guide'!$A$6:$C$29,2,FALSE),"Unknown event"))</x:f>
      </x:c>
      <x:c r="P233" s="42" t="str">
        <x:f>IF(A233="","",IF(COUNTIFS('Event Guide'!$A$6:$A$29,C233)=1,VLOOKUP(C233,'Event Guide'!$A$6:$C$29,3,FALSE),"Unknown event"))</x:f>
      </x:c>
      <x:c r="Q233" s="42" t="str">
        <x:f>IF(A233="","",IF(O233="PAY",E233,IF(O233="OTHER",F233,IF(O233="CAPITAL","Capital - "&amp;G233,IF(O233="DUE","Due to - "&amp;G233,IF(O233="DRAW","Drawings - "&amp;G233,O233))))))</x:f>
      </x:c>
      <x:c r="R233" s="42" t="str">
        <x:f>IF(A233="","",IF(P233="PAY",E233,IF(P233="OTHER",F233,IF(P233="CAPITAL","Capital - "&amp;G233,IF(P233="DUE","Due to - "&amp;G233,IF(P233="DRAW","Drawings - "&amp;G233,P233))))))</x:f>
      </x:c>
      <x:c r="S233" s="37" t="n">
        <x:f>IF(AND(N233="Approved",T233="OK"),D233,0)</x:f>
        <x:v>0</x:v>
      </x:c>
      <x:c r="T233" s="42" t="str">
        <x:f>IF(A233="","",IF(COUNTIFS($A$6:$A$505,A233)&lt;&gt;1,"Duplicate ID",IF(OR(NOT(ISNUMBER(B233)),D233&lt;=0,NOT(ISNUMBER(D233)),I233="",J233="",L233=""),"Missing date/amount/ref/details",IF(OR(COUNTIFS('Accounts'!$A$6:$A$105,Q233)&lt;&gt;1,COUNTIFS('Accounts'!$A$6:$A$105,R233)&lt;&gt;1,Q233=R233),"Check accounts/event",IF(AND(OR(Q233="Trade payables",R233="Trade payables",Q233="Customer receivables",R233="Customer receivables",Q233="Courier receivables",R233="Courier receivables",Q233="Supplier advances",R233="Supplier advances"),H233=""),"Contact ID required",IF(AND(N233="Approved",OR(M233="",M233=L233)),"Independent review needed",IF(OR(N233="Draft",N233="Approved",N233="Void"),"OK","Status required")))))))</x:f>
      </x:c>
    </x:row>
    <x:row r="234" ht="23" customHeight="1">
      <x:c r="A234" s="36"/>
      <x:c r="B234" s="40"/>
      <x:c r="C234" s="36"/>
      <x:c r="D234" s="41"/>
      <x:c r="E234" s="36"/>
      <x:c r="F234" s="36"/>
      <x:c r="G234" s="36"/>
      <x:c r="H234" s="36"/>
      <x:c r="I234" s="36"/>
      <x:c r="J234" s="36"/>
      <x:c r="K234" s="36"/>
      <x:c r="L234" s="36"/>
      <x:c r="M234" s="36"/>
      <x:c r="N234" s="36"/>
      <x:c r="O234" s="42" t="str">
        <x:f>IF(A234="","",IF(COUNTIFS('Event Guide'!$A$6:$A$29,C234)=1,VLOOKUP(C234,'Event Guide'!$A$6:$C$29,2,FALSE),"Unknown event"))</x:f>
      </x:c>
      <x:c r="P234" s="42" t="str">
        <x:f>IF(A234="","",IF(COUNTIFS('Event Guide'!$A$6:$A$29,C234)=1,VLOOKUP(C234,'Event Guide'!$A$6:$C$29,3,FALSE),"Unknown event"))</x:f>
      </x:c>
      <x:c r="Q234" s="42" t="str">
        <x:f>IF(A234="","",IF(O234="PAY",E234,IF(O234="OTHER",F234,IF(O234="CAPITAL","Capital - "&amp;G234,IF(O234="DUE","Due to - "&amp;G234,IF(O234="DRAW","Drawings - "&amp;G234,O234))))))</x:f>
      </x:c>
      <x:c r="R234" s="42" t="str">
        <x:f>IF(A234="","",IF(P234="PAY",E234,IF(P234="OTHER",F234,IF(P234="CAPITAL","Capital - "&amp;G234,IF(P234="DUE","Due to - "&amp;G234,IF(P234="DRAW","Drawings - "&amp;G234,P234))))))</x:f>
      </x:c>
      <x:c r="S234" s="37" t="n">
        <x:f>IF(AND(N234="Approved",T234="OK"),D234,0)</x:f>
        <x:v>0</x:v>
      </x:c>
      <x:c r="T234" s="42" t="str">
        <x:f>IF(A234="","",IF(COUNTIFS($A$6:$A$505,A234)&lt;&gt;1,"Duplicate ID",IF(OR(NOT(ISNUMBER(B234)),D234&lt;=0,NOT(ISNUMBER(D234)),I234="",J234="",L234=""),"Missing date/amount/ref/details",IF(OR(COUNTIFS('Accounts'!$A$6:$A$105,Q234)&lt;&gt;1,COUNTIFS('Accounts'!$A$6:$A$105,R234)&lt;&gt;1,Q234=R234),"Check accounts/event",IF(AND(OR(Q234="Trade payables",R234="Trade payables",Q234="Customer receivables",R234="Customer receivables",Q234="Courier receivables",R234="Courier receivables",Q234="Supplier advances",R234="Supplier advances"),H234=""),"Contact ID required",IF(AND(N234="Approved",OR(M234="",M234=L234)),"Independent review needed",IF(OR(N234="Draft",N234="Approved",N234="Void"),"OK","Status required")))))))</x:f>
      </x:c>
    </x:row>
    <x:row r="235" ht="23" customHeight="1">
      <x:c r="A235" s="36"/>
      <x:c r="B235" s="40"/>
      <x:c r="C235" s="36"/>
      <x:c r="D235" s="41"/>
      <x:c r="E235" s="36"/>
      <x:c r="F235" s="36"/>
      <x:c r="G235" s="36"/>
      <x:c r="H235" s="36"/>
      <x:c r="I235" s="36"/>
      <x:c r="J235" s="36"/>
      <x:c r="K235" s="36"/>
      <x:c r="L235" s="36"/>
      <x:c r="M235" s="36"/>
      <x:c r="N235" s="36"/>
      <x:c r="O235" s="42" t="str">
        <x:f>IF(A235="","",IF(COUNTIFS('Event Guide'!$A$6:$A$29,C235)=1,VLOOKUP(C235,'Event Guide'!$A$6:$C$29,2,FALSE),"Unknown event"))</x:f>
      </x:c>
      <x:c r="P235" s="42" t="str">
        <x:f>IF(A235="","",IF(COUNTIFS('Event Guide'!$A$6:$A$29,C235)=1,VLOOKUP(C235,'Event Guide'!$A$6:$C$29,3,FALSE),"Unknown event"))</x:f>
      </x:c>
      <x:c r="Q235" s="42" t="str">
        <x:f>IF(A235="","",IF(O235="PAY",E235,IF(O235="OTHER",F235,IF(O235="CAPITAL","Capital - "&amp;G235,IF(O235="DUE","Due to - "&amp;G235,IF(O235="DRAW","Drawings - "&amp;G235,O235))))))</x:f>
      </x:c>
      <x:c r="R235" s="42" t="str">
        <x:f>IF(A235="","",IF(P235="PAY",E235,IF(P235="OTHER",F235,IF(P235="CAPITAL","Capital - "&amp;G235,IF(P235="DUE","Due to - "&amp;G235,IF(P235="DRAW","Drawings - "&amp;G235,P235))))))</x:f>
      </x:c>
      <x:c r="S235" s="37" t="n">
        <x:f>IF(AND(N235="Approved",T235="OK"),D235,0)</x:f>
        <x:v>0</x:v>
      </x:c>
      <x:c r="T235" s="42" t="str">
        <x:f>IF(A235="","",IF(COUNTIFS($A$6:$A$505,A235)&lt;&gt;1,"Duplicate ID",IF(OR(NOT(ISNUMBER(B235)),D235&lt;=0,NOT(ISNUMBER(D235)),I235="",J235="",L235=""),"Missing date/amount/ref/details",IF(OR(COUNTIFS('Accounts'!$A$6:$A$105,Q235)&lt;&gt;1,COUNTIFS('Accounts'!$A$6:$A$105,R235)&lt;&gt;1,Q235=R235),"Check accounts/event",IF(AND(OR(Q235="Trade payables",R235="Trade payables",Q235="Customer receivables",R235="Customer receivables",Q235="Courier receivables",R235="Courier receivables",Q235="Supplier advances",R235="Supplier advances"),H235=""),"Contact ID required",IF(AND(N235="Approved",OR(M235="",M235=L235)),"Independent review needed",IF(OR(N235="Draft",N235="Approved",N235="Void"),"OK","Status required")))))))</x:f>
      </x:c>
    </x:row>
    <x:row r="236" ht="23" customHeight="1">
      <x:c r="A236" s="36"/>
      <x:c r="B236" s="40"/>
      <x:c r="C236" s="36"/>
      <x:c r="D236" s="41"/>
      <x:c r="E236" s="36"/>
      <x:c r="F236" s="36"/>
      <x:c r="G236" s="36"/>
      <x:c r="H236" s="36"/>
      <x:c r="I236" s="36"/>
      <x:c r="J236" s="36"/>
      <x:c r="K236" s="36"/>
      <x:c r="L236" s="36"/>
      <x:c r="M236" s="36"/>
      <x:c r="N236" s="36"/>
      <x:c r="O236" s="42" t="str">
        <x:f>IF(A236="","",IF(COUNTIFS('Event Guide'!$A$6:$A$29,C236)=1,VLOOKUP(C236,'Event Guide'!$A$6:$C$29,2,FALSE),"Unknown event"))</x:f>
      </x:c>
      <x:c r="P236" s="42" t="str">
        <x:f>IF(A236="","",IF(COUNTIFS('Event Guide'!$A$6:$A$29,C236)=1,VLOOKUP(C236,'Event Guide'!$A$6:$C$29,3,FALSE),"Unknown event"))</x:f>
      </x:c>
      <x:c r="Q236" s="42" t="str">
        <x:f>IF(A236="","",IF(O236="PAY",E236,IF(O236="OTHER",F236,IF(O236="CAPITAL","Capital - "&amp;G236,IF(O236="DUE","Due to - "&amp;G236,IF(O236="DRAW","Drawings - "&amp;G236,O236))))))</x:f>
      </x:c>
      <x:c r="R236" s="42" t="str">
        <x:f>IF(A236="","",IF(P236="PAY",E236,IF(P236="OTHER",F236,IF(P236="CAPITAL","Capital - "&amp;G236,IF(P236="DUE","Due to - "&amp;G236,IF(P236="DRAW","Drawings - "&amp;G236,P236))))))</x:f>
      </x:c>
      <x:c r="S236" s="37" t="n">
        <x:f>IF(AND(N236="Approved",T236="OK"),D236,0)</x:f>
        <x:v>0</x:v>
      </x:c>
      <x:c r="T236" s="42" t="str">
        <x:f>IF(A236="","",IF(COUNTIFS($A$6:$A$505,A236)&lt;&gt;1,"Duplicate ID",IF(OR(NOT(ISNUMBER(B236)),D236&lt;=0,NOT(ISNUMBER(D236)),I236="",J236="",L236=""),"Missing date/amount/ref/details",IF(OR(COUNTIFS('Accounts'!$A$6:$A$105,Q236)&lt;&gt;1,COUNTIFS('Accounts'!$A$6:$A$105,R236)&lt;&gt;1,Q236=R236),"Check accounts/event",IF(AND(OR(Q236="Trade payables",R236="Trade payables",Q236="Customer receivables",R236="Customer receivables",Q236="Courier receivables",R236="Courier receivables",Q236="Supplier advances",R236="Supplier advances"),H236=""),"Contact ID required",IF(AND(N236="Approved",OR(M236="",M236=L236)),"Independent review needed",IF(OR(N236="Draft",N236="Approved",N236="Void"),"OK","Status required")))))))</x:f>
      </x:c>
    </x:row>
    <x:row r="237" ht="23" customHeight="1">
      <x:c r="A237" s="36"/>
      <x:c r="B237" s="40"/>
      <x:c r="C237" s="36"/>
      <x:c r="D237" s="41"/>
      <x:c r="E237" s="36"/>
      <x:c r="F237" s="36"/>
      <x:c r="G237" s="36"/>
      <x:c r="H237" s="36"/>
      <x:c r="I237" s="36"/>
      <x:c r="J237" s="36"/>
      <x:c r="K237" s="36"/>
      <x:c r="L237" s="36"/>
      <x:c r="M237" s="36"/>
      <x:c r="N237" s="36"/>
      <x:c r="O237" s="42" t="str">
        <x:f>IF(A237="","",IF(COUNTIFS('Event Guide'!$A$6:$A$29,C237)=1,VLOOKUP(C237,'Event Guide'!$A$6:$C$29,2,FALSE),"Unknown event"))</x:f>
      </x:c>
      <x:c r="P237" s="42" t="str">
        <x:f>IF(A237="","",IF(COUNTIFS('Event Guide'!$A$6:$A$29,C237)=1,VLOOKUP(C237,'Event Guide'!$A$6:$C$29,3,FALSE),"Unknown event"))</x:f>
      </x:c>
      <x:c r="Q237" s="42" t="str">
        <x:f>IF(A237="","",IF(O237="PAY",E237,IF(O237="OTHER",F237,IF(O237="CAPITAL","Capital - "&amp;G237,IF(O237="DUE","Due to - "&amp;G237,IF(O237="DRAW","Drawings - "&amp;G237,O237))))))</x:f>
      </x:c>
      <x:c r="R237" s="42" t="str">
        <x:f>IF(A237="","",IF(P237="PAY",E237,IF(P237="OTHER",F237,IF(P237="CAPITAL","Capital - "&amp;G237,IF(P237="DUE","Due to - "&amp;G237,IF(P237="DRAW","Drawings - "&amp;G237,P237))))))</x:f>
      </x:c>
      <x:c r="S237" s="37" t="n">
        <x:f>IF(AND(N237="Approved",T237="OK"),D237,0)</x:f>
        <x:v>0</x:v>
      </x:c>
      <x:c r="T237" s="42" t="str">
        <x:f>IF(A237="","",IF(COUNTIFS($A$6:$A$505,A237)&lt;&gt;1,"Duplicate ID",IF(OR(NOT(ISNUMBER(B237)),D237&lt;=0,NOT(ISNUMBER(D237)),I237="",J237="",L237=""),"Missing date/amount/ref/details",IF(OR(COUNTIFS('Accounts'!$A$6:$A$105,Q237)&lt;&gt;1,COUNTIFS('Accounts'!$A$6:$A$105,R237)&lt;&gt;1,Q237=R237),"Check accounts/event",IF(AND(OR(Q237="Trade payables",R237="Trade payables",Q237="Customer receivables",R237="Customer receivables",Q237="Courier receivables",R237="Courier receivables",Q237="Supplier advances",R237="Supplier advances"),H237=""),"Contact ID required",IF(AND(N237="Approved",OR(M237="",M237=L237)),"Independent review needed",IF(OR(N237="Draft",N237="Approved",N237="Void"),"OK","Status required")))))))</x:f>
      </x:c>
    </x:row>
    <x:row r="238" ht="23" customHeight="1">
      <x:c r="A238" s="36"/>
      <x:c r="B238" s="40"/>
      <x:c r="C238" s="36"/>
      <x:c r="D238" s="41"/>
      <x:c r="E238" s="36"/>
      <x:c r="F238" s="36"/>
      <x:c r="G238" s="36"/>
      <x:c r="H238" s="36"/>
      <x:c r="I238" s="36"/>
      <x:c r="J238" s="36"/>
      <x:c r="K238" s="36"/>
      <x:c r="L238" s="36"/>
      <x:c r="M238" s="36"/>
      <x:c r="N238" s="36"/>
      <x:c r="O238" s="42" t="str">
        <x:f>IF(A238="","",IF(COUNTIFS('Event Guide'!$A$6:$A$29,C238)=1,VLOOKUP(C238,'Event Guide'!$A$6:$C$29,2,FALSE),"Unknown event"))</x:f>
      </x:c>
      <x:c r="P238" s="42" t="str">
        <x:f>IF(A238="","",IF(COUNTIFS('Event Guide'!$A$6:$A$29,C238)=1,VLOOKUP(C238,'Event Guide'!$A$6:$C$29,3,FALSE),"Unknown event"))</x:f>
      </x:c>
      <x:c r="Q238" s="42" t="str">
        <x:f>IF(A238="","",IF(O238="PAY",E238,IF(O238="OTHER",F238,IF(O238="CAPITAL","Capital - "&amp;G238,IF(O238="DUE","Due to - "&amp;G238,IF(O238="DRAW","Drawings - "&amp;G238,O238))))))</x:f>
      </x:c>
      <x:c r="R238" s="42" t="str">
        <x:f>IF(A238="","",IF(P238="PAY",E238,IF(P238="OTHER",F238,IF(P238="CAPITAL","Capital - "&amp;G238,IF(P238="DUE","Due to - "&amp;G238,IF(P238="DRAW","Drawings - "&amp;G238,P238))))))</x:f>
      </x:c>
      <x:c r="S238" s="37" t="n">
        <x:f>IF(AND(N238="Approved",T238="OK"),D238,0)</x:f>
        <x:v>0</x:v>
      </x:c>
      <x:c r="T238" s="42" t="str">
        <x:f>IF(A238="","",IF(COUNTIFS($A$6:$A$505,A238)&lt;&gt;1,"Duplicate ID",IF(OR(NOT(ISNUMBER(B238)),D238&lt;=0,NOT(ISNUMBER(D238)),I238="",J238="",L238=""),"Missing date/amount/ref/details",IF(OR(COUNTIFS('Accounts'!$A$6:$A$105,Q238)&lt;&gt;1,COUNTIFS('Accounts'!$A$6:$A$105,R238)&lt;&gt;1,Q238=R238),"Check accounts/event",IF(AND(OR(Q238="Trade payables",R238="Trade payables",Q238="Customer receivables",R238="Customer receivables",Q238="Courier receivables",R238="Courier receivables",Q238="Supplier advances",R238="Supplier advances"),H238=""),"Contact ID required",IF(AND(N238="Approved",OR(M238="",M238=L238)),"Independent review needed",IF(OR(N238="Draft",N238="Approved",N238="Void"),"OK","Status required")))))))</x:f>
      </x:c>
    </x:row>
    <x:row r="239" ht="23" customHeight="1">
      <x:c r="A239" s="36"/>
      <x:c r="B239" s="40"/>
      <x:c r="C239" s="36"/>
      <x:c r="D239" s="41"/>
      <x:c r="E239" s="36"/>
      <x:c r="F239" s="36"/>
      <x:c r="G239" s="36"/>
      <x:c r="H239" s="36"/>
      <x:c r="I239" s="36"/>
      <x:c r="J239" s="36"/>
      <x:c r="K239" s="36"/>
      <x:c r="L239" s="36"/>
      <x:c r="M239" s="36"/>
      <x:c r="N239" s="36"/>
      <x:c r="O239" s="42" t="str">
        <x:f>IF(A239="","",IF(COUNTIFS('Event Guide'!$A$6:$A$29,C239)=1,VLOOKUP(C239,'Event Guide'!$A$6:$C$29,2,FALSE),"Unknown event"))</x:f>
      </x:c>
      <x:c r="P239" s="42" t="str">
        <x:f>IF(A239="","",IF(COUNTIFS('Event Guide'!$A$6:$A$29,C239)=1,VLOOKUP(C239,'Event Guide'!$A$6:$C$29,3,FALSE),"Unknown event"))</x:f>
      </x:c>
      <x:c r="Q239" s="42" t="str">
        <x:f>IF(A239="","",IF(O239="PAY",E239,IF(O239="OTHER",F239,IF(O239="CAPITAL","Capital - "&amp;G239,IF(O239="DUE","Due to - "&amp;G239,IF(O239="DRAW","Drawings - "&amp;G239,O239))))))</x:f>
      </x:c>
      <x:c r="R239" s="42" t="str">
        <x:f>IF(A239="","",IF(P239="PAY",E239,IF(P239="OTHER",F239,IF(P239="CAPITAL","Capital - "&amp;G239,IF(P239="DUE","Due to - "&amp;G239,IF(P239="DRAW","Drawings - "&amp;G239,P239))))))</x:f>
      </x:c>
      <x:c r="S239" s="37" t="n">
        <x:f>IF(AND(N239="Approved",T239="OK"),D239,0)</x:f>
        <x:v>0</x:v>
      </x:c>
      <x:c r="T239" s="42" t="str">
        <x:f>IF(A239="","",IF(COUNTIFS($A$6:$A$505,A239)&lt;&gt;1,"Duplicate ID",IF(OR(NOT(ISNUMBER(B239)),D239&lt;=0,NOT(ISNUMBER(D239)),I239="",J239="",L239=""),"Missing date/amount/ref/details",IF(OR(COUNTIFS('Accounts'!$A$6:$A$105,Q239)&lt;&gt;1,COUNTIFS('Accounts'!$A$6:$A$105,R239)&lt;&gt;1,Q239=R239),"Check accounts/event",IF(AND(OR(Q239="Trade payables",R239="Trade payables",Q239="Customer receivables",R239="Customer receivables",Q239="Courier receivables",R239="Courier receivables",Q239="Supplier advances",R239="Supplier advances"),H239=""),"Contact ID required",IF(AND(N239="Approved",OR(M239="",M239=L239)),"Independent review needed",IF(OR(N239="Draft",N239="Approved",N239="Void"),"OK","Status required")))))))</x:f>
      </x:c>
    </x:row>
    <x:row r="240" ht="23" customHeight="1">
      <x:c r="A240" s="36"/>
      <x:c r="B240" s="40"/>
      <x:c r="C240" s="36"/>
      <x:c r="D240" s="41"/>
      <x:c r="E240" s="36"/>
      <x:c r="F240" s="36"/>
      <x:c r="G240" s="36"/>
      <x:c r="H240" s="36"/>
      <x:c r="I240" s="36"/>
      <x:c r="J240" s="36"/>
      <x:c r="K240" s="36"/>
      <x:c r="L240" s="36"/>
      <x:c r="M240" s="36"/>
      <x:c r="N240" s="36"/>
      <x:c r="O240" s="42" t="str">
        <x:f>IF(A240="","",IF(COUNTIFS('Event Guide'!$A$6:$A$29,C240)=1,VLOOKUP(C240,'Event Guide'!$A$6:$C$29,2,FALSE),"Unknown event"))</x:f>
      </x:c>
      <x:c r="P240" s="42" t="str">
        <x:f>IF(A240="","",IF(COUNTIFS('Event Guide'!$A$6:$A$29,C240)=1,VLOOKUP(C240,'Event Guide'!$A$6:$C$29,3,FALSE),"Unknown event"))</x:f>
      </x:c>
      <x:c r="Q240" s="42" t="str">
        <x:f>IF(A240="","",IF(O240="PAY",E240,IF(O240="OTHER",F240,IF(O240="CAPITAL","Capital - "&amp;G240,IF(O240="DUE","Due to - "&amp;G240,IF(O240="DRAW","Drawings - "&amp;G240,O240))))))</x:f>
      </x:c>
      <x:c r="R240" s="42" t="str">
        <x:f>IF(A240="","",IF(P240="PAY",E240,IF(P240="OTHER",F240,IF(P240="CAPITAL","Capital - "&amp;G240,IF(P240="DUE","Due to - "&amp;G240,IF(P240="DRAW","Drawings - "&amp;G240,P240))))))</x:f>
      </x:c>
      <x:c r="S240" s="37" t="n">
        <x:f>IF(AND(N240="Approved",T240="OK"),D240,0)</x:f>
        <x:v>0</x:v>
      </x:c>
      <x:c r="T240" s="42" t="str">
        <x:f>IF(A240="","",IF(COUNTIFS($A$6:$A$505,A240)&lt;&gt;1,"Duplicate ID",IF(OR(NOT(ISNUMBER(B240)),D240&lt;=0,NOT(ISNUMBER(D240)),I240="",J240="",L240=""),"Missing date/amount/ref/details",IF(OR(COUNTIFS('Accounts'!$A$6:$A$105,Q240)&lt;&gt;1,COUNTIFS('Accounts'!$A$6:$A$105,R240)&lt;&gt;1,Q240=R240),"Check accounts/event",IF(AND(OR(Q240="Trade payables",R240="Trade payables",Q240="Customer receivables",R240="Customer receivables",Q240="Courier receivables",R240="Courier receivables",Q240="Supplier advances",R240="Supplier advances"),H240=""),"Contact ID required",IF(AND(N240="Approved",OR(M240="",M240=L240)),"Independent review needed",IF(OR(N240="Draft",N240="Approved",N240="Void"),"OK","Status required")))))))</x:f>
      </x:c>
    </x:row>
    <x:row r="241" ht="23" customHeight="1">
      <x:c r="A241" s="36"/>
      <x:c r="B241" s="40"/>
      <x:c r="C241" s="36"/>
      <x:c r="D241" s="41"/>
      <x:c r="E241" s="36"/>
      <x:c r="F241" s="36"/>
      <x:c r="G241" s="36"/>
      <x:c r="H241" s="36"/>
      <x:c r="I241" s="36"/>
      <x:c r="J241" s="36"/>
      <x:c r="K241" s="36"/>
      <x:c r="L241" s="36"/>
      <x:c r="M241" s="36"/>
      <x:c r="N241" s="36"/>
      <x:c r="O241" s="42" t="str">
        <x:f>IF(A241="","",IF(COUNTIFS('Event Guide'!$A$6:$A$29,C241)=1,VLOOKUP(C241,'Event Guide'!$A$6:$C$29,2,FALSE),"Unknown event"))</x:f>
      </x:c>
      <x:c r="P241" s="42" t="str">
        <x:f>IF(A241="","",IF(COUNTIFS('Event Guide'!$A$6:$A$29,C241)=1,VLOOKUP(C241,'Event Guide'!$A$6:$C$29,3,FALSE),"Unknown event"))</x:f>
      </x:c>
      <x:c r="Q241" s="42" t="str">
        <x:f>IF(A241="","",IF(O241="PAY",E241,IF(O241="OTHER",F241,IF(O241="CAPITAL","Capital - "&amp;G241,IF(O241="DUE","Due to - "&amp;G241,IF(O241="DRAW","Drawings - "&amp;G241,O241))))))</x:f>
      </x:c>
      <x:c r="R241" s="42" t="str">
        <x:f>IF(A241="","",IF(P241="PAY",E241,IF(P241="OTHER",F241,IF(P241="CAPITAL","Capital - "&amp;G241,IF(P241="DUE","Due to - "&amp;G241,IF(P241="DRAW","Drawings - "&amp;G241,P241))))))</x:f>
      </x:c>
      <x:c r="S241" s="37" t="n">
        <x:f>IF(AND(N241="Approved",T241="OK"),D241,0)</x:f>
        <x:v>0</x:v>
      </x:c>
      <x:c r="T241" s="42" t="str">
        <x:f>IF(A241="","",IF(COUNTIFS($A$6:$A$505,A241)&lt;&gt;1,"Duplicate ID",IF(OR(NOT(ISNUMBER(B241)),D241&lt;=0,NOT(ISNUMBER(D241)),I241="",J241="",L241=""),"Missing date/amount/ref/details",IF(OR(COUNTIFS('Accounts'!$A$6:$A$105,Q241)&lt;&gt;1,COUNTIFS('Accounts'!$A$6:$A$105,R241)&lt;&gt;1,Q241=R241),"Check accounts/event",IF(AND(OR(Q241="Trade payables",R241="Trade payables",Q241="Customer receivables",R241="Customer receivables",Q241="Courier receivables",R241="Courier receivables",Q241="Supplier advances",R241="Supplier advances"),H241=""),"Contact ID required",IF(AND(N241="Approved",OR(M241="",M241=L241)),"Independent review needed",IF(OR(N241="Draft",N241="Approved",N241="Void"),"OK","Status required")))))))</x:f>
      </x:c>
    </x:row>
    <x:row r="242" ht="23" customHeight="1">
      <x:c r="A242" s="36"/>
      <x:c r="B242" s="40"/>
      <x:c r="C242" s="36"/>
      <x:c r="D242" s="41"/>
      <x:c r="E242" s="36"/>
      <x:c r="F242" s="36"/>
      <x:c r="G242" s="36"/>
      <x:c r="H242" s="36"/>
      <x:c r="I242" s="36"/>
      <x:c r="J242" s="36"/>
      <x:c r="K242" s="36"/>
      <x:c r="L242" s="36"/>
      <x:c r="M242" s="36"/>
      <x:c r="N242" s="36"/>
      <x:c r="O242" s="42" t="str">
        <x:f>IF(A242="","",IF(COUNTIFS('Event Guide'!$A$6:$A$29,C242)=1,VLOOKUP(C242,'Event Guide'!$A$6:$C$29,2,FALSE),"Unknown event"))</x:f>
      </x:c>
      <x:c r="P242" s="42" t="str">
        <x:f>IF(A242="","",IF(COUNTIFS('Event Guide'!$A$6:$A$29,C242)=1,VLOOKUP(C242,'Event Guide'!$A$6:$C$29,3,FALSE),"Unknown event"))</x:f>
      </x:c>
      <x:c r="Q242" s="42" t="str">
        <x:f>IF(A242="","",IF(O242="PAY",E242,IF(O242="OTHER",F242,IF(O242="CAPITAL","Capital - "&amp;G242,IF(O242="DUE","Due to - "&amp;G242,IF(O242="DRAW","Drawings - "&amp;G242,O242))))))</x:f>
      </x:c>
      <x:c r="R242" s="42" t="str">
        <x:f>IF(A242="","",IF(P242="PAY",E242,IF(P242="OTHER",F242,IF(P242="CAPITAL","Capital - "&amp;G242,IF(P242="DUE","Due to - "&amp;G242,IF(P242="DRAW","Drawings - "&amp;G242,P242))))))</x:f>
      </x:c>
      <x:c r="S242" s="37" t="n">
        <x:f>IF(AND(N242="Approved",T242="OK"),D242,0)</x:f>
        <x:v>0</x:v>
      </x:c>
      <x:c r="T242" s="42" t="str">
        <x:f>IF(A242="","",IF(COUNTIFS($A$6:$A$505,A242)&lt;&gt;1,"Duplicate ID",IF(OR(NOT(ISNUMBER(B242)),D242&lt;=0,NOT(ISNUMBER(D242)),I242="",J242="",L242=""),"Missing date/amount/ref/details",IF(OR(COUNTIFS('Accounts'!$A$6:$A$105,Q242)&lt;&gt;1,COUNTIFS('Accounts'!$A$6:$A$105,R242)&lt;&gt;1,Q242=R242),"Check accounts/event",IF(AND(OR(Q242="Trade payables",R242="Trade payables",Q242="Customer receivables",R242="Customer receivables",Q242="Courier receivables",R242="Courier receivables",Q242="Supplier advances",R242="Supplier advances"),H242=""),"Contact ID required",IF(AND(N242="Approved",OR(M242="",M242=L242)),"Independent review needed",IF(OR(N242="Draft",N242="Approved",N242="Void"),"OK","Status required")))))))</x:f>
      </x:c>
    </x:row>
    <x:row r="243" ht="23" customHeight="1">
      <x:c r="A243" s="36"/>
      <x:c r="B243" s="40"/>
      <x:c r="C243" s="36"/>
      <x:c r="D243" s="41"/>
      <x:c r="E243" s="36"/>
      <x:c r="F243" s="36"/>
      <x:c r="G243" s="36"/>
      <x:c r="H243" s="36"/>
      <x:c r="I243" s="36"/>
      <x:c r="J243" s="36"/>
      <x:c r="K243" s="36"/>
      <x:c r="L243" s="36"/>
      <x:c r="M243" s="36"/>
      <x:c r="N243" s="36"/>
      <x:c r="O243" s="42" t="str">
        <x:f>IF(A243="","",IF(COUNTIFS('Event Guide'!$A$6:$A$29,C243)=1,VLOOKUP(C243,'Event Guide'!$A$6:$C$29,2,FALSE),"Unknown event"))</x:f>
      </x:c>
      <x:c r="P243" s="42" t="str">
        <x:f>IF(A243="","",IF(COUNTIFS('Event Guide'!$A$6:$A$29,C243)=1,VLOOKUP(C243,'Event Guide'!$A$6:$C$29,3,FALSE),"Unknown event"))</x:f>
      </x:c>
      <x:c r="Q243" s="42" t="str">
        <x:f>IF(A243="","",IF(O243="PAY",E243,IF(O243="OTHER",F243,IF(O243="CAPITAL","Capital - "&amp;G243,IF(O243="DUE","Due to - "&amp;G243,IF(O243="DRAW","Drawings - "&amp;G243,O243))))))</x:f>
      </x:c>
      <x:c r="R243" s="42" t="str">
        <x:f>IF(A243="","",IF(P243="PAY",E243,IF(P243="OTHER",F243,IF(P243="CAPITAL","Capital - "&amp;G243,IF(P243="DUE","Due to - "&amp;G243,IF(P243="DRAW","Drawings - "&amp;G243,P243))))))</x:f>
      </x:c>
      <x:c r="S243" s="37" t="n">
        <x:f>IF(AND(N243="Approved",T243="OK"),D243,0)</x:f>
        <x:v>0</x:v>
      </x:c>
      <x:c r="T243" s="42" t="str">
        <x:f>IF(A243="","",IF(COUNTIFS($A$6:$A$505,A243)&lt;&gt;1,"Duplicate ID",IF(OR(NOT(ISNUMBER(B243)),D243&lt;=0,NOT(ISNUMBER(D243)),I243="",J243="",L243=""),"Missing date/amount/ref/details",IF(OR(COUNTIFS('Accounts'!$A$6:$A$105,Q243)&lt;&gt;1,COUNTIFS('Accounts'!$A$6:$A$105,R243)&lt;&gt;1,Q243=R243),"Check accounts/event",IF(AND(OR(Q243="Trade payables",R243="Trade payables",Q243="Customer receivables",R243="Customer receivables",Q243="Courier receivables",R243="Courier receivables",Q243="Supplier advances",R243="Supplier advances"),H243=""),"Contact ID required",IF(AND(N243="Approved",OR(M243="",M243=L243)),"Independent review needed",IF(OR(N243="Draft",N243="Approved",N243="Void"),"OK","Status required")))))))</x:f>
      </x:c>
    </x:row>
    <x:row r="244" ht="23" customHeight="1">
      <x:c r="A244" s="36"/>
      <x:c r="B244" s="40"/>
      <x:c r="C244" s="36"/>
      <x:c r="D244" s="41"/>
      <x:c r="E244" s="36"/>
      <x:c r="F244" s="36"/>
      <x:c r="G244" s="36"/>
      <x:c r="H244" s="36"/>
      <x:c r="I244" s="36"/>
      <x:c r="J244" s="36"/>
      <x:c r="K244" s="36"/>
      <x:c r="L244" s="36"/>
      <x:c r="M244" s="36"/>
      <x:c r="N244" s="36"/>
      <x:c r="O244" s="42" t="str">
        <x:f>IF(A244="","",IF(COUNTIFS('Event Guide'!$A$6:$A$29,C244)=1,VLOOKUP(C244,'Event Guide'!$A$6:$C$29,2,FALSE),"Unknown event"))</x:f>
      </x:c>
      <x:c r="P244" s="42" t="str">
        <x:f>IF(A244="","",IF(COUNTIFS('Event Guide'!$A$6:$A$29,C244)=1,VLOOKUP(C244,'Event Guide'!$A$6:$C$29,3,FALSE),"Unknown event"))</x:f>
      </x:c>
      <x:c r="Q244" s="42" t="str">
        <x:f>IF(A244="","",IF(O244="PAY",E244,IF(O244="OTHER",F244,IF(O244="CAPITAL","Capital - "&amp;G244,IF(O244="DUE","Due to - "&amp;G244,IF(O244="DRAW","Drawings - "&amp;G244,O244))))))</x:f>
      </x:c>
      <x:c r="R244" s="42" t="str">
        <x:f>IF(A244="","",IF(P244="PAY",E244,IF(P244="OTHER",F244,IF(P244="CAPITAL","Capital - "&amp;G244,IF(P244="DUE","Due to - "&amp;G244,IF(P244="DRAW","Drawings - "&amp;G244,P244))))))</x:f>
      </x:c>
      <x:c r="S244" s="37" t="n">
        <x:f>IF(AND(N244="Approved",T244="OK"),D244,0)</x:f>
        <x:v>0</x:v>
      </x:c>
      <x:c r="T244" s="42" t="str">
        <x:f>IF(A244="","",IF(COUNTIFS($A$6:$A$505,A244)&lt;&gt;1,"Duplicate ID",IF(OR(NOT(ISNUMBER(B244)),D244&lt;=0,NOT(ISNUMBER(D244)),I244="",J244="",L244=""),"Missing date/amount/ref/details",IF(OR(COUNTIFS('Accounts'!$A$6:$A$105,Q244)&lt;&gt;1,COUNTIFS('Accounts'!$A$6:$A$105,R244)&lt;&gt;1,Q244=R244),"Check accounts/event",IF(AND(OR(Q244="Trade payables",R244="Trade payables",Q244="Customer receivables",R244="Customer receivables",Q244="Courier receivables",R244="Courier receivables",Q244="Supplier advances",R244="Supplier advances"),H244=""),"Contact ID required",IF(AND(N244="Approved",OR(M244="",M244=L244)),"Independent review needed",IF(OR(N244="Draft",N244="Approved",N244="Void"),"OK","Status required")))))))</x:f>
      </x:c>
    </x:row>
    <x:row r="245" ht="23" customHeight="1">
      <x:c r="A245" s="36"/>
      <x:c r="B245" s="40"/>
      <x:c r="C245" s="36"/>
      <x:c r="D245" s="41"/>
      <x:c r="E245" s="36"/>
      <x:c r="F245" s="36"/>
      <x:c r="G245" s="36"/>
      <x:c r="H245" s="36"/>
      <x:c r="I245" s="36"/>
      <x:c r="J245" s="36"/>
      <x:c r="K245" s="36"/>
      <x:c r="L245" s="36"/>
      <x:c r="M245" s="36"/>
      <x:c r="N245" s="36"/>
      <x:c r="O245" s="42" t="str">
        <x:f>IF(A245="","",IF(COUNTIFS('Event Guide'!$A$6:$A$29,C245)=1,VLOOKUP(C245,'Event Guide'!$A$6:$C$29,2,FALSE),"Unknown event"))</x:f>
      </x:c>
      <x:c r="P245" s="42" t="str">
        <x:f>IF(A245="","",IF(COUNTIFS('Event Guide'!$A$6:$A$29,C245)=1,VLOOKUP(C245,'Event Guide'!$A$6:$C$29,3,FALSE),"Unknown event"))</x:f>
      </x:c>
      <x:c r="Q245" s="42" t="str">
        <x:f>IF(A245="","",IF(O245="PAY",E245,IF(O245="OTHER",F245,IF(O245="CAPITAL","Capital - "&amp;G245,IF(O245="DUE","Due to - "&amp;G245,IF(O245="DRAW","Drawings - "&amp;G245,O245))))))</x:f>
      </x:c>
      <x:c r="R245" s="42" t="str">
        <x:f>IF(A245="","",IF(P245="PAY",E245,IF(P245="OTHER",F245,IF(P245="CAPITAL","Capital - "&amp;G245,IF(P245="DUE","Due to - "&amp;G245,IF(P245="DRAW","Drawings - "&amp;G245,P245))))))</x:f>
      </x:c>
      <x:c r="S245" s="37" t="n">
        <x:f>IF(AND(N245="Approved",T245="OK"),D245,0)</x:f>
        <x:v>0</x:v>
      </x:c>
      <x:c r="T245" s="42" t="str">
        <x:f>IF(A245="","",IF(COUNTIFS($A$6:$A$505,A245)&lt;&gt;1,"Duplicate ID",IF(OR(NOT(ISNUMBER(B245)),D245&lt;=0,NOT(ISNUMBER(D245)),I245="",J245="",L245=""),"Missing date/amount/ref/details",IF(OR(COUNTIFS('Accounts'!$A$6:$A$105,Q245)&lt;&gt;1,COUNTIFS('Accounts'!$A$6:$A$105,R245)&lt;&gt;1,Q245=R245),"Check accounts/event",IF(AND(OR(Q245="Trade payables",R245="Trade payables",Q245="Customer receivables",R245="Customer receivables",Q245="Courier receivables",R245="Courier receivables",Q245="Supplier advances",R245="Supplier advances"),H245=""),"Contact ID required",IF(AND(N245="Approved",OR(M245="",M245=L245)),"Independent review needed",IF(OR(N245="Draft",N245="Approved",N245="Void"),"OK","Status required")))))))</x:f>
      </x:c>
    </x:row>
    <x:row r="246" ht="23" customHeight="1">
      <x:c r="A246" s="36"/>
      <x:c r="B246" s="40"/>
      <x:c r="C246" s="36"/>
      <x:c r="D246" s="41"/>
      <x:c r="E246" s="36"/>
      <x:c r="F246" s="36"/>
      <x:c r="G246" s="36"/>
      <x:c r="H246" s="36"/>
      <x:c r="I246" s="36"/>
      <x:c r="J246" s="36"/>
      <x:c r="K246" s="36"/>
      <x:c r="L246" s="36"/>
      <x:c r="M246" s="36"/>
      <x:c r="N246" s="36"/>
      <x:c r="O246" s="42" t="str">
        <x:f>IF(A246="","",IF(COUNTIFS('Event Guide'!$A$6:$A$29,C246)=1,VLOOKUP(C246,'Event Guide'!$A$6:$C$29,2,FALSE),"Unknown event"))</x:f>
      </x:c>
      <x:c r="P246" s="42" t="str">
        <x:f>IF(A246="","",IF(COUNTIFS('Event Guide'!$A$6:$A$29,C246)=1,VLOOKUP(C246,'Event Guide'!$A$6:$C$29,3,FALSE),"Unknown event"))</x:f>
      </x:c>
      <x:c r="Q246" s="42" t="str">
        <x:f>IF(A246="","",IF(O246="PAY",E246,IF(O246="OTHER",F246,IF(O246="CAPITAL","Capital - "&amp;G246,IF(O246="DUE","Due to - "&amp;G246,IF(O246="DRAW","Drawings - "&amp;G246,O246))))))</x:f>
      </x:c>
      <x:c r="R246" s="42" t="str">
        <x:f>IF(A246="","",IF(P246="PAY",E246,IF(P246="OTHER",F246,IF(P246="CAPITAL","Capital - "&amp;G246,IF(P246="DUE","Due to - "&amp;G246,IF(P246="DRAW","Drawings - "&amp;G246,P246))))))</x:f>
      </x:c>
      <x:c r="S246" s="37" t="n">
        <x:f>IF(AND(N246="Approved",T246="OK"),D246,0)</x:f>
        <x:v>0</x:v>
      </x:c>
      <x:c r="T246" s="42" t="str">
        <x:f>IF(A246="","",IF(COUNTIFS($A$6:$A$505,A246)&lt;&gt;1,"Duplicate ID",IF(OR(NOT(ISNUMBER(B246)),D246&lt;=0,NOT(ISNUMBER(D246)),I246="",J246="",L246=""),"Missing date/amount/ref/details",IF(OR(COUNTIFS('Accounts'!$A$6:$A$105,Q246)&lt;&gt;1,COUNTIFS('Accounts'!$A$6:$A$105,R246)&lt;&gt;1,Q246=R246),"Check accounts/event",IF(AND(OR(Q246="Trade payables",R246="Trade payables",Q246="Customer receivables",R246="Customer receivables",Q246="Courier receivables",R246="Courier receivables",Q246="Supplier advances",R246="Supplier advances"),H246=""),"Contact ID required",IF(AND(N246="Approved",OR(M246="",M246=L246)),"Independent review needed",IF(OR(N246="Draft",N246="Approved",N246="Void"),"OK","Status required")))))))</x:f>
      </x:c>
    </x:row>
    <x:row r="247" ht="23" customHeight="1">
      <x:c r="A247" s="36"/>
      <x:c r="B247" s="40"/>
      <x:c r="C247" s="36"/>
      <x:c r="D247" s="41"/>
      <x:c r="E247" s="36"/>
      <x:c r="F247" s="36"/>
      <x:c r="G247" s="36"/>
      <x:c r="H247" s="36"/>
      <x:c r="I247" s="36"/>
      <x:c r="J247" s="36"/>
      <x:c r="K247" s="36"/>
      <x:c r="L247" s="36"/>
      <x:c r="M247" s="36"/>
      <x:c r="N247" s="36"/>
      <x:c r="O247" s="42" t="str">
        <x:f>IF(A247="","",IF(COUNTIFS('Event Guide'!$A$6:$A$29,C247)=1,VLOOKUP(C247,'Event Guide'!$A$6:$C$29,2,FALSE),"Unknown event"))</x:f>
      </x:c>
      <x:c r="P247" s="42" t="str">
        <x:f>IF(A247="","",IF(COUNTIFS('Event Guide'!$A$6:$A$29,C247)=1,VLOOKUP(C247,'Event Guide'!$A$6:$C$29,3,FALSE),"Unknown event"))</x:f>
      </x:c>
      <x:c r="Q247" s="42" t="str">
        <x:f>IF(A247="","",IF(O247="PAY",E247,IF(O247="OTHER",F247,IF(O247="CAPITAL","Capital - "&amp;G247,IF(O247="DUE","Due to - "&amp;G247,IF(O247="DRAW","Drawings - "&amp;G247,O247))))))</x:f>
      </x:c>
      <x:c r="R247" s="42" t="str">
        <x:f>IF(A247="","",IF(P247="PAY",E247,IF(P247="OTHER",F247,IF(P247="CAPITAL","Capital - "&amp;G247,IF(P247="DUE","Due to - "&amp;G247,IF(P247="DRAW","Drawings - "&amp;G247,P247))))))</x:f>
      </x:c>
      <x:c r="S247" s="37" t="n">
        <x:f>IF(AND(N247="Approved",T247="OK"),D247,0)</x:f>
        <x:v>0</x:v>
      </x:c>
      <x:c r="T247" s="42" t="str">
        <x:f>IF(A247="","",IF(COUNTIFS($A$6:$A$505,A247)&lt;&gt;1,"Duplicate ID",IF(OR(NOT(ISNUMBER(B247)),D247&lt;=0,NOT(ISNUMBER(D247)),I247="",J247="",L247=""),"Missing date/amount/ref/details",IF(OR(COUNTIFS('Accounts'!$A$6:$A$105,Q247)&lt;&gt;1,COUNTIFS('Accounts'!$A$6:$A$105,R247)&lt;&gt;1,Q247=R247),"Check accounts/event",IF(AND(OR(Q247="Trade payables",R247="Trade payables",Q247="Customer receivables",R247="Customer receivables",Q247="Courier receivables",R247="Courier receivables",Q247="Supplier advances",R247="Supplier advances"),H247=""),"Contact ID required",IF(AND(N247="Approved",OR(M247="",M247=L247)),"Independent review needed",IF(OR(N247="Draft",N247="Approved",N247="Void"),"OK","Status required")))))))</x:f>
      </x:c>
    </x:row>
    <x:row r="248" ht="23" customHeight="1">
      <x:c r="A248" s="36"/>
      <x:c r="B248" s="40"/>
      <x:c r="C248" s="36"/>
      <x:c r="D248" s="41"/>
      <x:c r="E248" s="36"/>
      <x:c r="F248" s="36"/>
      <x:c r="G248" s="36"/>
      <x:c r="H248" s="36"/>
      <x:c r="I248" s="36"/>
      <x:c r="J248" s="36"/>
      <x:c r="K248" s="36"/>
      <x:c r="L248" s="36"/>
      <x:c r="M248" s="36"/>
      <x:c r="N248" s="36"/>
      <x:c r="O248" s="42" t="str">
        <x:f>IF(A248="","",IF(COUNTIFS('Event Guide'!$A$6:$A$29,C248)=1,VLOOKUP(C248,'Event Guide'!$A$6:$C$29,2,FALSE),"Unknown event"))</x:f>
      </x:c>
      <x:c r="P248" s="42" t="str">
        <x:f>IF(A248="","",IF(COUNTIFS('Event Guide'!$A$6:$A$29,C248)=1,VLOOKUP(C248,'Event Guide'!$A$6:$C$29,3,FALSE),"Unknown event"))</x:f>
      </x:c>
      <x:c r="Q248" s="42" t="str">
        <x:f>IF(A248="","",IF(O248="PAY",E248,IF(O248="OTHER",F248,IF(O248="CAPITAL","Capital - "&amp;G248,IF(O248="DUE","Due to - "&amp;G248,IF(O248="DRAW","Drawings - "&amp;G248,O248))))))</x:f>
      </x:c>
      <x:c r="R248" s="42" t="str">
        <x:f>IF(A248="","",IF(P248="PAY",E248,IF(P248="OTHER",F248,IF(P248="CAPITAL","Capital - "&amp;G248,IF(P248="DUE","Due to - "&amp;G248,IF(P248="DRAW","Drawings - "&amp;G248,P248))))))</x:f>
      </x:c>
      <x:c r="S248" s="37" t="n">
        <x:f>IF(AND(N248="Approved",T248="OK"),D248,0)</x:f>
        <x:v>0</x:v>
      </x:c>
      <x:c r="T248" s="42" t="str">
        <x:f>IF(A248="","",IF(COUNTIFS($A$6:$A$505,A248)&lt;&gt;1,"Duplicate ID",IF(OR(NOT(ISNUMBER(B248)),D248&lt;=0,NOT(ISNUMBER(D248)),I248="",J248="",L248=""),"Missing date/amount/ref/details",IF(OR(COUNTIFS('Accounts'!$A$6:$A$105,Q248)&lt;&gt;1,COUNTIFS('Accounts'!$A$6:$A$105,R248)&lt;&gt;1,Q248=R248),"Check accounts/event",IF(AND(OR(Q248="Trade payables",R248="Trade payables",Q248="Customer receivables",R248="Customer receivables",Q248="Courier receivables",R248="Courier receivables",Q248="Supplier advances",R248="Supplier advances"),H248=""),"Contact ID required",IF(AND(N248="Approved",OR(M248="",M248=L248)),"Independent review needed",IF(OR(N248="Draft",N248="Approved",N248="Void"),"OK","Status required")))))))</x:f>
      </x:c>
    </x:row>
    <x:row r="249" ht="23" customHeight="1">
      <x:c r="A249" s="36"/>
      <x:c r="B249" s="40"/>
      <x:c r="C249" s="36"/>
      <x:c r="D249" s="41"/>
      <x:c r="E249" s="36"/>
      <x:c r="F249" s="36"/>
      <x:c r="G249" s="36"/>
      <x:c r="H249" s="36"/>
      <x:c r="I249" s="36"/>
      <x:c r="J249" s="36"/>
      <x:c r="K249" s="36"/>
      <x:c r="L249" s="36"/>
      <x:c r="M249" s="36"/>
      <x:c r="N249" s="36"/>
      <x:c r="O249" s="42" t="str">
        <x:f>IF(A249="","",IF(COUNTIFS('Event Guide'!$A$6:$A$29,C249)=1,VLOOKUP(C249,'Event Guide'!$A$6:$C$29,2,FALSE),"Unknown event"))</x:f>
      </x:c>
      <x:c r="P249" s="42" t="str">
        <x:f>IF(A249="","",IF(COUNTIFS('Event Guide'!$A$6:$A$29,C249)=1,VLOOKUP(C249,'Event Guide'!$A$6:$C$29,3,FALSE),"Unknown event"))</x:f>
      </x:c>
      <x:c r="Q249" s="42" t="str">
        <x:f>IF(A249="","",IF(O249="PAY",E249,IF(O249="OTHER",F249,IF(O249="CAPITAL","Capital - "&amp;G249,IF(O249="DUE","Due to - "&amp;G249,IF(O249="DRAW","Drawings - "&amp;G249,O249))))))</x:f>
      </x:c>
      <x:c r="R249" s="42" t="str">
        <x:f>IF(A249="","",IF(P249="PAY",E249,IF(P249="OTHER",F249,IF(P249="CAPITAL","Capital - "&amp;G249,IF(P249="DUE","Due to - "&amp;G249,IF(P249="DRAW","Drawings - "&amp;G249,P249))))))</x:f>
      </x:c>
      <x:c r="S249" s="37" t="n">
        <x:f>IF(AND(N249="Approved",T249="OK"),D249,0)</x:f>
        <x:v>0</x:v>
      </x:c>
      <x:c r="T249" s="42" t="str">
        <x:f>IF(A249="","",IF(COUNTIFS($A$6:$A$505,A249)&lt;&gt;1,"Duplicate ID",IF(OR(NOT(ISNUMBER(B249)),D249&lt;=0,NOT(ISNUMBER(D249)),I249="",J249="",L249=""),"Missing date/amount/ref/details",IF(OR(COUNTIFS('Accounts'!$A$6:$A$105,Q249)&lt;&gt;1,COUNTIFS('Accounts'!$A$6:$A$105,R249)&lt;&gt;1,Q249=R249),"Check accounts/event",IF(AND(OR(Q249="Trade payables",R249="Trade payables",Q249="Customer receivables",R249="Customer receivables",Q249="Courier receivables",R249="Courier receivables",Q249="Supplier advances",R249="Supplier advances"),H249=""),"Contact ID required",IF(AND(N249="Approved",OR(M249="",M249=L249)),"Independent review needed",IF(OR(N249="Draft",N249="Approved",N249="Void"),"OK","Status required")))))))</x:f>
      </x:c>
    </x:row>
    <x:row r="250" ht="23" customHeight="1">
      <x:c r="A250" s="36"/>
      <x:c r="B250" s="40"/>
      <x:c r="C250" s="36"/>
      <x:c r="D250" s="41"/>
      <x:c r="E250" s="36"/>
      <x:c r="F250" s="36"/>
      <x:c r="G250" s="36"/>
      <x:c r="H250" s="36"/>
      <x:c r="I250" s="36"/>
      <x:c r="J250" s="36"/>
      <x:c r="K250" s="36"/>
      <x:c r="L250" s="36"/>
      <x:c r="M250" s="36"/>
      <x:c r="N250" s="36"/>
      <x:c r="O250" s="42" t="str">
        <x:f>IF(A250="","",IF(COUNTIFS('Event Guide'!$A$6:$A$29,C250)=1,VLOOKUP(C250,'Event Guide'!$A$6:$C$29,2,FALSE),"Unknown event"))</x:f>
      </x:c>
      <x:c r="P250" s="42" t="str">
        <x:f>IF(A250="","",IF(COUNTIFS('Event Guide'!$A$6:$A$29,C250)=1,VLOOKUP(C250,'Event Guide'!$A$6:$C$29,3,FALSE),"Unknown event"))</x:f>
      </x:c>
      <x:c r="Q250" s="42" t="str">
        <x:f>IF(A250="","",IF(O250="PAY",E250,IF(O250="OTHER",F250,IF(O250="CAPITAL","Capital - "&amp;G250,IF(O250="DUE","Due to - "&amp;G250,IF(O250="DRAW","Drawings - "&amp;G250,O250))))))</x:f>
      </x:c>
      <x:c r="R250" s="42" t="str">
        <x:f>IF(A250="","",IF(P250="PAY",E250,IF(P250="OTHER",F250,IF(P250="CAPITAL","Capital - "&amp;G250,IF(P250="DUE","Due to - "&amp;G250,IF(P250="DRAW","Drawings - "&amp;G250,P250))))))</x:f>
      </x:c>
      <x:c r="S250" s="37" t="n">
        <x:f>IF(AND(N250="Approved",T250="OK"),D250,0)</x:f>
        <x:v>0</x:v>
      </x:c>
      <x:c r="T250" s="42" t="str">
        <x:f>IF(A250="","",IF(COUNTIFS($A$6:$A$505,A250)&lt;&gt;1,"Duplicate ID",IF(OR(NOT(ISNUMBER(B250)),D250&lt;=0,NOT(ISNUMBER(D250)),I250="",J250="",L250=""),"Missing date/amount/ref/details",IF(OR(COUNTIFS('Accounts'!$A$6:$A$105,Q250)&lt;&gt;1,COUNTIFS('Accounts'!$A$6:$A$105,R250)&lt;&gt;1,Q250=R250),"Check accounts/event",IF(AND(OR(Q250="Trade payables",R250="Trade payables",Q250="Customer receivables",R250="Customer receivables",Q250="Courier receivables",R250="Courier receivables",Q250="Supplier advances",R250="Supplier advances"),H250=""),"Contact ID required",IF(AND(N250="Approved",OR(M250="",M250=L250)),"Independent review needed",IF(OR(N250="Draft",N250="Approved",N250="Void"),"OK","Status required")))))))</x:f>
      </x:c>
    </x:row>
    <x:row r="251" ht="23" customHeight="1">
      <x:c r="A251" s="36"/>
      <x:c r="B251" s="40"/>
      <x:c r="C251" s="36"/>
      <x:c r="D251" s="41"/>
      <x:c r="E251" s="36"/>
      <x:c r="F251" s="36"/>
      <x:c r="G251" s="36"/>
      <x:c r="H251" s="36"/>
      <x:c r="I251" s="36"/>
      <x:c r="J251" s="36"/>
      <x:c r="K251" s="36"/>
      <x:c r="L251" s="36"/>
      <x:c r="M251" s="36"/>
      <x:c r="N251" s="36"/>
      <x:c r="O251" s="42" t="str">
        <x:f>IF(A251="","",IF(COUNTIFS('Event Guide'!$A$6:$A$29,C251)=1,VLOOKUP(C251,'Event Guide'!$A$6:$C$29,2,FALSE),"Unknown event"))</x:f>
      </x:c>
      <x:c r="P251" s="42" t="str">
        <x:f>IF(A251="","",IF(COUNTIFS('Event Guide'!$A$6:$A$29,C251)=1,VLOOKUP(C251,'Event Guide'!$A$6:$C$29,3,FALSE),"Unknown event"))</x:f>
      </x:c>
      <x:c r="Q251" s="42" t="str">
        <x:f>IF(A251="","",IF(O251="PAY",E251,IF(O251="OTHER",F251,IF(O251="CAPITAL","Capital - "&amp;G251,IF(O251="DUE","Due to - "&amp;G251,IF(O251="DRAW","Drawings - "&amp;G251,O251))))))</x:f>
      </x:c>
      <x:c r="R251" s="42" t="str">
        <x:f>IF(A251="","",IF(P251="PAY",E251,IF(P251="OTHER",F251,IF(P251="CAPITAL","Capital - "&amp;G251,IF(P251="DUE","Due to - "&amp;G251,IF(P251="DRAW","Drawings - "&amp;G251,P251))))))</x:f>
      </x:c>
      <x:c r="S251" s="37" t="n">
        <x:f>IF(AND(N251="Approved",T251="OK"),D251,0)</x:f>
        <x:v>0</x:v>
      </x:c>
      <x:c r="T251" s="42" t="str">
        <x:f>IF(A251="","",IF(COUNTIFS($A$6:$A$505,A251)&lt;&gt;1,"Duplicate ID",IF(OR(NOT(ISNUMBER(B251)),D251&lt;=0,NOT(ISNUMBER(D251)),I251="",J251="",L251=""),"Missing date/amount/ref/details",IF(OR(COUNTIFS('Accounts'!$A$6:$A$105,Q251)&lt;&gt;1,COUNTIFS('Accounts'!$A$6:$A$105,R251)&lt;&gt;1,Q251=R251),"Check accounts/event",IF(AND(OR(Q251="Trade payables",R251="Trade payables",Q251="Customer receivables",R251="Customer receivables",Q251="Courier receivables",R251="Courier receivables",Q251="Supplier advances",R251="Supplier advances"),H251=""),"Contact ID required",IF(AND(N251="Approved",OR(M251="",M251=L251)),"Independent review needed",IF(OR(N251="Draft",N251="Approved",N251="Void"),"OK","Status required")))))))</x:f>
      </x:c>
    </x:row>
    <x:row r="252" ht="23" customHeight="1">
      <x:c r="A252" s="36"/>
      <x:c r="B252" s="40"/>
      <x:c r="C252" s="36"/>
      <x:c r="D252" s="41"/>
      <x:c r="E252" s="36"/>
      <x:c r="F252" s="36"/>
      <x:c r="G252" s="36"/>
      <x:c r="H252" s="36"/>
      <x:c r="I252" s="36"/>
      <x:c r="J252" s="36"/>
      <x:c r="K252" s="36"/>
      <x:c r="L252" s="36"/>
      <x:c r="M252" s="36"/>
      <x:c r="N252" s="36"/>
      <x:c r="O252" s="42" t="str">
        <x:f>IF(A252="","",IF(COUNTIFS('Event Guide'!$A$6:$A$29,C252)=1,VLOOKUP(C252,'Event Guide'!$A$6:$C$29,2,FALSE),"Unknown event"))</x:f>
      </x:c>
      <x:c r="P252" s="42" t="str">
        <x:f>IF(A252="","",IF(COUNTIFS('Event Guide'!$A$6:$A$29,C252)=1,VLOOKUP(C252,'Event Guide'!$A$6:$C$29,3,FALSE),"Unknown event"))</x:f>
      </x:c>
      <x:c r="Q252" s="42" t="str">
        <x:f>IF(A252="","",IF(O252="PAY",E252,IF(O252="OTHER",F252,IF(O252="CAPITAL","Capital - "&amp;G252,IF(O252="DUE","Due to - "&amp;G252,IF(O252="DRAW","Drawings - "&amp;G252,O252))))))</x:f>
      </x:c>
      <x:c r="R252" s="42" t="str">
        <x:f>IF(A252="","",IF(P252="PAY",E252,IF(P252="OTHER",F252,IF(P252="CAPITAL","Capital - "&amp;G252,IF(P252="DUE","Due to - "&amp;G252,IF(P252="DRAW","Drawings - "&amp;G252,P252))))))</x:f>
      </x:c>
      <x:c r="S252" s="37" t="n">
        <x:f>IF(AND(N252="Approved",T252="OK"),D252,0)</x:f>
        <x:v>0</x:v>
      </x:c>
      <x:c r="T252" s="42" t="str">
        <x:f>IF(A252="","",IF(COUNTIFS($A$6:$A$505,A252)&lt;&gt;1,"Duplicate ID",IF(OR(NOT(ISNUMBER(B252)),D252&lt;=0,NOT(ISNUMBER(D252)),I252="",J252="",L252=""),"Missing date/amount/ref/details",IF(OR(COUNTIFS('Accounts'!$A$6:$A$105,Q252)&lt;&gt;1,COUNTIFS('Accounts'!$A$6:$A$105,R252)&lt;&gt;1,Q252=R252),"Check accounts/event",IF(AND(OR(Q252="Trade payables",R252="Trade payables",Q252="Customer receivables",R252="Customer receivables",Q252="Courier receivables",R252="Courier receivables",Q252="Supplier advances",R252="Supplier advances"),H252=""),"Contact ID required",IF(AND(N252="Approved",OR(M252="",M252=L252)),"Independent review needed",IF(OR(N252="Draft",N252="Approved",N252="Void"),"OK","Status required")))))))</x:f>
      </x:c>
    </x:row>
    <x:row r="253" ht="23" customHeight="1">
      <x:c r="A253" s="36"/>
      <x:c r="B253" s="40"/>
      <x:c r="C253" s="36"/>
      <x:c r="D253" s="41"/>
      <x:c r="E253" s="36"/>
      <x:c r="F253" s="36"/>
      <x:c r="G253" s="36"/>
      <x:c r="H253" s="36"/>
      <x:c r="I253" s="36"/>
      <x:c r="J253" s="36"/>
      <x:c r="K253" s="36"/>
      <x:c r="L253" s="36"/>
      <x:c r="M253" s="36"/>
      <x:c r="N253" s="36"/>
      <x:c r="O253" s="42" t="str">
        <x:f>IF(A253="","",IF(COUNTIFS('Event Guide'!$A$6:$A$29,C253)=1,VLOOKUP(C253,'Event Guide'!$A$6:$C$29,2,FALSE),"Unknown event"))</x:f>
      </x:c>
      <x:c r="P253" s="42" t="str">
        <x:f>IF(A253="","",IF(COUNTIFS('Event Guide'!$A$6:$A$29,C253)=1,VLOOKUP(C253,'Event Guide'!$A$6:$C$29,3,FALSE),"Unknown event"))</x:f>
      </x:c>
      <x:c r="Q253" s="42" t="str">
        <x:f>IF(A253="","",IF(O253="PAY",E253,IF(O253="OTHER",F253,IF(O253="CAPITAL","Capital - "&amp;G253,IF(O253="DUE","Due to - "&amp;G253,IF(O253="DRAW","Drawings - "&amp;G253,O253))))))</x:f>
      </x:c>
      <x:c r="R253" s="42" t="str">
        <x:f>IF(A253="","",IF(P253="PAY",E253,IF(P253="OTHER",F253,IF(P253="CAPITAL","Capital - "&amp;G253,IF(P253="DUE","Due to - "&amp;G253,IF(P253="DRAW","Drawings - "&amp;G253,P253))))))</x:f>
      </x:c>
      <x:c r="S253" s="37" t="n">
        <x:f>IF(AND(N253="Approved",T253="OK"),D253,0)</x:f>
        <x:v>0</x:v>
      </x:c>
      <x:c r="T253" s="42" t="str">
        <x:f>IF(A253="","",IF(COUNTIFS($A$6:$A$505,A253)&lt;&gt;1,"Duplicate ID",IF(OR(NOT(ISNUMBER(B253)),D253&lt;=0,NOT(ISNUMBER(D253)),I253="",J253="",L253=""),"Missing date/amount/ref/details",IF(OR(COUNTIFS('Accounts'!$A$6:$A$105,Q253)&lt;&gt;1,COUNTIFS('Accounts'!$A$6:$A$105,R253)&lt;&gt;1,Q253=R253),"Check accounts/event",IF(AND(OR(Q253="Trade payables",R253="Trade payables",Q253="Customer receivables",R253="Customer receivables",Q253="Courier receivables",R253="Courier receivables",Q253="Supplier advances",R253="Supplier advances"),H253=""),"Contact ID required",IF(AND(N253="Approved",OR(M253="",M253=L253)),"Independent review needed",IF(OR(N253="Draft",N253="Approved",N253="Void"),"OK","Status required")))))))</x:f>
      </x:c>
    </x:row>
    <x:row r="254" ht="23" customHeight="1">
      <x:c r="A254" s="36"/>
      <x:c r="B254" s="40"/>
      <x:c r="C254" s="36"/>
      <x:c r="D254" s="41"/>
      <x:c r="E254" s="36"/>
      <x:c r="F254" s="36"/>
      <x:c r="G254" s="36"/>
      <x:c r="H254" s="36"/>
      <x:c r="I254" s="36"/>
      <x:c r="J254" s="36"/>
      <x:c r="K254" s="36"/>
      <x:c r="L254" s="36"/>
      <x:c r="M254" s="36"/>
      <x:c r="N254" s="36"/>
      <x:c r="O254" s="42" t="str">
        <x:f>IF(A254="","",IF(COUNTIFS('Event Guide'!$A$6:$A$29,C254)=1,VLOOKUP(C254,'Event Guide'!$A$6:$C$29,2,FALSE),"Unknown event"))</x:f>
      </x:c>
      <x:c r="P254" s="42" t="str">
        <x:f>IF(A254="","",IF(COUNTIFS('Event Guide'!$A$6:$A$29,C254)=1,VLOOKUP(C254,'Event Guide'!$A$6:$C$29,3,FALSE),"Unknown event"))</x:f>
      </x:c>
      <x:c r="Q254" s="42" t="str">
        <x:f>IF(A254="","",IF(O254="PAY",E254,IF(O254="OTHER",F254,IF(O254="CAPITAL","Capital - "&amp;G254,IF(O254="DUE","Due to - "&amp;G254,IF(O254="DRAW","Drawings - "&amp;G254,O254))))))</x:f>
      </x:c>
      <x:c r="R254" s="42" t="str">
        <x:f>IF(A254="","",IF(P254="PAY",E254,IF(P254="OTHER",F254,IF(P254="CAPITAL","Capital - "&amp;G254,IF(P254="DUE","Due to - "&amp;G254,IF(P254="DRAW","Drawings - "&amp;G254,P254))))))</x:f>
      </x:c>
      <x:c r="S254" s="37" t="n">
        <x:f>IF(AND(N254="Approved",T254="OK"),D254,0)</x:f>
        <x:v>0</x:v>
      </x:c>
      <x:c r="T254" s="42" t="str">
        <x:f>IF(A254="","",IF(COUNTIFS($A$6:$A$505,A254)&lt;&gt;1,"Duplicate ID",IF(OR(NOT(ISNUMBER(B254)),D254&lt;=0,NOT(ISNUMBER(D254)),I254="",J254="",L254=""),"Missing date/amount/ref/details",IF(OR(COUNTIFS('Accounts'!$A$6:$A$105,Q254)&lt;&gt;1,COUNTIFS('Accounts'!$A$6:$A$105,R254)&lt;&gt;1,Q254=R254),"Check accounts/event",IF(AND(OR(Q254="Trade payables",R254="Trade payables",Q254="Customer receivables",R254="Customer receivables",Q254="Courier receivables",R254="Courier receivables",Q254="Supplier advances",R254="Supplier advances"),H254=""),"Contact ID required",IF(AND(N254="Approved",OR(M254="",M254=L254)),"Independent review needed",IF(OR(N254="Draft",N254="Approved",N254="Void"),"OK","Status required")))))))</x:f>
      </x:c>
    </x:row>
    <x:row r="255" ht="23" customHeight="1">
      <x:c r="A255" s="36"/>
      <x:c r="B255" s="40"/>
      <x:c r="C255" s="36"/>
      <x:c r="D255" s="41"/>
      <x:c r="E255" s="36"/>
      <x:c r="F255" s="36"/>
      <x:c r="G255" s="36"/>
      <x:c r="H255" s="36"/>
      <x:c r="I255" s="36"/>
      <x:c r="J255" s="36"/>
      <x:c r="K255" s="36"/>
      <x:c r="L255" s="36"/>
      <x:c r="M255" s="36"/>
      <x:c r="N255" s="36"/>
      <x:c r="O255" s="42" t="str">
        <x:f>IF(A255="","",IF(COUNTIFS('Event Guide'!$A$6:$A$29,C255)=1,VLOOKUP(C255,'Event Guide'!$A$6:$C$29,2,FALSE),"Unknown event"))</x:f>
      </x:c>
      <x:c r="P255" s="42" t="str">
        <x:f>IF(A255="","",IF(COUNTIFS('Event Guide'!$A$6:$A$29,C255)=1,VLOOKUP(C255,'Event Guide'!$A$6:$C$29,3,FALSE),"Unknown event"))</x:f>
      </x:c>
      <x:c r="Q255" s="42" t="str">
        <x:f>IF(A255="","",IF(O255="PAY",E255,IF(O255="OTHER",F255,IF(O255="CAPITAL","Capital - "&amp;G255,IF(O255="DUE","Due to - "&amp;G255,IF(O255="DRAW","Drawings - "&amp;G255,O255))))))</x:f>
      </x:c>
      <x:c r="R255" s="42" t="str">
        <x:f>IF(A255="","",IF(P255="PAY",E255,IF(P255="OTHER",F255,IF(P255="CAPITAL","Capital - "&amp;G255,IF(P255="DUE","Due to - "&amp;G255,IF(P255="DRAW","Drawings - "&amp;G255,P255))))))</x:f>
      </x:c>
      <x:c r="S255" s="37" t="n">
        <x:f>IF(AND(N255="Approved",T255="OK"),D255,0)</x:f>
        <x:v>0</x:v>
      </x:c>
      <x:c r="T255" s="42" t="str">
        <x:f>IF(A255="","",IF(COUNTIFS($A$6:$A$505,A255)&lt;&gt;1,"Duplicate ID",IF(OR(NOT(ISNUMBER(B255)),D255&lt;=0,NOT(ISNUMBER(D255)),I255="",J255="",L255=""),"Missing date/amount/ref/details",IF(OR(COUNTIFS('Accounts'!$A$6:$A$105,Q255)&lt;&gt;1,COUNTIFS('Accounts'!$A$6:$A$105,R255)&lt;&gt;1,Q255=R255),"Check accounts/event",IF(AND(OR(Q255="Trade payables",R255="Trade payables",Q255="Customer receivables",R255="Customer receivables",Q255="Courier receivables",R255="Courier receivables",Q255="Supplier advances",R255="Supplier advances"),H255=""),"Contact ID required",IF(AND(N255="Approved",OR(M255="",M255=L255)),"Independent review needed",IF(OR(N255="Draft",N255="Approved",N255="Void"),"OK","Status required")))))))</x:f>
      </x:c>
    </x:row>
    <x:row r="256" ht="23" customHeight="1">
      <x:c r="A256" s="36"/>
      <x:c r="B256" s="40"/>
      <x:c r="C256" s="36"/>
      <x:c r="D256" s="41"/>
      <x:c r="E256" s="36"/>
      <x:c r="F256" s="36"/>
      <x:c r="G256" s="36"/>
      <x:c r="H256" s="36"/>
      <x:c r="I256" s="36"/>
      <x:c r="J256" s="36"/>
      <x:c r="K256" s="36"/>
      <x:c r="L256" s="36"/>
      <x:c r="M256" s="36"/>
      <x:c r="N256" s="36"/>
      <x:c r="O256" s="42" t="str">
        <x:f>IF(A256="","",IF(COUNTIFS('Event Guide'!$A$6:$A$29,C256)=1,VLOOKUP(C256,'Event Guide'!$A$6:$C$29,2,FALSE),"Unknown event"))</x:f>
      </x:c>
      <x:c r="P256" s="42" t="str">
        <x:f>IF(A256="","",IF(COUNTIFS('Event Guide'!$A$6:$A$29,C256)=1,VLOOKUP(C256,'Event Guide'!$A$6:$C$29,3,FALSE),"Unknown event"))</x:f>
      </x:c>
      <x:c r="Q256" s="42" t="str">
        <x:f>IF(A256="","",IF(O256="PAY",E256,IF(O256="OTHER",F256,IF(O256="CAPITAL","Capital - "&amp;G256,IF(O256="DUE","Due to - "&amp;G256,IF(O256="DRAW","Drawings - "&amp;G256,O256))))))</x:f>
      </x:c>
      <x:c r="R256" s="42" t="str">
        <x:f>IF(A256="","",IF(P256="PAY",E256,IF(P256="OTHER",F256,IF(P256="CAPITAL","Capital - "&amp;G256,IF(P256="DUE","Due to - "&amp;G256,IF(P256="DRAW","Drawings - "&amp;G256,P256))))))</x:f>
      </x:c>
      <x:c r="S256" s="37" t="n">
        <x:f>IF(AND(N256="Approved",T256="OK"),D256,0)</x:f>
        <x:v>0</x:v>
      </x:c>
      <x:c r="T256" s="42" t="str">
        <x:f>IF(A256="","",IF(COUNTIFS($A$6:$A$505,A256)&lt;&gt;1,"Duplicate ID",IF(OR(NOT(ISNUMBER(B256)),D256&lt;=0,NOT(ISNUMBER(D256)),I256="",J256="",L256=""),"Missing date/amount/ref/details",IF(OR(COUNTIFS('Accounts'!$A$6:$A$105,Q256)&lt;&gt;1,COUNTIFS('Accounts'!$A$6:$A$105,R256)&lt;&gt;1,Q256=R256),"Check accounts/event",IF(AND(OR(Q256="Trade payables",R256="Trade payables",Q256="Customer receivables",R256="Customer receivables",Q256="Courier receivables",R256="Courier receivables",Q256="Supplier advances",R256="Supplier advances"),H256=""),"Contact ID required",IF(AND(N256="Approved",OR(M256="",M256=L256)),"Independent review needed",IF(OR(N256="Draft",N256="Approved",N256="Void"),"OK","Status required")))))))</x:f>
      </x:c>
    </x:row>
    <x:row r="257" ht="23" customHeight="1">
      <x:c r="A257" s="36"/>
      <x:c r="B257" s="40"/>
      <x:c r="C257" s="36"/>
      <x:c r="D257" s="41"/>
      <x:c r="E257" s="36"/>
      <x:c r="F257" s="36"/>
      <x:c r="G257" s="36"/>
      <x:c r="H257" s="36"/>
      <x:c r="I257" s="36"/>
      <x:c r="J257" s="36"/>
      <x:c r="K257" s="36"/>
      <x:c r="L257" s="36"/>
      <x:c r="M257" s="36"/>
      <x:c r="N257" s="36"/>
      <x:c r="O257" s="42" t="str">
        <x:f>IF(A257="","",IF(COUNTIFS('Event Guide'!$A$6:$A$29,C257)=1,VLOOKUP(C257,'Event Guide'!$A$6:$C$29,2,FALSE),"Unknown event"))</x:f>
      </x:c>
      <x:c r="P257" s="42" t="str">
        <x:f>IF(A257="","",IF(COUNTIFS('Event Guide'!$A$6:$A$29,C257)=1,VLOOKUP(C257,'Event Guide'!$A$6:$C$29,3,FALSE),"Unknown event"))</x:f>
      </x:c>
      <x:c r="Q257" s="42" t="str">
        <x:f>IF(A257="","",IF(O257="PAY",E257,IF(O257="OTHER",F257,IF(O257="CAPITAL","Capital - "&amp;G257,IF(O257="DUE","Due to - "&amp;G257,IF(O257="DRAW","Drawings - "&amp;G257,O257))))))</x:f>
      </x:c>
      <x:c r="R257" s="42" t="str">
        <x:f>IF(A257="","",IF(P257="PAY",E257,IF(P257="OTHER",F257,IF(P257="CAPITAL","Capital - "&amp;G257,IF(P257="DUE","Due to - "&amp;G257,IF(P257="DRAW","Drawings - "&amp;G257,P257))))))</x:f>
      </x:c>
      <x:c r="S257" s="37" t="n">
        <x:f>IF(AND(N257="Approved",T257="OK"),D257,0)</x:f>
        <x:v>0</x:v>
      </x:c>
      <x:c r="T257" s="42" t="str">
        <x:f>IF(A257="","",IF(COUNTIFS($A$6:$A$505,A257)&lt;&gt;1,"Duplicate ID",IF(OR(NOT(ISNUMBER(B257)),D257&lt;=0,NOT(ISNUMBER(D257)),I257="",J257="",L257=""),"Missing date/amount/ref/details",IF(OR(COUNTIFS('Accounts'!$A$6:$A$105,Q257)&lt;&gt;1,COUNTIFS('Accounts'!$A$6:$A$105,R257)&lt;&gt;1,Q257=R257),"Check accounts/event",IF(AND(OR(Q257="Trade payables",R257="Trade payables",Q257="Customer receivables",R257="Customer receivables",Q257="Courier receivables",R257="Courier receivables",Q257="Supplier advances",R257="Supplier advances"),H257=""),"Contact ID required",IF(AND(N257="Approved",OR(M257="",M257=L257)),"Independent review needed",IF(OR(N257="Draft",N257="Approved",N257="Void"),"OK","Status required")))))))</x:f>
      </x:c>
    </x:row>
    <x:row r="258" ht="23" customHeight="1">
      <x:c r="A258" s="36"/>
      <x:c r="B258" s="40"/>
      <x:c r="C258" s="36"/>
      <x:c r="D258" s="41"/>
      <x:c r="E258" s="36"/>
      <x:c r="F258" s="36"/>
      <x:c r="G258" s="36"/>
      <x:c r="H258" s="36"/>
      <x:c r="I258" s="36"/>
      <x:c r="J258" s="36"/>
      <x:c r="K258" s="36"/>
      <x:c r="L258" s="36"/>
      <x:c r="M258" s="36"/>
      <x:c r="N258" s="36"/>
      <x:c r="O258" s="42" t="str">
        <x:f>IF(A258="","",IF(COUNTIFS('Event Guide'!$A$6:$A$29,C258)=1,VLOOKUP(C258,'Event Guide'!$A$6:$C$29,2,FALSE),"Unknown event"))</x:f>
      </x:c>
      <x:c r="P258" s="42" t="str">
        <x:f>IF(A258="","",IF(COUNTIFS('Event Guide'!$A$6:$A$29,C258)=1,VLOOKUP(C258,'Event Guide'!$A$6:$C$29,3,FALSE),"Unknown event"))</x:f>
      </x:c>
      <x:c r="Q258" s="42" t="str">
        <x:f>IF(A258="","",IF(O258="PAY",E258,IF(O258="OTHER",F258,IF(O258="CAPITAL","Capital - "&amp;G258,IF(O258="DUE","Due to - "&amp;G258,IF(O258="DRAW","Drawings - "&amp;G258,O258))))))</x:f>
      </x:c>
      <x:c r="R258" s="42" t="str">
        <x:f>IF(A258="","",IF(P258="PAY",E258,IF(P258="OTHER",F258,IF(P258="CAPITAL","Capital - "&amp;G258,IF(P258="DUE","Due to - "&amp;G258,IF(P258="DRAW","Drawings - "&amp;G258,P258))))))</x:f>
      </x:c>
      <x:c r="S258" s="37" t="n">
        <x:f>IF(AND(N258="Approved",T258="OK"),D258,0)</x:f>
        <x:v>0</x:v>
      </x:c>
      <x:c r="T258" s="42" t="str">
        <x:f>IF(A258="","",IF(COUNTIFS($A$6:$A$505,A258)&lt;&gt;1,"Duplicate ID",IF(OR(NOT(ISNUMBER(B258)),D258&lt;=0,NOT(ISNUMBER(D258)),I258="",J258="",L258=""),"Missing date/amount/ref/details",IF(OR(COUNTIFS('Accounts'!$A$6:$A$105,Q258)&lt;&gt;1,COUNTIFS('Accounts'!$A$6:$A$105,R258)&lt;&gt;1,Q258=R258),"Check accounts/event",IF(AND(OR(Q258="Trade payables",R258="Trade payables",Q258="Customer receivables",R258="Customer receivables",Q258="Courier receivables",R258="Courier receivables",Q258="Supplier advances",R258="Supplier advances"),H258=""),"Contact ID required",IF(AND(N258="Approved",OR(M258="",M258=L258)),"Independent review needed",IF(OR(N258="Draft",N258="Approved",N258="Void"),"OK","Status required")))))))</x:f>
      </x:c>
    </x:row>
    <x:row r="259" ht="23" customHeight="1">
      <x:c r="A259" s="36"/>
      <x:c r="B259" s="40"/>
      <x:c r="C259" s="36"/>
      <x:c r="D259" s="41"/>
      <x:c r="E259" s="36"/>
      <x:c r="F259" s="36"/>
      <x:c r="G259" s="36"/>
      <x:c r="H259" s="36"/>
      <x:c r="I259" s="36"/>
      <x:c r="J259" s="36"/>
      <x:c r="K259" s="36"/>
      <x:c r="L259" s="36"/>
      <x:c r="M259" s="36"/>
      <x:c r="N259" s="36"/>
      <x:c r="O259" s="42" t="str">
        <x:f>IF(A259="","",IF(COUNTIFS('Event Guide'!$A$6:$A$29,C259)=1,VLOOKUP(C259,'Event Guide'!$A$6:$C$29,2,FALSE),"Unknown event"))</x:f>
      </x:c>
      <x:c r="P259" s="42" t="str">
        <x:f>IF(A259="","",IF(COUNTIFS('Event Guide'!$A$6:$A$29,C259)=1,VLOOKUP(C259,'Event Guide'!$A$6:$C$29,3,FALSE),"Unknown event"))</x:f>
      </x:c>
      <x:c r="Q259" s="42" t="str">
        <x:f>IF(A259="","",IF(O259="PAY",E259,IF(O259="OTHER",F259,IF(O259="CAPITAL","Capital - "&amp;G259,IF(O259="DUE","Due to - "&amp;G259,IF(O259="DRAW","Drawings - "&amp;G259,O259))))))</x:f>
      </x:c>
      <x:c r="R259" s="42" t="str">
        <x:f>IF(A259="","",IF(P259="PAY",E259,IF(P259="OTHER",F259,IF(P259="CAPITAL","Capital - "&amp;G259,IF(P259="DUE","Due to - "&amp;G259,IF(P259="DRAW","Drawings - "&amp;G259,P259))))))</x:f>
      </x:c>
      <x:c r="S259" s="37" t="n">
        <x:f>IF(AND(N259="Approved",T259="OK"),D259,0)</x:f>
        <x:v>0</x:v>
      </x:c>
      <x:c r="T259" s="42" t="str">
        <x:f>IF(A259="","",IF(COUNTIFS($A$6:$A$505,A259)&lt;&gt;1,"Duplicate ID",IF(OR(NOT(ISNUMBER(B259)),D259&lt;=0,NOT(ISNUMBER(D259)),I259="",J259="",L259=""),"Missing date/amount/ref/details",IF(OR(COUNTIFS('Accounts'!$A$6:$A$105,Q259)&lt;&gt;1,COUNTIFS('Accounts'!$A$6:$A$105,R259)&lt;&gt;1,Q259=R259),"Check accounts/event",IF(AND(OR(Q259="Trade payables",R259="Trade payables",Q259="Customer receivables",R259="Customer receivables",Q259="Courier receivables",R259="Courier receivables",Q259="Supplier advances",R259="Supplier advances"),H259=""),"Contact ID required",IF(AND(N259="Approved",OR(M259="",M259=L259)),"Independent review needed",IF(OR(N259="Draft",N259="Approved",N259="Void"),"OK","Status required")))))))</x:f>
      </x:c>
    </x:row>
    <x:row r="260" ht="23" customHeight="1">
      <x:c r="A260" s="36"/>
      <x:c r="B260" s="40"/>
      <x:c r="C260" s="36"/>
      <x:c r="D260" s="41"/>
      <x:c r="E260" s="36"/>
      <x:c r="F260" s="36"/>
      <x:c r="G260" s="36"/>
      <x:c r="H260" s="36"/>
      <x:c r="I260" s="36"/>
      <x:c r="J260" s="36"/>
      <x:c r="K260" s="36"/>
      <x:c r="L260" s="36"/>
      <x:c r="M260" s="36"/>
      <x:c r="N260" s="36"/>
      <x:c r="O260" s="42" t="str">
        <x:f>IF(A260="","",IF(COUNTIFS('Event Guide'!$A$6:$A$29,C260)=1,VLOOKUP(C260,'Event Guide'!$A$6:$C$29,2,FALSE),"Unknown event"))</x:f>
      </x:c>
      <x:c r="P260" s="42" t="str">
        <x:f>IF(A260="","",IF(COUNTIFS('Event Guide'!$A$6:$A$29,C260)=1,VLOOKUP(C260,'Event Guide'!$A$6:$C$29,3,FALSE),"Unknown event"))</x:f>
      </x:c>
      <x:c r="Q260" s="42" t="str">
        <x:f>IF(A260="","",IF(O260="PAY",E260,IF(O260="OTHER",F260,IF(O260="CAPITAL","Capital - "&amp;G260,IF(O260="DUE","Due to - "&amp;G260,IF(O260="DRAW","Drawings - "&amp;G260,O260))))))</x:f>
      </x:c>
      <x:c r="R260" s="42" t="str">
        <x:f>IF(A260="","",IF(P260="PAY",E260,IF(P260="OTHER",F260,IF(P260="CAPITAL","Capital - "&amp;G260,IF(P260="DUE","Due to - "&amp;G260,IF(P260="DRAW","Drawings - "&amp;G260,P260))))))</x:f>
      </x:c>
      <x:c r="S260" s="37" t="n">
        <x:f>IF(AND(N260="Approved",T260="OK"),D260,0)</x:f>
        <x:v>0</x:v>
      </x:c>
      <x:c r="T260" s="42" t="str">
        <x:f>IF(A260="","",IF(COUNTIFS($A$6:$A$505,A260)&lt;&gt;1,"Duplicate ID",IF(OR(NOT(ISNUMBER(B260)),D260&lt;=0,NOT(ISNUMBER(D260)),I260="",J260="",L260=""),"Missing date/amount/ref/details",IF(OR(COUNTIFS('Accounts'!$A$6:$A$105,Q260)&lt;&gt;1,COUNTIFS('Accounts'!$A$6:$A$105,R260)&lt;&gt;1,Q260=R260),"Check accounts/event",IF(AND(OR(Q260="Trade payables",R260="Trade payables",Q260="Customer receivables",R260="Customer receivables",Q260="Courier receivables",R260="Courier receivables",Q260="Supplier advances",R260="Supplier advances"),H260=""),"Contact ID required",IF(AND(N260="Approved",OR(M260="",M260=L260)),"Independent review needed",IF(OR(N260="Draft",N260="Approved",N260="Void"),"OK","Status required")))))))</x:f>
      </x:c>
    </x:row>
    <x:row r="261" ht="23" customHeight="1">
      <x:c r="A261" s="36"/>
      <x:c r="B261" s="40"/>
      <x:c r="C261" s="36"/>
      <x:c r="D261" s="41"/>
      <x:c r="E261" s="36"/>
      <x:c r="F261" s="36"/>
      <x:c r="G261" s="36"/>
      <x:c r="H261" s="36"/>
      <x:c r="I261" s="36"/>
      <x:c r="J261" s="36"/>
      <x:c r="K261" s="36"/>
      <x:c r="L261" s="36"/>
      <x:c r="M261" s="36"/>
      <x:c r="N261" s="36"/>
      <x:c r="O261" s="42" t="str">
        <x:f>IF(A261="","",IF(COUNTIFS('Event Guide'!$A$6:$A$29,C261)=1,VLOOKUP(C261,'Event Guide'!$A$6:$C$29,2,FALSE),"Unknown event"))</x:f>
      </x:c>
      <x:c r="P261" s="42" t="str">
        <x:f>IF(A261="","",IF(COUNTIFS('Event Guide'!$A$6:$A$29,C261)=1,VLOOKUP(C261,'Event Guide'!$A$6:$C$29,3,FALSE),"Unknown event"))</x:f>
      </x:c>
      <x:c r="Q261" s="42" t="str">
        <x:f>IF(A261="","",IF(O261="PAY",E261,IF(O261="OTHER",F261,IF(O261="CAPITAL","Capital - "&amp;G261,IF(O261="DUE","Due to - "&amp;G261,IF(O261="DRAW","Drawings - "&amp;G261,O261))))))</x:f>
      </x:c>
      <x:c r="R261" s="42" t="str">
        <x:f>IF(A261="","",IF(P261="PAY",E261,IF(P261="OTHER",F261,IF(P261="CAPITAL","Capital - "&amp;G261,IF(P261="DUE","Due to - "&amp;G261,IF(P261="DRAW","Drawings - "&amp;G261,P261))))))</x:f>
      </x:c>
      <x:c r="S261" s="37" t="n">
        <x:f>IF(AND(N261="Approved",T261="OK"),D261,0)</x:f>
        <x:v>0</x:v>
      </x:c>
      <x:c r="T261" s="42" t="str">
        <x:f>IF(A261="","",IF(COUNTIFS($A$6:$A$505,A261)&lt;&gt;1,"Duplicate ID",IF(OR(NOT(ISNUMBER(B261)),D261&lt;=0,NOT(ISNUMBER(D261)),I261="",J261="",L261=""),"Missing date/amount/ref/details",IF(OR(COUNTIFS('Accounts'!$A$6:$A$105,Q261)&lt;&gt;1,COUNTIFS('Accounts'!$A$6:$A$105,R261)&lt;&gt;1,Q261=R261),"Check accounts/event",IF(AND(OR(Q261="Trade payables",R261="Trade payables",Q261="Customer receivables",R261="Customer receivables",Q261="Courier receivables",R261="Courier receivables",Q261="Supplier advances",R261="Supplier advances"),H261=""),"Contact ID required",IF(AND(N261="Approved",OR(M261="",M261=L261)),"Independent review needed",IF(OR(N261="Draft",N261="Approved",N261="Void"),"OK","Status required")))))))</x:f>
      </x:c>
    </x:row>
    <x:row r="262" ht="23" customHeight="1">
      <x:c r="A262" s="36"/>
      <x:c r="B262" s="40"/>
      <x:c r="C262" s="36"/>
      <x:c r="D262" s="41"/>
      <x:c r="E262" s="36"/>
      <x:c r="F262" s="36"/>
      <x:c r="G262" s="36"/>
      <x:c r="H262" s="36"/>
      <x:c r="I262" s="36"/>
      <x:c r="J262" s="36"/>
      <x:c r="K262" s="36"/>
      <x:c r="L262" s="36"/>
      <x:c r="M262" s="36"/>
      <x:c r="N262" s="36"/>
      <x:c r="O262" s="42" t="str">
        <x:f>IF(A262="","",IF(COUNTIFS('Event Guide'!$A$6:$A$29,C262)=1,VLOOKUP(C262,'Event Guide'!$A$6:$C$29,2,FALSE),"Unknown event"))</x:f>
      </x:c>
      <x:c r="P262" s="42" t="str">
        <x:f>IF(A262="","",IF(COUNTIFS('Event Guide'!$A$6:$A$29,C262)=1,VLOOKUP(C262,'Event Guide'!$A$6:$C$29,3,FALSE),"Unknown event"))</x:f>
      </x:c>
      <x:c r="Q262" s="42" t="str">
        <x:f>IF(A262="","",IF(O262="PAY",E262,IF(O262="OTHER",F262,IF(O262="CAPITAL","Capital - "&amp;G262,IF(O262="DUE","Due to - "&amp;G262,IF(O262="DRAW","Drawings - "&amp;G262,O262))))))</x:f>
      </x:c>
      <x:c r="R262" s="42" t="str">
        <x:f>IF(A262="","",IF(P262="PAY",E262,IF(P262="OTHER",F262,IF(P262="CAPITAL","Capital - "&amp;G262,IF(P262="DUE","Due to - "&amp;G262,IF(P262="DRAW","Drawings - "&amp;G262,P262))))))</x:f>
      </x:c>
      <x:c r="S262" s="37" t="n">
        <x:f>IF(AND(N262="Approved",T262="OK"),D262,0)</x:f>
        <x:v>0</x:v>
      </x:c>
      <x:c r="T262" s="42" t="str">
        <x:f>IF(A262="","",IF(COUNTIFS($A$6:$A$505,A262)&lt;&gt;1,"Duplicate ID",IF(OR(NOT(ISNUMBER(B262)),D262&lt;=0,NOT(ISNUMBER(D262)),I262="",J262="",L262=""),"Missing date/amount/ref/details",IF(OR(COUNTIFS('Accounts'!$A$6:$A$105,Q262)&lt;&gt;1,COUNTIFS('Accounts'!$A$6:$A$105,R262)&lt;&gt;1,Q262=R262),"Check accounts/event",IF(AND(OR(Q262="Trade payables",R262="Trade payables",Q262="Customer receivables",R262="Customer receivables",Q262="Courier receivables",R262="Courier receivables",Q262="Supplier advances",R262="Supplier advances"),H262=""),"Contact ID required",IF(AND(N262="Approved",OR(M262="",M262=L262)),"Independent review needed",IF(OR(N262="Draft",N262="Approved",N262="Void"),"OK","Status required")))))))</x:f>
      </x:c>
    </x:row>
    <x:row r="263" ht="23" customHeight="1">
      <x:c r="A263" s="36"/>
      <x:c r="B263" s="40"/>
      <x:c r="C263" s="36"/>
      <x:c r="D263" s="41"/>
      <x:c r="E263" s="36"/>
      <x:c r="F263" s="36"/>
      <x:c r="G263" s="36"/>
      <x:c r="H263" s="36"/>
      <x:c r="I263" s="36"/>
      <x:c r="J263" s="36"/>
      <x:c r="K263" s="36"/>
      <x:c r="L263" s="36"/>
      <x:c r="M263" s="36"/>
      <x:c r="N263" s="36"/>
      <x:c r="O263" s="42" t="str">
        <x:f>IF(A263="","",IF(COUNTIFS('Event Guide'!$A$6:$A$29,C263)=1,VLOOKUP(C263,'Event Guide'!$A$6:$C$29,2,FALSE),"Unknown event"))</x:f>
      </x:c>
      <x:c r="P263" s="42" t="str">
        <x:f>IF(A263="","",IF(COUNTIFS('Event Guide'!$A$6:$A$29,C263)=1,VLOOKUP(C263,'Event Guide'!$A$6:$C$29,3,FALSE),"Unknown event"))</x:f>
      </x:c>
      <x:c r="Q263" s="42" t="str">
        <x:f>IF(A263="","",IF(O263="PAY",E263,IF(O263="OTHER",F263,IF(O263="CAPITAL","Capital - "&amp;G263,IF(O263="DUE","Due to - "&amp;G263,IF(O263="DRAW","Drawings - "&amp;G263,O263))))))</x:f>
      </x:c>
      <x:c r="R263" s="42" t="str">
        <x:f>IF(A263="","",IF(P263="PAY",E263,IF(P263="OTHER",F263,IF(P263="CAPITAL","Capital - "&amp;G263,IF(P263="DUE","Due to - "&amp;G263,IF(P263="DRAW","Drawings - "&amp;G263,P263))))))</x:f>
      </x:c>
      <x:c r="S263" s="37" t="n">
        <x:f>IF(AND(N263="Approved",T263="OK"),D263,0)</x:f>
        <x:v>0</x:v>
      </x:c>
      <x:c r="T263" s="42" t="str">
        <x:f>IF(A263="","",IF(COUNTIFS($A$6:$A$505,A263)&lt;&gt;1,"Duplicate ID",IF(OR(NOT(ISNUMBER(B263)),D263&lt;=0,NOT(ISNUMBER(D263)),I263="",J263="",L263=""),"Missing date/amount/ref/details",IF(OR(COUNTIFS('Accounts'!$A$6:$A$105,Q263)&lt;&gt;1,COUNTIFS('Accounts'!$A$6:$A$105,R263)&lt;&gt;1,Q263=R263),"Check accounts/event",IF(AND(OR(Q263="Trade payables",R263="Trade payables",Q263="Customer receivables",R263="Customer receivables",Q263="Courier receivables",R263="Courier receivables",Q263="Supplier advances",R263="Supplier advances"),H263=""),"Contact ID required",IF(AND(N263="Approved",OR(M263="",M263=L263)),"Independent review needed",IF(OR(N263="Draft",N263="Approved",N263="Void"),"OK","Status required")))))))</x:f>
      </x:c>
    </x:row>
    <x:row r="264" ht="23" customHeight="1">
      <x:c r="A264" s="36"/>
      <x:c r="B264" s="40"/>
      <x:c r="C264" s="36"/>
      <x:c r="D264" s="41"/>
      <x:c r="E264" s="36"/>
      <x:c r="F264" s="36"/>
      <x:c r="G264" s="36"/>
      <x:c r="H264" s="36"/>
      <x:c r="I264" s="36"/>
      <x:c r="J264" s="36"/>
      <x:c r="K264" s="36"/>
      <x:c r="L264" s="36"/>
      <x:c r="M264" s="36"/>
      <x:c r="N264" s="36"/>
      <x:c r="O264" s="42" t="str">
        <x:f>IF(A264="","",IF(COUNTIFS('Event Guide'!$A$6:$A$29,C264)=1,VLOOKUP(C264,'Event Guide'!$A$6:$C$29,2,FALSE),"Unknown event"))</x:f>
      </x:c>
      <x:c r="P264" s="42" t="str">
        <x:f>IF(A264="","",IF(COUNTIFS('Event Guide'!$A$6:$A$29,C264)=1,VLOOKUP(C264,'Event Guide'!$A$6:$C$29,3,FALSE),"Unknown event"))</x:f>
      </x:c>
      <x:c r="Q264" s="42" t="str">
        <x:f>IF(A264="","",IF(O264="PAY",E264,IF(O264="OTHER",F264,IF(O264="CAPITAL","Capital - "&amp;G264,IF(O264="DUE","Due to - "&amp;G264,IF(O264="DRAW","Drawings - "&amp;G264,O264))))))</x:f>
      </x:c>
      <x:c r="R264" s="42" t="str">
        <x:f>IF(A264="","",IF(P264="PAY",E264,IF(P264="OTHER",F264,IF(P264="CAPITAL","Capital - "&amp;G264,IF(P264="DUE","Due to - "&amp;G264,IF(P264="DRAW","Drawings - "&amp;G264,P264))))))</x:f>
      </x:c>
      <x:c r="S264" s="37" t="n">
        <x:f>IF(AND(N264="Approved",T264="OK"),D264,0)</x:f>
        <x:v>0</x:v>
      </x:c>
      <x:c r="T264" s="42" t="str">
        <x:f>IF(A264="","",IF(COUNTIFS($A$6:$A$505,A264)&lt;&gt;1,"Duplicate ID",IF(OR(NOT(ISNUMBER(B264)),D264&lt;=0,NOT(ISNUMBER(D264)),I264="",J264="",L264=""),"Missing date/amount/ref/details",IF(OR(COUNTIFS('Accounts'!$A$6:$A$105,Q264)&lt;&gt;1,COUNTIFS('Accounts'!$A$6:$A$105,R264)&lt;&gt;1,Q264=R264),"Check accounts/event",IF(AND(OR(Q264="Trade payables",R264="Trade payables",Q264="Customer receivables",R264="Customer receivables",Q264="Courier receivables",R264="Courier receivables",Q264="Supplier advances",R264="Supplier advances"),H264=""),"Contact ID required",IF(AND(N264="Approved",OR(M264="",M264=L264)),"Independent review needed",IF(OR(N264="Draft",N264="Approved",N264="Void"),"OK","Status required")))))))</x:f>
      </x:c>
    </x:row>
    <x:row r="265" ht="23" customHeight="1">
      <x:c r="A265" s="36"/>
      <x:c r="B265" s="40"/>
      <x:c r="C265" s="36"/>
      <x:c r="D265" s="41"/>
      <x:c r="E265" s="36"/>
      <x:c r="F265" s="36"/>
      <x:c r="G265" s="36"/>
      <x:c r="H265" s="36"/>
      <x:c r="I265" s="36"/>
      <x:c r="J265" s="36"/>
      <x:c r="K265" s="36"/>
      <x:c r="L265" s="36"/>
      <x:c r="M265" s="36"/>
      <x:c r="N265" s="36"/>
      <x:c r="O265" s="42" t="str">
        <x:f>IF(A265="","",IF(COUNTIFS('Event Guide'!$A$6:$A$29,C265)=1,VLOOKUP(C265,'Event Guide'!$A$6:$C$29,2,FALSE),"Unknown event"))</x:f>
      </x:c>
      <x:c r="P265" s="42" t="str">
        <x:f>IF(A265="","",IF(COUNTIFS('Event Guide'!$A$6:$A$29,C265)=1,VLOOKUP(C265,'Event Guide'!$A$6:$C$29,3,FALSE),"Unknown event"))</x:f>
      </x:c>
      <x:c r="Q265" s="42" t="str">
        <x:f>IF(A265="","",IF(O265="PAY",E265,IF(O265="OTHER",F265,IF(O265="CAPITAL","Capital - "&amp;G265,IF(O265="DUE","Due to - "&amp;G265,IF(O265="DRAW","Drawings - "&amp;G265,O265))))))</x:f>
      </x:c>
      <x:c r="R265" s="42" t="str">
        <x:f>IF(A265="","",IF(P265="PAY",E265,IF(P265="OTHER",F265,IF(P265="CAPITAL","Capital - "&amp;G265,IF(P265="DUE","Due to - "&amp;G265,IF(P265="DRAW","Drawings - "&amp;G265,P265))))))</x:f>
      </x:c>
      <x:c r="S265" s="37" t="n">
        <x:f>IF(AND(N265="Approved",T265="OK"),D265,0)</x:f>
        <x:v>0</x:v>
      </x:c>
      <x:c r="T265" s="42" t="str">
        <x:f>IF(A265="","",IF(COUNTIFS($A$6:$A$505,A265)&lt;&gt;1,"Duplicate ID",IF(OR(NOT(ISNUMBER(B265)),D265&lt;=0,NOT(ISNUMBER(D265)),I265="",J265="",L265=""),"Missing date/amount/ref/details",IF(OR(COUNTIFS('Accounts'!$A$6:$A$105,Q265)&lt;&gt;1,COUNTIFS('Accounts'!$A$6:$A$105,R265)&lt;&gt;1,Q265=R265),"Check accounts/event",IF(AND(OR(Q265="Trade payables",R265="Trade payables",Q265="Customer receivables",R265="Customer receivables",Q265="Courier receivables",R265="Courier receivables",Q265="Supplier advances",R265="Supplier advances"),H265=""),"Contact ID required",IF(AND(N265="Approved",OR(M265="",M265=L265)),"Independent review needed",IF(OR(N265="Draft",N265="Approved",N265="Void"),"OK","Status required")))))))</x:f>
      </x:c>
    </x:row>
    <x:row r="266" ht="23" customHeight="1">
      <x:c r="A266" s="36"/>
      <x:c r="B266" s="40"/>
      <x:c r="C266" s="36"/>
      <x:c r="D266" s="41"/>
      <x:c r="E266" s="36"/>
      <x:c r="F266" s="36"/>
      <x:c r="G266" s="36"/>
      <x:c r="H266" s="36"/>
      <x:c r="I266" s="36"/>
      <x:c r="J266" s="36"/>
      <x:c r="K266" s="36"/>
      <x:c r="L266" s="36"/>
      <x:c r="M266" s="36"/>
      <x:c r="N266" s="36"/>
      <x:c r="O266" s="42" t="str">
        <x:f>IF(A266="","",IF(COUNTIFS('Event Guide'!$A$6:$A$29,C266)=1,VLOOKUP(C266,'Event Guide'!$A$6:$C$29,2,FALSE),"Unknown event"))</x:f>
      </x:c>
      <x:c r="P266" s="42" t="str">
        <x:f>IF(A266="","",IF(COUNTIFS('Event Guide'!$A$6:$A$29,C266)=1,VLOOKUP(C266,'Event Guide'!$A$6:$C$29,3,FALSE),"Unknown event"))</x:f>
      </x:c>
      <x:c r="Q266" s="42" t="str">
        <x:f>IF(A266="","",IF(O266="PAY",E266,IF(O266="OTHER",F266,IF(O266="CAPITAL","Capital - "&amp;G266,IF(O266="DUE","Due to - "&amp;G266,IF(O266="DRAW","Drawings - "&amp;G266,O266))))))</x:f>
      </x:c>
      <x:c r="R266" s="42" t="str">
        <x:f>IF(A266="","",IF(P266="PAY",E266,IF(P266="OTHER",F266,IF(P266="CAPITAL","Capital - "&amp;G266,IF(P266="DUE","Due to - "&amp;G266,IF(P266="DRAW","Drawings - "&amp;G266,P266))))))</x:f>
      </x:c>
      <x:c r="S266" s="37" t="n">
        <x:f>IF(AND(N266="Approved",T266="OK"),D266,0)</x:f>
        <x:v>0</x:v>
      </x:c>
      <x:c r="T266" s="42" t="str">
        <x:f>IF(A266="","",IF(COUNTIFS($A$6:$A$505,A266)&lt;&gt;1,"Duplicate ID",IF(OR(NOT(ISNUMBER(B266)),D266&lt;=0,NOT(ISNUMBER(D266)),I266="",J266="",L266=""),"Missing date/amount/ref/details",IF(OR(COUNTIFS('Accounts'!$A$6:$A$105,Q266)&lt;&gt;1,COUNTIFS('Accounts'!$A$6:$A$105,R266)&lt;&gt;1,Q266=R266),"Check accounts/event",IF(AND(OR(Q266="Trade payables",R266="Trade payables",Q266="Customer receivables",R266="Customer receivables",Q266="Courier receivables",R266="Courier receivables",Q266="Supplier advances",R266="Supplier advances"),H266=""),"Contact ID required",IF(AND(N266="Approved",OR(M266="",M266=L266)),"Independent review needed",IF(OR(N266="Draft",N266="Approved",N266="Void"),"OK","Status required")))))))</x:f>
      </x:c>
    </x:row>
    <x:row r="267" ht="23" customHeight="1">
      <x:c r="A267" s="36"/>
      <x:c r="B267" s="40"/>
      <x:c r="C267" s="36"/>
      <x:c r="D267" s="41"/>
      <x:c r="E267" s="36"/>
      <x:c r="F267" s="36"/>
      <x:c r="G267" s="36"/>
      <x:c r="H267" s="36"/>
      <x:c r="I267" s="36"/>
      <x:c r="J267" s="36"/>
      <x:c r="K267" s="36"/>
      <x:c r="L267" s="36"/>
      <x:c r="M267" s="36"/>
      <x:c r="N267" s="36"/>
      <x:c r="O267" s="42" t="str">
        <x:f>IF(A267="","",IF(COUNTIFS('Event Guide'!$A$6:$A$29,C267)=1,VLOOKUP(C267,'Event Guide'!$A$6:$C$29,2,FALSE),"Unknown event"))</x:f>
      </x:c>
      <x:c r="P267" s="42" t="str">
        <x:f>IF(A267="","",IF(COUNTIFS('Event Guide'!$A$6:$A$29,C267)=1,VLOOKUP(C267,'Event Guide'!$A$6:$C$29,3,FALSE),"Unknown event"))</x:f>
      </x:c>
      <x:c r="Q267" s="42" t="str">
        <x:f>IF(A267="","",IF(O267="PAY",E267,IF(O267="OTHER",F267,IF(O267="CAPITAL","Capital - "&amp;G267,IF(O267="DUE","Due to - "&amp;G267,IF(O267="DRAW","Drawings - "&amp;G267,O267))))))</x:f>
      </x:c>
      <x:c r="R267" s="42" t="str">
        <x:f>IF(A267="","",IF(P267="PAY",E267,IF(P267="OTHER",F267,IF(P267="CAPITAL","Capital - "&amp;G267,IF(P267="DUE","Due to - "&amp;G267,IF(P267="DRAW","Drawings - "&amp;G267,P267))))))</x:f>
      </x:c>
      <x:c r="S267" s="37" t="n">
        <x:f>IF(AND(N267="Approved",T267="OK"),D267,0)</x:f>
        <x:v>0</x:v>
      </x:c>
      <x:c r="T267" s="42" t="str">
        <x:f>IF(A267="","",IF(COUNTIFS($A$6:$A$505,A267)&lt;&gt;1,"Duplicate ID",IF(OR(NOT(ISNUMBER(B267)),D267&lt;=0,NOT(ISNUMBER(D267)),I267="",J267="",L267=""),"Missing date/amount/ref/details",IF(OR(COUNTIFS('Accounts'!$A$6:$A$105,Q267)&lt;&gt;1,COUNTIFS('Accounts'!$A$6:$A$105,R267)&lt;&gt;1,Q267=R267),"Check accounts/event",IF(AND(OR(Q267="Trade payables",R267="Trade payables",Q267="Customer receivables",R267="Customer receivables",Q267="Courier receivables",R267="Courier receivables",Q267="Supplier advances",R267="Supplier advances"),H267=""),"Contact ID required",IF(AND(N267="Approved",OR(M267="",M267=L267)),"Independent review needed",IF(OR(N267="Draft",N267="Approved",N267="Void"),"OK","Status required")))))))</x:f>
      </x:c>
    </x:row>
    <x:row r="268" ht="23" customHeight="1">
      <x:c r="A268" s="36"/>
      <x:c r="B268" s="40"/>
      <x:c r="C268" s="36"/>
      <x:c r="D268" s="41"/>
      <x:c r="E268" s="36"/>
      <x:c r="F268" s="36"/>
      <x:c r="G268" s="36"/>
      <x:c r="H268" s="36"/>
      <x:c r="I268" s="36"/>
      <x:c r="J268" s="36"/>
      <x:c r="K268" s="36"/>
      <x:c r="L268" s="36"/>
      <x:c r="M268" s="36"/>
      <x:c r="N268" s="36"/>
      <x:c r="O268" s="42" t="str">
        <x:f>IF(A268="","",IF(COUNTIFS('Event Guide'!$A$6:$A$29,C268)=1,VLOOKUP(C268,'Event Guide'!$A$6:$C$29,2,FALSE),"Unknown event"))</x:f>
      </x:c>
      <x:c r="P268" s="42" t="str">
        <x:f>IF(A268="","",IF(COUNTIFS('Event Guide'!$A$6:$A$29,C268)=1,VLOOKUP(C268,'Event Guide'!$A$6:$C$29,3,FALSE),"Unknown event"))</x:f>
      </x:c>
      <x:c r="Q268" s="42" t="str">
        <x:f>IF(A268="","",IF(O268="PAY",E268,IF(O268="OTHER",F268,IF(O268="CAPITAL","Capital - "&amp;G268,IF(O268="DUE","Due to - "&amp;G268,IF(O268="DRAW","Drawings - "&amp;G268,O268))))))</x:f>
      </x:c>
      <x:c r="R268" s="42" t="str">
        <x:f>IF(A268="","",IF(P268="PAY",E268,IF(P268="OTHER",F268,IF(P268="CAPITAL","Capital - "&amp;G268,IF(P268="DUE","Due to - "&amp;G268,IF(P268="DRAW","Drawings - "&amp;G268,P268))))))</x:f>
      </x:c>
      <x:c r="S268" s="37" t="n">
        <x:f>IF(AND(N268="Approved",T268="OK"),D268,0)</x:f>
        <x:v>0</x:v>
      </x:c>
      <x:c r="T268" s="42" t="str">
        <x:f>IF(A268="","",IF(COUNTIFS($A$6:$A$505,A268)&lt;&gt;1,"Duplicate ID",IF(OR(NOT(ISNUMBER(B268)),D268&lt;=0,NOT(ISNUMBER(D268)),I268="",J268="",L268=""),"Missing date/amount/ref/details",IF(OR(COUNTIFS('Accounts'!$A$6:$A$105,Q268)&lt;&gt;1,COUNTIFS('Accounts'!$A$6:$A$105,R268)&lt;&gt;1,Q268=R268),"Check accounts/event",IF(AND(OR(Q268="Trade payables",R268="Trade payables",Q268="Customer receivables",R268="Customer receivables",Q268="Courier receivables",R268="Courier receivables",Q268="Supplier advances",R268="Supplier advances"),H268=""),"Contact ID required",IF(AND(N268="Approved",OR(M268="",M268=L268)),"Independent review needed",IF(OR(N268="Draft",N268="Approved",N268="Void"),"OK","Status required")))))))</x:f>
      </x:c>
    </x:row>
    <x:row r="269" ht="23" customHeight="1">
      <x:c r="A269" s="36"/>
      <x:c r="B269" s="40"/>
      <x:c r="C269" s="36"/>
      <x:c r="D269" s="41"/>
      <x:c r="E269" s="36"/>
      <x:c r="F269" s="36"/>
      <x:c r="G269" s="36"/>
      <x:c r="H269" s="36"/>
      <x:c r="I269" s="36"/>
      <x:c r="J269" s="36"/>
      <x:c r="K269" s="36"/>
      <x:c r="L269" s="36"/>
      <x:c r="M269" s="36"/>
      <x:c r="N269" s="36"/>
      <x:c r="O269" s="42" t="str">
        <x:f>IF(A269="","",IF(COUNTIFS('Event Guide'!$A$6:$A$29,C269)=1,VLOOKUP(C269,'Event Guide'!$A$6:$C$29,2,FALSE),"Unknown event"))</x:f>
      </x:c>
      <x:c r="P269" s="42" t="str">
        <x:f>IF(A269="","",IF(COUNTIFS('Event Guide'!$A$6:$A$29,C269)=1,VLOOKUP(C269,'Event Guide'!$A$6:$C$29,3,FALSE),"Unknown event"))</x:f>
      </x:c>
      <x:c r="Q269" s="42" t="str">
        <x:f>IF(A269="","",IF(O269="PAY",E269,IF(O269="OTHER",F269,IF(O269="CAPITAL","Capital - "&amp;G269,IF(O269="DUE","Due to - "&amp;G269,IF(O269="DRAW","Drawings - "&amp;G269,O269))))))</x:f>
      </x:c>
      <x:c r="R269" s="42" t="str">
        <x:f>IF(A269="","",IF(P269="PAY",E269,IF(P269="OTHER",F269,IF(P269="CAPITAL","Capital - "&amp;G269,IF(P269="DUE","Due to - "&amp;G269,IF(P269="DRAW","Drawings - "&amp;G269,P269))))))</x:f>
      </x:c>
      <x:c r="S269" s="37" t="n">
        <x:f>IF(AND(N269="Approved",T269="OK"),D269,0)</x:f>
        <x:v>0</x:v>
      </x:c>
      <x:c r="T269" s="42" t="str">
        <x:f>IF(A269="","",IF(COUNTIFS($A$6:$A$505,A269)&lt;&gt;1,"Duplicate ID",IF(OR(NOT(ISNUMBER(B269)),D269&lt;=0,NOT(ISNUMBER(D269)),I269="",J269="",L269=""),"Missing date/amount/ref/details",IF(OR(COUNTIFS('Accounts'!$A$6:$A$105,Q269)&lt;&gt;1,COUNTIFS('Accounts'!$A$6:$A$105,R269)&lt;&gt;1,Q269=R269),"Check accounts/event",IF(AND(OR(Q269="Trade payables",R269="Trade payables",Q269="Customer receivables",R269="Customer receivables",Q269="Courier receivables",R269="Courier receivables",Q269="Supplier advances",R269="Supplier advances"),H269=""),"Contact ID required",IF(AND(N269="Approved",OR(M269="",M269=L269)),"Independent review needed",IF(OR(N269="Draft",N269="Approved",N269="Void"),"OK","Status required")))))))</x:f>
      </x:c>
    </x:row>
    <x:row r="270" ht="23" customHeight="1">
      <x:c r="A270" s="36"/>
      <x:c r="B270" s="40"/>
      <x:c r="C270" s="36"/>
      <x:c r="D270" s="41"/>
      <x:c r="E270" s="36"/>
      <x:c r="F270" s="36"/>
      <x:c r="G270" s="36"/>
      <x:c r="H270" s="36"/>
      <x:c r="I270" s="36"/>
      <x:c r="J270" s="36"/>
      <x:c r="K270" s="36"/>
      <x:c r="L270" s="36"/>
      <x:c r="M270" s="36"/>
      <x:c r="N270" s="36"/>
      <x:c r="O270" s="42" t="str">
        <x:f>IF(A270="","",IF(COUNTIFS('Event Guide'!$A$6:$A$29,C270)=1,VLOOKUP(C270,'Event Guide'!$A$6:$C$29,2,FALSE),"Unknown event"))</x:f>
      </x:c>
      <x:c r="P270" s="42" t="str">
        <x:f>IF(A270="","",IF(COUNTIFS('Event Guide'!$A$6:$A$29,C270)=1,VLOOKUP(C270,'Event Guide'!$A$6:$C$29,3,FALSE),"Unknown event"))</x:f>
      </x:c>
      <x:c r="Q270" s="42" t="str">
        <x:f>IF(A270="","",IF(O270="PAY",E270,IF(O270="OTHER",F270,IF(O270="CAPITAL","Capital - "&amp;G270,IF(O270="DUE","Due to - "&amp;G270,IF(O270="DRAW","Drawings - "&amp;G270,O270))))))</x:f>
      </x:c>
      <x:c r="R270" s="42" t="str">
        <x:f>IF(A270="","",IF(P270="PAY",E270,IF(P270="OTHER",F270,IF(P270="CAPITAL","Capital - "&amp;G270,IF(P270="DUE","Due to - "&amp;G270,IF(P270="DRAW","Drawings - "&amp;G270,P270))))))</x:f>
      </x:c>
      <x:c r="S270" s="37" t="n">
        <x:f>IF(AND(N270="Approved",T270="OK"),D270,0)</x:f>
        <x:v>0</x:v>
      </x:c>
      <x:c r="T270" s="42" t="str">
        <x:f>IF(A270="","",IF(COUNTIFS($A$6:$A$505,A270)&lt;&gt;1,"Duplicate ID",IF(OR(NOT(ISNUMBER(B270)),D270&lt;=0,NOT(ISNUMBER(D270)),I270="",J270="",L270=""),"Missing date/amount/ref/details",IF(OR(COUNTIFS('Accounts'!$A$6:$A$105,Q270)&lt;&gt;1,COUNTIFS('Accounts'!$A$6:$A$105,R270)&lt;&gt;1,Q270=R270),"Check accounts/event",IF(AND(OR(Q270="Trade payables",R270="Trade payables",Q270="Customer receivables",R270="Customer receivables",Q270="Courier receivables",R270="Courier receivables",Q270="Supplier advances",R270="Supplier advances"),H270=""),"Contact ID required",IF(AND(N270="Approved",OR(M270="",M270=L270)),"Independent review needed",IF(OR(N270="Draft",N270="Approved",N270="Void"),"OK","Status required")))))))</x:f>
      </x:c>
    </x:row>
    <x:row r="271" ht="23" customHeight="1">
      <x:c r="A271" s="36"/>
      <x:c r="B271" s="40"/>
      <x:c r="C271" s="36"/>
      <x:c r="D271" s="41"/>
      <x:c r="E271" s="36"/>
      <x:c r="F271" s="36"/>
      <x:c r="G271" s="36"/>
      <x:c r="H271" s="36"/>
      <x:c r="I271" s="36"/>
      <x:c r="J271" s="36"/>
      <x:c r="K271" s="36"/>
      <x:c r="L271" s="36"/>
      <x:c r="M271" s="36"/>
      <x:c r="N271" s="36"/>
      <x:c r="O271" s="42" t="str">
        <x:f>IF(A271="","",IF(COUNTIFS('Event Guide'!$A$6:$A$29,C271)=1,VLOOKUP(C271,'Event Guide'!$A$6:$C$29,2,FALSE),"Unknown event"))</x:f>
      </x:c>
      <x:c r="P271" s="42" t="str">
        <x:f>IF(A271="","",IF(COUNTIFS('Event Guide'!$A$6:$A$29,C271)=1,VLOOKUP(C271,'Event Guide'!$A$6:$C$29,3,FALSE),"Unknown event"))</x:f>
      </x:c>
      <x:c r="Q271" s="42" t="str">
        <x:f>IF(A271="","",IF(O271="PAY",E271,IF(O271="OTHER",F271,IF(O271="CAPITAL","Capital - "&amp;G271,IF(O271="DUE","Due to - "&amp;G271,IF(O271="DRAW","Drawings - "&amp;G271,O271))))))</x:f>
      </x:c>
      <x:c r="R271" s="42" t="str">
        <x:f>IF(A271="","",IF(P271="PAY",E271,IF(P271="OTHER",F271,IF(P271="CAPITAL","Capital - "&amp;G271,IF(P271="DUE","Due to - "&amp;G271,IF(P271="DRAW","Drawings - "&amp;G271,P271))))))</x:f>
      </x:c>
      <x:c r="S271" s="37" t="n">
        <x:f>IF(AND(N271="Approved",T271="OK"),D271,0)</x:f>
        <x:v>0</x:v>
      </x:c>
      <x:c r="T271" s="42" t="str">
        <x:f>IF(A271="","",IF(COUNTIFS($A$6:$A$505,A271)&lt;&gt;1,"Duplicate ID",IF(OR(NOT(ISNUMBER(B271)),D271&lt;=0,NOT(ISNUMBER(D271)),I271="",J271="",L271=""),"Missing date/amount/ref/details",IF(OR(COUNTIFS('Accounts'!$A$6:$A$105,Q271)&lt;&gt;1,COUNTIFS('Accounts'!$A$6:$A$105,R271)&lt;&gt;1,Q271=R271),"Check accounts/event",IF(AND(OR(Q271="Trade payables",R271="Trade payables",Q271="Customer receivables",R271="Customer receivables",Q271="Courier receivables",R271="Courier receivables",Q271="Supplier advances",R271="Supplier advances"),H271=""),"Contact ID required",IF(AND(N271="Approved",OR(M271="",M271=L271)),"Independent review needed",IF(OR(N271="Draft",N271="Approved",N271="Void"),"OK","Status required")))))))</x:f>
      </x:c>
    </x:row>
    <x:row r="272" ht="23" customHeight="1">
      <x:c r="A272" s="36"/>
      <x:c r="B272" s="40"/>
      <x:c r="C272" s="36"/>
      <x:c r="D272" s="41"/>
      <x:c r="E272" s="36"/>
      <x:c r="F272" s="36"/>
      <x:c r="G272" s="36"/>
      <x:c r="H272" s="36"/>
      <x:c r="I272" s="36"/>
      <x:c r="J272" s="36"/>
      <x:c r="K272" s="36"/>
      <x:c r="L272" s="36"/>
      <x:c r="M272" s="36"/>
      <x:c r="N272" s="36"/>
      <x:c r="O272" s="42" t="str">
        <x:f>IF(A272="","",IF(COUNTIFS('Event Guide'!$A$6:$A$29,C272)=1,VLOOKUP(C272,'Event Guide'!$A$6:$C$29,2,FALSE),"Unknown event"))</x:f>
      </x:c>
      <x:c r="P272" s="42" t="str">
        <x:f>IF(A272="","",IF(COUNTIFS('Event Guide'!$A$6:$A$29,C272)=1,VLOOKUP(C272,'Event Guide'!$A$6:$C$29,3,FALSE),"Unknown event"))</x:f>
      </x:c>
      <x:c r="Q272" s="42" t="str">
        <x:f>IF(A272="","",IF(O272="PAY",E272,IF(O272="OTHER",F272,IF(O272="CAPITAL","Capital - "&amp;G272,IF(O272="DUE","Due to - "&amp;G272,IF(O272="DRAW","Drawings - "&amp;G272,O272))))))</x:f>
      </x:c>
      <x:c r="R272" s="42" t="str">
        <x:f>IF(A272="","",IF(P272="PAY",E272,IF(P272="OTHER",F272,IF(P272="CAPITAL","Capital - "&amp;G272,IF(P272="DUE","Due to - "&amp;G272,IF(P272="DRAW","Drawings - "&amp;G272,P272))))))</x:f>
      </x:c>
      <x:c r="S272" s="37" t="n">
        <x:f>IF(AND(N272="Approved",T272="OK"),D272,0)</x:f>
        <x:v>0</x:v>
      </x:c>
      <x:c r="T272" s="42" t="str">
        <x:f>IF(A272="","",IF(COUNTIFS($A$6:$A$505,A272)&lt;&gt;1,"Duplicate ID",IF(OR(NOT(ISNUMBER(B272)),D272&lt;=0,NOT(ISNUMBER(D272)),I272="",J272="",L272=""),"Missing date/amount/ref/details",IF(OR(COUNTIFS('Accounts'!$A$6:$A$105,Q272)&lt;&gt;1,COUNTIFS('Accounts'!$A$6:$A$105,R272)&lt;&gt;1,Q272=R272),"Check accounts/event",IF(AND(OR(Q272="Trade payables",R272="Trade payables",Q272="Customer receivables",R272="Customer receivables",Q272="Courier receivables",R272="Courier receivables",Q272="Supplier advances",R272="Supplier advances"),H272=""),"Contact ID required",IF(AND(N272="Approved",OR(M272="",M272=L272)),"Independent review needed",IF(OR(N272="Draft",N272="Approved",N272="Void"),"OK","Status required")))))))</x:f>
      </x:c>
    </x:row>
    <x:row r="273" ht="23" customHeight="1">
      <x:c r="A273" s="36"/>
      <x:c r="B273" s="40"/>
      <x:c r="C273" s="36"/>
      <x:c r="D273" s="41"/>
      <x:c r="E273" s="36"/>
      <x:c r="F273" s="36"/>
      <x:c r="G273" s="36"/>
      <x:c r="H273" s="36"/>
      <x:c r="I273" s="36"/>
      <x:c r="J273" s="36"/>
      <x:c r="K273" s="36"/>
      <x:c r="L273" s="36"/>
      <x:c r="M273" s="36"/>
      <x:c r="N273" s="36"/>
      <x:c r="O273" s="42" t="str">
        <x:f>IF(A273="","",IF(COUNTIFS('Event Guide'!$A$6:$A$29,C273)=1,VLOOKUP(C273,'Event Guide'!$A$6:$C$29,2,FALSE),"Unknown event"))</x:f>
      </x:c>
      <x:c r="P273" s="42" t="str">
        <x:f>IF(A273="","",IF(COUNTIFS('Event Guide'!$A$6:$A$29,C273)=1,VLOOKUP(C273,'Event Guide'!$A$6:$C$29,3,FALSE),"Unknown event"))</x:f>
      </x:c>
      <x:c r="Q273" s="42" t="str">
        <x:f>IF(A273="","",IF(O273="PAY",E273,IF(O273="OTHER",F273,IF(O273="CAPITAL","Capital - "&amp;G273,IF(O273="DUE","Due to - "&amp;G273,IF(O273="DRAW","Drawings - "&amp;G273,O273))))))</x:f>
      </x:c>
      <x:c r="R273" s="42" t="str">
        <x:f>IF(A273="","",IF(P273="PAY",E273,IF(P273="OTHER",F273,IF(P273="CAPITAL","Capital - "&amp;G273,IF(P273="DUE","Due to - "&amp;G273,IF(P273="DRAW","Drawings - "&amp;G273,P273))))))</x:f>
      </x:c>
      <x:c r="S273" s="37" t="n">
        <x:f>IF(AND(N273="Approved",T273="OK"),D273,0)</x:f>
        <x:v>0</x:v>
      </x:c>
      <x:c r="T273" s="42" t="str">
        <x:f>IF(A273="","",IF(COUNTIFS($A$6:$A$505,A273)&lt;&gt;1,"Duplicate ID",IF(OR(NOT(ISNUMBER(B273)),D273&lt;=0,NOT(ISNUMBER(D273)),I273="",J273="",L273=""),"Missing date/amount/ref/details",IF(OR(COUNTIFS('Accounts'!$A$6:$A$105,Q273)&lt;&gt;1,COUNTIFS('Accounts'!$A$6:$A$105,R273)&lt;&gt;1,Q273=R273),"Check accounts/event",IF(AND(OR(Q273="Trade payables",R273="Trade payables",Q273="Customer receivables",R273="Customer receivables",Q273="Courier receivables",R273="Courier receivables",Q273="Supplier advances",R273="Supplier advances"),H273=""),"Contact ID required",IF(AND(N273="Approved",OR(M273="",M273=L273)),"Independent review needed",IF(OR(N273="Draft",N273="Approved",N273="Void"),"OK","Status required")))))))</x:f>
      </x:c>
    </x:row>
    <x:row r="274" ht="23" customHeight="1">
      <x:c r="A274" s="36"/>
      <x:c r="B274" s="40"/>
      <x:c r="C274" s="36"/>
      <x:c r="D274" s="41"/>
      <x:c r="E274" s="36"/>
      <x:c r="F274" s="36"/>
      <x:c r="G274" s="36"/>
      <x:c r="H274" s="36"/>
      <x:c r="I274" s="36"/>
      <x:c r="J274" s="36"/>
      <x:c r="K274" s="36"/>
      <x:c r="L274" s="36"/>
      <x:c r="M274" s="36"/>
      <x:c r="N274" s="36"/>
      <x:c r="O274" s="42" t="str">
        <x:f>IF(A274="","",IF(COUNTIFS('Event Guide'!$A$6:$A$29,C274)=1,VLOOKUP(C274,'Event Guide'!$A$6:$C$29,2,FALSE),"Unknown event"))</x:f>
      </x:c>
      <x:c r="P274" s="42" t="str">
        <x:f>IF(A274="","",IF(COUNTIFS('Event Guide'!$A$6:$A$29,C274)=1,VLOOKUP(C274,'Event Guide'!$A$6:$C$29,3,FALSE),"Unknown event"))</x:f>
      </x:c>
      <x:c r="Q274" s="42" t="str">
        <x:f>IF(A274="","",IF(O274="PAY",E274,IF(O274="OTHER",F274,IF(O274="CAPITAL","Capital - "&amp;G274,IF(O274="DUE","Due to - "&amp;G274,IF(O274="DRAW","Drawings - "&amp;G274,O274))))))</x:f>
      </x:c>
      <x:c r="R274" s="42" t="str">
        <x:f>IF(A274="","",IF(P274="PAY",E274,IF(P274="OTHER",F274,IF(P274="CAPITAL","Capital - "&amp;G274,IF(P274="DUE","Due to - "&amp;G274,IF(P274="DRAW","Drawings - "&amp;G274,P274))))))</x:f>
      </x:c>
      <x:c r="S274" s="37" t="n">
        <x:f>IF(AND(N274="Approved",T274="OK"),D274,0)</x:f>
        <x:v>0</x:v>
      </x:c>
      <x:c r="T274" s="42" t="str">
        <x:f>IF(A274="","",IF(COUNTIFS($A$6:$A$505,A274)&lt;&gt;1,"Duplicate ID",IF(OR(NOT(ISNUMBER(B274)),D274&lt;=0,NOT(ISNUMBER(D274)),I274="",J274="",L274=""),"Missing date/amount/ref/details",IF(OR(COUNTIFS('Accounts'!$A$6:$A$105,Q274)&lt;&gt;1,COUNTIFS('Accounts'!$A$6:$A$105,R274)&lt;&gt;1,Q274=R274),"Check accounts/event",IF(AND(OR(Q274="Trade payables",R274="Trade payables",Q274="Customer receivables",R274="Customer receivables",Q274="Courier receivables",R274="Courier receivables",Q274="Supplier advances",R274="Supplier advances"),H274=""),"Contact ID required",IF(AND(N274="Approved",OR(M274="",M274=L274)),"Independent review needed",IF(OR(N274="Draft",N274="Approved",N274="Void"),"OK","Status required")))))))</x:f>
      </x:c>
    </x:row>
    <x:row r="275" ht="23" customHeight="1">
      <x:c r="A275" s="36"/>
      <x:c r="B275" s="40"/>
      <x:c r="C275" s="36"/>
      <x:c r="D275" s="41"/>
      <x:c r="E275" s="36"/>
      <x:c r="F275" s="36"/>
      <x:c r="G275" s="36"/>
      <x:c r="H275" s="36"/>
      <x:c r="I275" s="36"/>
      <x:c r="J275" s="36"/>
      <x:c r="K275" s="36"/>
      <x:c r="L275" s="36"/>
      <x:c r="M275" s="36"/>
      <x:c r="N275" s="36"/>
      <x:c r="O275" s="42" t="str">
        <x:f>IF(A275="","",IF(COUNTIFS('Event Guide'!$A$6:$A$29,C275)=1,VLOOKUP(C275,'Event Guide'!$A$6:$C$29,2,FALSE),"Unknown event"))</x:f>
      </x:c>
      <x:c r="P275" s="42" t="str">
        <x:f>IF(A275="","",IF(COUNTIFS('Event Guide'!$A$6:$A$29,C275)=1,VLOOKUP(C275,'Event Guide'!$A$6:$C$29,3,FALSE),"Unknown event"))</x:f>
      </x:c>
      <x:c r="Q275" s="42" t="str">
        <x:f>IF(A275="","",IF(O275="PAY",E275,IF(O275="OTHER",F275,IF(O275="CAPITAL","Capital - "&amp;G275,IF(O275="DUE","Due to - "&amp;G275,IF(O275="DRAW","Drawings - "&amp;G275,O275))))))</x:f>
      </x:c>
      <x:c r="R275" s="42" t="str">
        <x:f>IF(A275="","",IF(P275="PAY",E275,IF(P275="OTHER",F275,IF(P275="CAPITAL","Capital - "&amp;G275,IF(P275="DUE","Due to - "&amp;G275,IF(P275="DRAW","Drawings - "&amp;G275,P275))))))</x:f>
      </x:c>
      <x:c r="S275" s="37" t="n">
        <x:f>IF(AND(N275="Approved",T275="OK"),D275,0)</x:f>
        <x:v>0</x:v>
      </x:c>
      <x:c r="T275" s="42" t="str">
        <x:f>IF(A275="","",IF(COUNTIFS($A$6:$A$505,A275)&lt;&gt;1,"Duplicate ID",IF(OR(NOT(ISNUMBER(B275)),D275&lt;=0,NOT(ISNUMBER(D275)),I275="",J275="",L275=""),"Missing date/amount/ref/details",IF(OR(COUNTIFS('Accounts'!$A$6:$A$105,Q275)&lt;&gt;1,COUNTIFS('Accounts'!$A$6:$A$105,R275)&lt;&gt;1,Q275=R275),"Check accounts/event",IF(AND(OR(Q275="Trade payables",R275="Trade payables",Q275="Customer receivables",R275="Customer receivables",Q275="Courier receivables",R275="Courier receivables",Q275="Supplier advances",R275="Supplier advances"),H275=""),"Contact ID required",IF(AND(N275="Approved",OR(M275="",M275=L275)),"Independent review needed",IF(OR(N275="Draft",N275="Approved",N275="Void"),"OK","Status required")))))))</x:f>
      </x:c>
    </x:row>
    <x:row r="276" ht="23" customHeight="1">
      <x:c r="A276" s="36"/>
      <x:c r="B276" s="40"/>
      <x:c r="C276" s="36"/>
      <x:c r="D276" s="41"/>
      <x:c r="E276" s="36"/>
      <x:c r="F276" s="36"/>
      <x:c r="G276" s="36"/>
      <x:c r="H276" s="36"/>
      <x:c r="I276" s="36"/>
      <x:c r="J276" s="36"/>
      <x:c r="K276" s="36"/>
      <x:c r="L276" s="36"/>
      <x:c r="M276" s="36"/>
      <x:c r="N276" s="36"/>
      <x:c r="O276" s="42" t="str">
        <x:f>IF(A276="","",IF(COUNTIFS('Event Guide'!$A$6:$A$29,C276)=1,VLOOKUP(C276,'Event Guide'!$A$6:$C$29,2,FALSE),"Unknown event"))</x:f>
      </x:c>
      <x:c r="P276" s="42" t="str">
        <x:f>IF(A276="","",IF(COUNTIFS('Event Guide'!$A$6:$A$29,C276)=1,VLOOKUP(C276,'Event Guide'!$A$6:$C$29,3,FALSE),"Unknown event"))</x:f>
      </x:c>
      <x:c r="Q276" s="42" t="str">
        <x:f>IF(A276="","",IF(O276="PAY",E276,IF(O276="OTHER",F276,IF(O276="CAPITAL","Capital - "&amp;G276,IF(O276="DUE","Due to - "&amp;G276,IF(O276="DRAW","Drawings - "&amp;G276,O276))))))</x:f>
      </x:c>
      <x:c r="R276" s="42" t="str">
        <x:f>IF(A276="","",IF(P276="PAY",E276,IF(P276="OTHER",F276,IF(P276="CAPITAL","Capital - "&amp;G276,IF(P276="DUE","Due to - "&amp;G276,IF(P276="DRAW","Drawings - "&amp;G276,P276))))))</x:f>
      </x:c>
      <x:c r="S276" s="37" t="n">
        <x:f>IF(AND(N276="Approved",T276="OK"),D276,0)</x:f>
        <x:v>0</x:v>
      </x:c>
      <x:c r="T276" s="42" t="str">
        <x:f>IF(A276="","",IF(COUNTIFS($A$6:$A$505,A276)&lt;&gt;1,"Duplicate ID",IF(OR(NOT(ISNUMBER(B276)),D276&lt;=0,NOT(ISNUMBER(D276)),I276="",J276="",L276=""),"Missing date/amount/ref/details",IF(OR(COUNTIFS('Accounts'!$A$6:$A$105,Q276)&lt;&gt;1,COUNTIFS('Accounts'!$A$6:$A$105,R276)&lt;&gt;1,Q276=R276),"Check accounts/event",IF(AND(OR(Q276="Trade payables",R276="Trade payables",Q276="Customer receivables",R276="Customer receivables",Q276="Courier receivables",R276="Courier receivables",Q276="Supplier advances",R276="Supplier advances"),H276=""),"Contact ID required",IF(AND(N276="Approved",OR(M276="",M276=L276)),"Independent review needed",IF(OR(N276="Draft",N276="Approved",N276="Void"),"OK","Status required")))))))</x:f>
      </x:c>
    </x:row>
    <x:row r="277" ht="23" customHeight="1">
      <x:c r="A277" s="36"/>
      <x:c r="B277" s="40"/>
      <x:c r="C277" s="36"/>
      <x:c r="D277" s="41"/>
      <x:c r="E277" s="36"/>
      <x:c r="F277" s="36"/>
      <x:c r="G277" s="36"/>
      <x:c r="H277" s="36"/>
      <x:c r="I277" s="36"/>
      <x:c r="J277" s="36"/>
      <x:c r="K277" s="36"/>
      <x:c r="L277" s="36"/>
      <x:c r="M277" s="36"/>
      <x:c r="N277" s="36"/>
      <x:c r="O277" s="42" t="str">
        <x:f>IF(A277="","",IF(COUNTIFS('Event Guide'!$A$6:$A$29,C277)=1,VLOOKUP(C277,'Event Guide'!$A$6:$C$29,2,FALSE),"Unknown event"))</x:f>
      </x:c>
      <x:c r="P277" s="42" t="str">
        <x:f>IF(A277="","",IF(COUNTIFS('Event Guide'!$A$6:$A$29,C277)=1,VLOOKUP(C277,'Event Guide'!$A$6:$C$29,3,FALSE),"Unknown event"))</x:f>
      </x:c>
      <x:c r="Q277" s="42" t="str">
        <x:f>IF(A277="","",IF(O277="PAY",E277,IF(O277="OTHER",F277,IF(O277="CAPITAL","Capital - "&amp;G277,IF(O277="DUE","Due to - "&amp;G277,IF(O277="DRAW","Drawings - "&amp;G277,O277))))))</x:f>
      </x:c>
      <x:c r="R277" s="42" t="str">
        <x:f>IF(A277="","",IF(P277="PAY",E277,IF(P277="OTHER",F277,IF(P277="CAPITAL","Capital - "&amp;G277,IF(P277="DUE","Due to - "&amp;G277,IF(P277="DRAW","Drawings - "&amp;G277,P277))))))</x:f>
      </x:c>
      <x:c r="S277" s="37" t="n">
        <x:f>IF(AND(N277="Approved",T277="OK"),D277,0)</x:f>
        <x:v>0</x:v>
      </x:c>
      <x:c r="T277" s="42" t="str">
        <x:f>IF(A277="","",IF(COUNTIFS($A$6:$A$505,A277)&lt;&gt;1,"Duplicate ID",IF(OR(NOT(ISNUMBER(B277)),D277&lt;=0,NOT(ISNUMBER(D277)),I277="",J277="",L277=""),"Missing date/amount/ref/details",IF(OR(COUNTIFS('Accounts'!$A$6:$A$105,Q277)&lt;&gt;1,COUNTIFS('Accounts'!$A$6:$A$105,R277)&lt;&gt;1,Q277=R277),"Check accounts/event",IF(AND(OR(Q277="Trade payables",R277="Trade payables",Q277="Customer receivables",R277="Customer receivables",Q277="Courier receivables",R277="Courier receivables",Q277="Supplier advances",R277="Supplier advances"),H277=""),"Contact ID required",IF(AND(N277="Approved",OR(M277="",M277=L277)),"Independent review needed",IF(OR(N277="Draft",N277="Approved",N277="Void"),"OK","Status required")))))))</x:f>
      </x:c>
    </x:row>
    <x:row r="278" ht="23" customHeight="1">
      <x:c r="A278" s="36"/>
      <x:c r="B278" s="40"/>
      <x:c r="C278" s="36"/>
      <x:c r="D278" s="41"/>
      <x:c r="E278" s="36"/>
      <x:c r="F278" s="36"/>
      <x:c r="G278" s="36"/>
      <x:c r="H278" s="36"/>
      <x:c r="I278" s="36"/>
      <x:c r="J278" s="36"/>
      <x:c r="K278" s="36"/>
      <x:c r="L278" s="36"/>
      <x:c r="M278" s="36"/>
      <x:c r="N278" s="36"/>
      <x:c r="O278" s="42" t="str">
        <x:f>IF(A278="","",IF(COUNTIFS('Event Guide'!$A$6:$A$29,C278)=1,VLOOKUP(C278,'Event Guide'!$A$6:$C$29,2,FALSE),"Unknown event"))</x:f>
      </x:c>
      <x:c r="P278" s="42" t="str">
        <x:f>IF(A278="","",IF(COUNTIFS('Event Guide'!$A$6:$A$29,C278)=1,VLOOKUP(C278,'Event Guide'!$A$6:$C$29,3,FALSE),"Unknown event"))</x:f>
      </x:c>
      <x:c r="Q278" s="42" t="str">
        <x:f>IF(A278="","",IF(O278="PAY",E278,IF(O278="OTHER",F278,IF(O278="CAPITAL","Capital - "&amp;G278,IF(O278="DUE","Due to - "&amp;G278,IF(O278="DRAW","Drawings - "&amp;G278,O278))))))</x:f>
      </x:c>
      <x:c r="R278" s="42" t="str">
        <x:f>IF(A278="","",IF(P278="PAY",E278,IF(P278="OTHER",F278,IF(P278="CAPITAL","Capital - "&amp;G278,IF(P278="DUE","Due to - "&amp;G278,IF(P278="DRAW","Drawings - "&amp;G278,P278))))))</x:f>
      </x:c>
      <x:c r="S278" s="37" t="n">
        <x:f>IF(AND(N278="Approved",T278="OK"),D278,0)</x:f>
        <x:v>0</x:v>
      </x:c>
      <x:c r="T278" s="42" t="str">
        <x:f>IF(A278="","",IF(COUNTIFS($A$6:$A$505,A278)&lt;&gt;1,"Duplicate ID",IF(OR(NOT(ISNUMBER(B278)),D278&lt;=0,NOT(ISNUMBER(D278)),I278="",J278="",L278=""),"Missing date/amount/ref/details",IF(OR(COUNTIFS('Accounts'!$A$6:$A$105,Q278)&lt;&gt;1,COUNTIFS('Accounts'!$A$6:$A$105,R278)&lt;&gt;1,Q278=R278),"Check accounts/event",IF(AND(OR(Q278="Trade payables",R278="Trade payables",Q278="Customer receivables",R278="Customer receivables",Q278="Courier receivables",R278="Courier receivables",Q278="Supplier advances",R278="Supplier advances"),H278=""),"Contact ID required",IF(AND(N278="Approved",OR(M278="",M278=L278)),"Independent review needed",IF(OR(N278="Draft",N278="Approved",N278="Void"),"OK","Status required")))))))</x:f>
      </x:c>
    </x:row>
    <x:row r="279" ht="23" customHeight="1">
      <x:c r="A279" s="36"/>
      <x:c r="B279" s="40"/>
      <x:c r="C279" s="36"/>
      <x:c r="D279" s="41"/>
      <x:c r="E279" s="36"/>
      <x:c r="F279" s="36"/>
      <x:c r="G279" s="36"/>
      <x:c r="H279" s="36"/>
      <x:c r="I279" s="36"/>
      <x:c r="J279" s="36"/>
      <x:c r="K279" s="36"/>
      <x:c r="L279" s="36"/>
      <x:c r="M279" s="36"/>
      <x:c r="N279" s="36"/>
      <x:c r="O279" s="42" t="str">
        <x:f>IF(A279="","",IF(COUNTIFS('Event Guide'!$A$6:$A$29,C279)=1,VLOOKUP(C279,'Event Guide'!$A$6:$C$29,2,FALSE),"Unknown event"))</x:f>
      </x:c>
      <x:c r="P279" s="42" t="str">
        <x:f>IF(A279="","",IF(COUNTIFS('Event Guide'!$A$6:$A$29,C279)=1,VLOOKUP(C279,'Event Guide'!$A$6:$C$29,3,FALSE),"Unknown event"))</x:f>
      </x:c>
      <x:c r="Q279" s="42" t="str">
        <x:f>IF(A279="","",IF(O279="PAY",E279,IF(O279="OTHER",F279,IF(O279="CAPITAL","Capital - "&amp;G279,IF(O279="DUE","Due to - "&amp;G279,IF(O279="DRAW","Drawings - "&amp;G279,O279))))))</x:f>
      </x:c>
      <x:c r="R279" s="42" t="str">
        <x:f>IF(A279="","",IF(P279="PAY",E279,IF(P279="OTHER",F279,IF(P279="CAPITAL","Capital - "&amp;G279,IF(P279="DUE","Due to - "&amp;G279,IF(P279="DRAW","Drawings - "&amp;G279,P279))))))</x:f>
      </x:c>
      <x:c r="S279" s="37" t="n">
        <x:f>IF(AND(N279="Approved",T279="OK"),D279,0)</x:f>
        <x:v>0</x:v>
      </x:c>
      <x:c r="T279" s="42" t="str">
        <x:f>IF(A279="","",IF(COUNTIFS($A$6:$A$505,A279)&lt;&gt;1,"Duplicate ID",IF(OR(NOT(ISNUMBER(B279)),D279&lt;=0,NOT(ISNUMBER(D279)),I279="",J279="",L279=""),"Missing date/amount/ref/details",IF(OR(COUNTIFS('Accounts'!$A$6:$A$105,Q279)&lt;&gt;1,COUNTIFS('Accounts'!$A$6:$A$105,R279)&lt;&gt;1,Q279=R279),"Check accounts/event",IF(AND(OR(Q279="Trade payables",R279="Trade payables",Q279="Customer receivables",R279="Customer receivables",Q279="Courier receivables",R279="Courier receivables",Q279="Supplier advances",R279="Supplier advances"),H279=""),"Contact ID required",IF(AND(N279="Approved",OR(M279="",M279=L279)),"Independent review needed",IF(OR(N279="Draft",N279="Approved",N279="Void"),"OK","Status required")))))))</x:f>
      </x:c>
    </x:row>
    <x:row r="280" ht="23" customHeight="1">
      <x:c r="A280" s="36"/>
      <x:c r="B280" s="40"/>
      <x:c r="C280" s="36"/>
      <x:c r="D280" s="41"/>
      <x:c r="E280" s="36"/>
      <x:c r="F280" s="36"/>
      <x:c r="G280" s="36"/>
      <x:c r="H280" s="36"/>
      <x:c r="I280" s="36"/>
      <x:c r="J280" s="36"/>
      <x:c r="K280" s="36"/>
      <x:c r="L280" s="36"/>
      <x:c r="M280" s="36"/>
      <x:c r="N280" s="36"/>
      <x:c r="O280" s="42" t="str">
        <x:f>IF(A280="","",IF(COUNTIFS('Event Guide'!$A$6:$A$29,C280)=1,VLOOKUP(C280,'Event Guide'!$A$6:$C$29,2,FALSE),"Unknown event"))</x:f>
      </x:c>
      <x:c r="P280" s="42" t="str">
        <x:f>IF(A280="","",IF(COUNTIFS('Event Guide'!$A$6:$A$29,C280)=1,VLOOKUP(C280,'Event Guide'!$A$6:$C$29,3,FALSE),"Unknown event"))</x:f>
      </x:c>
      <x:c r="Q280" s="42" t="str">
        <x:f>IF(A280="","",IF(O280="PAY",E280,IF(O280="OTHER",F280,IF(O280="CAPITAL","Capital - "&amp;G280,IF(O280="DUE","Due to - "&amp;G280,IF(O280="DRAW","Drawings - "&amp;G280,O280))))))</x:f>
      </x:c>
      <x:c r="R280" s="42" t="str">
        <x:f>IF(A280="","",IF(P280="PAY",E280,IF(P280="OTHER",F280,IF(P280="CAPITAL","Capital - "&amp;G280,IF(P280="DUE","Due to - "&amp;G280,IF(P280="DRAW","Drawings - "&amp;G280,P280))))))</x:f>
      </x:c>
      <x:c r="S280" s="37" t="n">
        <x:f>IF(AND(N280="Approved",T280="OK"),D280,0)</x:f>
        <x:v>0</x:v>
      </x:c>
      <x:c r="T280" s="42" t="str">
        <x:f>IF(A280="","",IF(COUNTIFS($A$6:$A$505,A280)&lt;&gt;1,"Duplicate ID",IF(OR(NOT(ISNUMBER(B280)),D280&lt;=0,NOT(ISNUMBER(D280)),I280="",J280="",L280=""),"Missing date/amount/ref/details",IF(OR(COUNTIFS('Accounts'!$A$6:$A$105,Q280)&lt;&gt;1,COUNTIFS('Accounts'!$A$6:$A$105,R280)&lt;&gt;1,Q280=R280),"Check accounts/event",IF(AND(OR(Q280="Trade payables",R280="Trade payables",Q280="Customer receivables",R280="Customer receivables",Q280="Courier receivables",R280="Courier receivables",Q280="Supplier advances",R280="Supplier advances"),H280=""),"Contact ID required",IF(AND(N280="Approved",OR(M280="",M280=L280)),"Independent review needed",IF(OR(N280="Draft",N280="Approved",N280="Void"),"OK","Status required")))))))</x:f>
      </x:c>
    </x:row>
    <x:row r="281" ht="23" customHeight="1">
      <x:c r="A281" s="36"/>
      <x:c r="B281" s="40"/>
      <x:c r="C281" s="36"/>
      <x:c r="D281" s="41"/>
      <x:c r="E281" s="36"/>
      <x:c r="F281" s="36"/>
      <x:c r="G281" s="36"/>
      <x:c r="H281" s="36"/>
      <x:c r="I281" s="36"/>
      <x:c r="J281" s="36"/>
      <x:c r="K281" s="36"/>
      <x:c r="L281" s="36"/>
      <x:c r="M281" s="36"/>
      <x:c r="N281" s="36"/>
      <x:c r="O281" s="42" t="str">
        <x:f>IF(A281="","",IF(COUNTIFS('Event Guide'!$A$6:$A$29,C281)=1,VLOOKUP(C281,'Event Guide'!$A$6:$C$29,2,FALSE),"Unknown event"))</x:f>
      </x:c>
      <x:c r="P281" s="42" t="str">
        <x:f>IF(A281="","",IF(COUNTIFS('Event Guide'!$A$6:$A$29,C281)=1,VLOOKUP(C281,'Event Guide'!$A$6:$C$29,3,FALSE),"Unknown event"))</x:f>
      </x:c>
      <x:c r="Q281" s="42" t="str">
        <x:f>IF(A281="","",IF(O281="PAY",E281,IF(O281="OTHER",F281,IF(O281="CAPITAL","Capital - "&amp;G281,IF(O281="DUE","Due to - "&amp;G281,IF(O281="DRAW","Drawings - "&amp;G281,O281))))))</x:f>
      </x:c>
      <x:c r="R281" s="42" t="str">
        <x:f>IF(A281="","",IF(P281="PAY",E281,IF(P281="OTHER",F281,IF(P281="CAPITAL","Capital - "&amp;G281,IF(P281="DUE","Due to - "&amp;G281,IF(P281="DRAW","Drawings - "&amp;G281,P281))))))</x:f>
      </x:c>
      <x:c r="S281" s="37" t="n">
        <x:f>IF(AND(N281="Approved",T281="OK"),D281,0)</x:f>
        <x:v>0</x:v>
      </x:c>
      <x:c r="T281" s="42" t="str">
        <x:f>IF(A281="","",IF(COUNTIFS($A$6:$A$505,A281)&lt;&gt;1,"Duplicate ID",IF(OR(NOT(ISNUMBER(B281)),D281&lt;=0,NOT(ISNUMBER(D281)),I281="",J281="",L281=""),"Missing date/amount/ref/details",IF(OR(COUNTIFS('Accounts'!$A$6:$A$105,Q281)&lt;&gt;1,COUNTIFS('Accounts'!$A$6:$A$105,R281)&lt;&gt;1,Q281=R281),"Check accounts/event",IF(AND(OR(Q281="Trade payables",R281="Trade payables",Q281="Customer receivables",R281="Customer receivables",Q281="Courier receivables",R281="Courier receivables",Q281="Supplier advances",R281="Supplier advances"),H281=""),"Contact ID required",IF(AND(N281="Approved",OR(M281="",M281=L281)),"Independent review needed",IF(OR(N281="Draft",N281="Approved",N281="Void"),"OK","Status required")))))))</x:f>
      </x:c>
    </x:row>
    <x:row r="282" ht="23" customHeight="1">
      <x:c r="A282" s="36"/>
      <x:c r="B282" s="40"/>
      <x:c r="C282" s="36"/>
      <x:c r="D282" s="41"/>
      <x:c r="E282" s="36"/>
      <x:c r="F282" s="36"/>
      <x:c r="G282" s="36"/>
      <x:c r="H282" s="36"/>
      <x:c r="I282" s="36"/>
      <x:c r="J282" s="36"/>
      <x:c r="K282" s="36"/>
      <x:c r="L282" s="36"/>
      <x:c r="M282" s="36"/>
      <x:c r="N282" s="36"/>
      <x:c r="O282" s="42" t="str">
        <x:f>IF(A282="","",IF(COUNTIFS('Event Guide'!$A$6:$A$29,C282)=1,VLOOKUP(C282,'Event Guide'!$A$6:$C$29,2,FALSE),"Unknown event"))</x:f>
      </x:c>
      <x:c r="P282" s="42" t="str">
        <x:f>IF(A282="","",IF(COUNTIFS('Event Guide'!$A$6:$A$29,C282)=1,VLOOKUP(C282,'Event Guide'!$A$6:$C$29,3,FALSE),"Unknown event"))</x:f>
      </x:c>
      <x:c r="Q282" s="42" t="str">
        <x:f>IF(A282="","",IF(O282="PAY",E282,IF(O282="OTHER",F282,IF(O282="CAPITAL","Capital - "&amp;G282,IF(O282="DUE","Due to - "&amp;G282,IF(O282="DRAW","Drawings - "&amp;G282,O282))))))</x:f>
      </x:c>
      <x:c r="R282" s="42" t="str">
        <x:f>IF(A282="","",IF(P282="PAY",E282,IF(P282="OTHER",F282,IF(P282="CAPITAL","Capital - "&amp;G282,IF(P282="DUE","Due to - "&amp;G282,IF(P282="DRAW","Drawings - "&amp;G282,P282))))))</x:f>
      </x:c>
      <x:c r="S282" s="37" t="n">
        <x:f>IF(AND(N282="Approved",T282="OK"),D282,0)</x:f>
        <x:v>0</x:v>
      </x:c>
      <x:c r="T282" s="42" t="str">
        <x:f>IF(A282="","",IF(COUNTIFS($A$6:$A$505,A282)&lt;&gt;1,"Duplicate ID",IF(OR(NOT(ISNUMBER(B282)),D282&lt;=0,NOT(ISNUMBER(D282)),I282="",J282="",L282=""),"Missing date/amount/ref/details",IF(OR(COUNTIFS('Accounts'!$A$6:$A$105,Q282)&lt;&gt;1,COUNTIFS('Accounts'!$A$6:$A$105,R282)&lt;&gt;1,Q282=R282),"Check accounts/event",IF(AND(OR(Q282="Trade payables",R282="Trade payables",Q282="Customer receivables",R282="Customer receivables",Q282="Courier receivables",R282="Courier receivables",Q282="Supplier advances",R282="Supplier advances"),H282=""),"Contact ID required",IF(AND(N282="Approved",OR(M282="",M282=L282)),"Independent review needed",IF(OR(N282="Draft",N282="Approved",N282="Void"),"OK","Status required")))))))</x:f>
      </x:c>
    </x:row>
    <x:row r="283" ht="23" customHeight="1">
      <x:c r="A283" s="36"/>
      <x:c r="B283" s="40"/>
      <x:c r="C283" s="36"/>
      <x:c r="D283" s="41"/>
      <x:c r="E283" s="36"/>
      <x:c r="F283" s="36"/>
      <x:c r="G283" s="36"/>
      <x:c r="H283" s="36"/>
      <x:c r="I283" s="36"/>
      <x:c r="J283" s="36"/>
      <x:c r="K283" s="36"/>
      <x:c r="L283" s="36"/>
      <x:c r="M283" s="36"/>
      <x:c r="N283" s="36"/>
      <x:c r="O283" s="42" t="str">
        <x:f>IF(A283="","",IF(COUNTIFS('Event Guide'!$A$6:$A$29,C283)=1,VLOOKUP(C283,'Event Guide'!$A$6:$C$29,2,FALSE),"Unknown event"))</x:f>
      </x:c>
      <x:c r="P283" s="42" t="str">
        <x:f>IF(A283="","",IF(COUNTIFS('Event Guide'!$A$6:$A$29,C283)=1,VLOOKUP(C283,'Event Guide'!$A$6:$C$29,3,FALSE),"Unknown event"))</x:f>
      </x:c>
      <x:c r="Q283" s="42" t="str">
        <x:f>IF(A283="","",IF(O283="PAY",E283,IF(O283="OTHER",F283,IF(O283="CAPITAL","Capital - "&amp;G283,IF(O283="DUE","Due to - "&amp;G283,IF(O283="DRAW","Drawings - "&amp;G283,O283))))))</x:f>
      </x:c>
      <x:c r="R283" s="42" t="str">
        <x:f>IF(A283="","",IF(P283="PAY",E283,IF(P283="OTHER",F283,IF(P283="CAPITAL","Capital - "&amp;G283,IF(P283="DUE","Due to - "&amp;G283,IF(P283="DRAW","Drawings - "&amp;G283,P283))))))</x:f>
      </x:c>
      <x:c r="S283" s="37" t="n">
        <x:f>IF(AND(N283="Approved",T283="OK"),D283,0)</x:f>
        <x:v>0</x:v>
      </x:c>
      <x:c r="T283" s="42" t="str">
        <x:f>IF(A283="","",IF(COUNTIFS($A$6:$A$505,A283)&lt;&gt;1,"Duplicate ID",IF(OR(NOT(ISNUMBER(B283)),D283&lt;=0,NOT(ISNUMBER(D283)),I283="",J283="",L283=""),"Missing date/amount/ref/details",IF(OR(COUNTIFS('Accounts'!$A$6:$A$105,Q283)&lt;&gt;1,COUNTIFS('Accounts'!$A$6:$A$105,R283)&lt;&gt;1,Q283=R283),"Check accounts/event",IF(AND(OR(Q283="Trade payables",R283="Trade payables",Q283="Customer receivables",R283="Customer receivables",Q283="Courier receivables",R283="Courier receivables",Q283="Supplier advances",R283="Supplier advances"),H283=""),"Contact ID required",IF(AND(N283="Approved",OR(M283="",M283=L283)),"Independent review needed",IF(OR(N283="Draft",N283="Approved",N283="Void"),"OK","Status required")))))))</x:f>
      </x:c>
    </x:row>
    <x:row r="284" ht="23" customHeight="1">
      <x:c r="A284" s="36"/>
      <x:c r="B284" s="40"/>
      <x:c r="C284" s="36"/>
      <x:c r="D284" s="41"/>
      <x:c r="E284" s="36"/>
      <x:c r="F284" s="36"/>
      <x:c r="G284" s="36"/>
      <x:c r="H284" s="36"/>
      <x:c r="I284" s="36"/>
      <x:c r="J284" s="36"/>
      <x:c r="K284" s="36"/>
      <x:c r="L284" s="36"/>
      <x:c r="M284" s="36"/>
      <x:c r="N284" s="36"/>
      <x:c r="O284" s="42" t="str">
        <x:f>IF(A284="","",IF(COUNTIFS('Event Guide'!$A$6:$A$29,C284)=1,VLOOKUP(C284,'Event Guide'!$A$6:$C$29,2,FALSE),"Unknown event"))</x:f>
      </x:c>
      <x:c r="P284" s="42" t="str">
        <x:f>IF(A284="","",IF(COUNTIFS('Event Guide'!$A$6:$A$29,C284)=1,VLOOKUP(C284,'Event Guide'!$A$6:$C$29,3,FALSE),"Unknown event"))</x:f>
      </x:c>
      <x:c r="Q284" s="42" t="str">
        <x:f>IF(A284="","",IF(O284="PAY",E284,IF(O284="OTHER",F284,IF(O284="CAPITAL","Capital - "&amp;G284,IF(O284="DUE","Due to - "&amp;G284,IF(O284="DRAW","Drawings - "&amp;G284,O284))))))</x:f>
      </x:c>
      <x:c r="R284" s="42" t="str">
        <x:f>IF(A284="","",IF(P284="PAY",E284,IF(P284="OTHER",F284,IF(P284="CAPITAL","Capital - "&amp;G284,IF(P284="DUE","Due to - "&amp;G284,IF(P284="DRAW","Drawings - "&amp;G284,P284))))))</x:f>
      </x:c>
      <x:c r="S284" s="37" t="n">
        <x:f>IF(AND(N284="Approved",T284="OK"),D284,0)</x:f>
        <x:v>0</x:v>
      </x:c>
      <x:c r="T284" s="42" t="str">
        <x:f>IF(A284="","",IF(COUNTIFS($A$6:$A$505,A284)&lt;&gt;1,"Duplicate ID",IF(OR(NOT(ISNUMBER(B284)),D284&lt;=0,NOT(ISNUMBER(D284)),I284="",J284="",L284=""),"Missing date/amount/ref/details",IF(OR(COUNTIFS('Accounts'!$A$6:$A$105,Q284)&lt;&gt;1,COUNTIFS('Accounts'!$A$6:$A$105,R284)&lt;&gt;1,Q284=R284),"Check accounts/event",IF(AND(OR(Q284="Trade payables",R284="Trade payables",Q284="Customer receivables",R284="Customer receivables",Q284="Courier receivables",R284="Courier receivables",Q284="Supplier advances",R284="Supplier advances"),H284=""),"Contact ID required",IF(AND(N284="Approved",OR(M284="",M284=L284)),"Independent review needed",IF(OR(N284="Draft",N284="Approved",N284="Void"),"OK","Status required")))))))</x:f>
      </x:c>
    </x:row>
    <x:row r="285" ht="23" customHeight="1">
      <x:c r="A285" s="36"/>
      <x:c r="B285" s="40"/>
      <x:c r="C285" s="36"/>
      <x:c r="D285" s="41"/>
      <x:c r="E285" s="36"/>
      <x:c r="F285" s="36"/>
      <x:c r="G285" s="36"/>
      <x:c r="H285" s="36"/>
      <x:c r="I285" s="36"/>
      <x:c r="J285" s="36"/>
      <x:c r="K285" s="36"/>
      <x:c r="L285" s="36"/>
      <x:c r="M285" s="36"/>
      <x:c r="N285" s="36"/>
      <x:c r="O285" s="42" t="str">
        <x:f>IF(A285="","",IF(COUNTIFS('Event Guide'!$A$6:$A$29,C285)=1,VLOOKUP(C285,'Event Guide'!$A$6:$C$29,2,FALSE),"Unknown event"))</x:f>
      </x:c>
      <x:c r="P285" s="42" t="str">
        <x:f>IF(A285="","",IF(COUNTIFS('Event Guide'!$A$6:$A$29,C285)=1,VLOOKUP(C285,'Event Guide'!$A$6:$C$29,3,FALSE),"Unknown event"))</x:f>
      </x:c>
      <x:c r="Q285" s="42" t="str">
        <x:f>IF(A285="","",IF(O285="PAY",E285,IF(O285="OTHER",F285,IF(O285="CAPITAL","Capital - "&amp;G285,IF(O285="DUE","Due to - "&amp;G285,IF(O285="DRAW","Drawings - "&amp;G285,O285))))))</x:f>
      </x:c>
      <x:c r="R285" s="42" t="str">
        <x:f>IF(A285="","",IF(P285="PAY",E285,IF(P285="OTHER",F285,IF(P285="CAPITAL","Capital - "&amp;G285,IF(P285="DUE","Due to - "&amp;G285,IF(P285="DRAW","Drawings - "&amp;G285,P285))))))</x:f>
      </x:c>
      <x:c r="S285" s="37" t="n">
        <x:f>IF(AND(N285="Approved",T285="OK"),D285,0)</x:f>
        <x:v>0</x:v>
      </x:c>
      <x:c r="T285" s="42" t="str">
        <x:f>IF(A285="","",IF(COUNTIFS($A$6:$A$505,A285)&lt;&gt;1,"Duplicate ID",IF(OR(NOT(ISNUMBER(B285)),D285&lt;=0,NOT(ISNUMBER(D285)),I285="",J285="",L285=""),"Missing date/amount/ref/details",IF(OR(COUNTIFS('Accounts'!$A$6:$A$105,Q285)&lt;&gt;1,COUNTIFS('Accounts'!$A$6:$A$105,R285)&lt;&gt;1,Q285=R285),"Check accounts/event",IF(AND(OR(Q285="Trade payables",R285="Trade payables",Q285="Customer receivables",R285="Customer receivables",Q285="Courier receivables",R285="Courier receivables",Q285="Supplier advances",R285="Supplier advances"),H285=""),"Contact ID required",IF(AND(N285="Approved",OR(M285="",M285=L285)),"Independent review needed",IF(OR(N285="Draft",N285="Approved",N285="Void"),"OK","Status required")))))))</x:f>
      </x:c>
    </x:row>
    <x:row r="286" ht="23" customHeight="1">
      <x:c r="A286" s="36"/>
      <x:c r="B286" s="40"/>
      <x:c r="C286" s="36"/>
      <x:c r="D286" s="41"/>
      <x:c r="E286" s="36"/>
      <x:c r="F286" s="36"/>
      <x:c r="G286" s="36"/>
      <x:c r="H286" s="36"/>
      <x:c r="I286" s="36"/>
      <x:c r="J286" s="36"/>
      <x:c r="K286" s="36"/>
      <x:c r="L286" s="36"/>
      <x:c r="M286" s="36"/>
      <x:c r="N286" s="36"/>
      <x:c r="O286" s="42" t="str">
        <x:f>IF(A286="","",IF(COUNTIFS('Event Guide'!$A$6:$A$29,C286)=1,VLOOKUP(C286,'Event Guide'!$A$6:$C$29,2,FALSE),"Unknown event"))</x:f>
      </x:c>
      <x:c r="P286" s="42" t="str">
        <x:f>IF(A286="","",IF(COUNTIFS('Event Guide'!$A$6:$A$29,C286)=1,VLOOKUP(C286,'Event Guide'!$A$6:$C$29,3,FALSE),"Unknown event"))</x:f>
      </x:c>
      <x:c r="Q286" s="42" t="str">
        <x:f>IF(A286="","",IF(O286="PAY",E286,IF(O286="OTHER",F286,IF(O286="CAPITAL","Capital - "&amp;G286,IF(O286="DUE","Due to - "&amp;G286,IF(O286="DRAW","Drawings - "&amp;G286,O286))))))</x:f>
      </x:c>
      <x:c r="R286" s="42" t="str">
        <x:f>IF(A286="","",IF(P286="PAY",E286,IF(P286="OTHER",F286,IF(P286="CAPITAL","Capital - "&amp;G286,IF(P286="DUE","Due to - "&amp;G286,IF(P286="DRAW","Drawings - "&amp;G286,P286))))))</x:f>
      </x:c>
      <x:c r="S286" s="37" t="n">
        <x:f>IF(AND(N286="Approved",T286="OK"),D286,0)</x:f>
        <x:v>0</x:v>
      </x:c>
      <x:c r="T286" s="42" t="str">
        <x:f>IF(A286="","",IF(COUNTIFS($A$6:$A$505,A286)&lt;&gt;1,"Duplicate ID",IF(OR(NOT(ISNUMBER(B286)),D286&lt;=0,NOT(ISNUMBER(D286)),I286="",J286="",L286=""),"Missing date/amount/ref/details",IF(OR(COUNTIFS('Accounts'!$A$6:$A$105,Q286)&lt;&gt;1,COUNTIFS('Accounts'!$A$6:$A$105,R286)&lt;&gt;1,Q286=R286),"Check accounts/event",IF(AND(OR(Q286="Trade payables",R286="Trade payables",Q286="Customer receivables",R286="Customer receivables",Q286="Courier receivables",R286="Courier receivables",Q286="Supplier advances",R286="Supplier advances"),H286=""),"Contact ID required",IF(AND(N286="Approved",OR(M286="",M286=L286)),"Independent review needed",IF(OR(N286="Draft",N286="Approved",N286="Void"),"OK","Status required")))))))</x:f>
      </x:c>
    </x:row>
    <x:row r="287" ht="23" customHeight="1">
      <x:c r="A287" s="36"/>
      <x:c r="B287" s="40"/>
      <x:c r="C287" s="36"/>
      <x:c r="D287" s="41"/>
      <x:c r="E287" s="36"/>
      <x:c r="F287" s="36"/>
      <x:c r="G287" s="36"/>
      <x:c r="H287" s="36"/>
      <x:c r="I287" s="36"/>
      <x:c r="J287" s="36"/>
      <x:c r="K287" s="36"/>
      <x:c r="L287" s="36"/>
      <x:c r="M287" s="36"/>
      <x:c r="N287" s="36"/>
      <x:c r="O287" s="42" t="str">
        <x:f>IF(A287="","",IF(COUNTIFS('Event Guide'!$A$6:$A$29,C287)=1,VLOOKUP(C287,'Event Guide'!$A$6:$C$29,2,FALSE),"Unknown event"))</x:f>
      </x:c>
      <x:c r="P287" s="42" t="str">
        <x:f>IF(A287="","",IF(COUNTIFS('Event Guide'!$A$6:$A$29,C287)=1,VLOOKUP(C287,'Event Guide'!$A$6:$C$29,3,FALSE),"Unknown event"))</x:f>
      </x:c>
      <x:c r="Q287" s="42" t="str">
        <x:f>IF(A287="","",IF(O287="PAY",E287,IF(O287="OTHER",F287,IF(O287="CAPITAL","Capital - "&amp;G287,IF(O287="DUE","Due to - "&amp;G287,IF(O287="DRAW","Drawings - "&amp;G287,O287))))))</x:f>
      </x:c>
      <x:c r="R287" s="42" t="str">
        <x:f>IF(A287="","",IF(P287="PAY",E287,IF(P287="OTHER",F287,IF(P287="CAPITAL","Capital - "&amp;G287,IF(P287="DUE","Due to - "&amp;G287,IF(P287="DRAW","Drawings - "&amp;G287,P287))))))</x:f>
      </x:c>
      <x:c r="S287" s="37" t="n">
        <x:f>IF(AND(N287="Approved",T287="OK"),D287,0)</x:f>
        <x:v>0</x:v>
      </x:c>
      <x:c r="T287" s="42" t="str">
        <x:f>IF(A287="","",IF(COUNTIFS($A$6:$A$505,A287)&lt;&gt;1,"Duplicate ID",IF(OR(NOT(ISNUMBER(B287)),D287&lt;=0,NOT(ISNUMBER(D287)),I287="",J287="",L287=""),"Missing date/amount/ref/details",IF(OR(COUNTIFS('Accounts'!$A$6:$A$105,Q287)&lt;&gt;1,COUNTIFS('Accounts'!$A$6:$A$105,R287)&lt;&gt;1,Q287=R287),"Check accounts/event",IF(AND(OR(Q287="Trade payables",R287="Trade payables",Q287="Customer receivables",R287="Customer receivables",Q287="Courier receivables",R287="Courier receivables",Q287="Supplier advances",R287="Supplier advances"),H287=""),"Contact ID required",IF(AND(N287="Approved",OR(M287="",M287=L287)),"Independent review needed",IF(OR(N287="Draft",N287="Approved",N287="Void"),"OK","Status required")))))))</x:f>
      </x:c>
    </x:row>
    <x:row r="288" ht="23" customHeight="1">
      <x:c r="A288" s="36"/>
      <x:c r="B288" s="40"/>
      <x:c r="C288" s="36"/>
      <x:c r="D288" s="41"/>
      <x:c r="E288" s="36"/>
      <x:c r="F288" s="36"/>
      <x:c r="G288" s="36"/>
      <x:c r="H288" s="36"/>
      <x:c r="I288" s="36"/>
      <x:c r="J288" s="36"/>
      <x:c r="K288" s="36"/>
      <x:c r="L288" s="36"/>
      <x:c r="M288" s="36"/>
      <x:c r="N288" s="36"/>
      <x:c r="O288" s="42" t="str">
        <x:f>IF(A288="","",IF(COUNTIFS('Event Guide'!$A$6:$A$29,C288)=1,VLOOKUP(C288,'Event Guide'!$A$6:$C$29,2,FALSE),"Unknown event"))</x:f>
      </x:c>
      <x:c r="P288" s="42" t="str">
        <x:f>IF(A288="","",IF(COUNTIFS('Event Guide'!$A$6:$A$29,C288)=1,VLOOKUP(C288,'Event Guide'!$A$6:$C$29,3,FALSE),"Unknown event"))</x:f>
      </x:c>
      <x:c r="Q288" s="42" t="str">
        <x:f>IF(A288="","",IF(O288="PAY",E288,IF(O288="OTHER",F288,IF(O288="CAPITAL","Capital - "&amp;G288,IF(O288="DUE","Due to - "&amp;G288,IF(O288="DRAW","Drawings - "&amp;G288,O288))))))</x:f>
      </x:c>
      <x:c r="R288" s="42" t="str">
        <x:f>IF(A288="","",IF(P288="PAY",E288,IF(P288="OTHER",F288,IF(P288="CAPITAL","Capital - "&amp;G288,IF(P288="DUE","Due to - "&amp;G288,IF(P288="DRAW","Drawings - "&amp;G288,P288))))))</x:f>
      </x:c>
      <x:c r="S288" s="37" t="n">
        <x:f>IF(AND(N288="Approved",T288="OK"),D288,0)</x:f>
        <x:v>0</x:v>
      </x:c>
      <x:c r="T288" s="42" t="str">
        <x:f>IF(A288="","",IF(COUNTIFS($A$6:$A$505,A288)&lt;&gt;1,"Duplicate ID",IF(OR(NOT(ISNUMBER(B288)),D288&lt;=0,NOT(ISNUMBER(D288)),I288="",J288="",L288=""),"Missing date/amount/ref/details",IF(OR(COUNTIFS('Accounts'!$A$6:$A$105,Q288)&lt;&gt;1,COUNTIFS('Accounts'!$A$6:$A$105,R288)&lt;&gt;1,Q288=R288),"Check accounts/event",IF(AND(OR(Q288="Trade payables",R288="Trade payables",Q288="Customer receivables",R288="Customer receivables",Q288="Courier receivables",R288="Courier receivables",Q288="Supplier advances",R288="Supplier advances"),H288=""),"Contact ID required",IF(AND(N288="Approved",OR(M288="",M288=L288)),"Independent review needed",IF(OR(N288="Draft",N288="Approved",N288="Void"),"OK","Status required")))))))</x:f>
      </x:c>
    </x:row>
    <x:row r="289" ht="23" customHeight="1">
      <x:c r="A289" s="36"/>
      <x:c r="B289" s="40"/>
      <x:c r="C289" s="36"/>
      <x:c r="D289" s="41"/>
      <x:c r="E289" s="36"/>
      <x:c r="F289" s="36"/>
      <x:c r="G289" s="36"/>
      <x:c r="H289" s="36"/>
      <x:c r="I289" s="36"/>
      <x:c r="J289" s="36"/>
      <x:c r="K289" s="36"/>
      <x:c r="L289" s="36"/>
      <x:c r="M289" s="36"/>
      <x:c r="N289" s="36"/>
      <x:c r="O289" s="42" t="str">
        <x:f>IF(A289="","",IF(COUNTIFS('Event Guide'!$A$6:$A$29,C289)=1,VLOOKUP(C289,'Event Guide'!$A$6:$C$29,2,FALSE),"Unknown event"))</x:f>
      </x:c>
      <x:c r="P289" s="42" t="str">
        <x:f>IF(A289="","",IF(COUNTIFS('Event Guide'!$A$6:$A$29,C289)=1,VLOOKUP(C289,'Event Guide'!$A$6:$C$29,3,FALSE),"Unknown event"))</x:f>
      </x:c>
      <x:c r="Q289" s="42" t="str">
        <x:f>IF(A289="","",IF(O289="PAY",E289,IF(O289="OTHER",F289,IF(O289="CAPITAL","Capital - "&amp;G289,IF(O289="DUE","Due to - "&amp;G289,IF(O289="DRAW","Drawings - "&amp;G289,O289))))))</x:f>
      </x:c>
      <x:c r="R289" s="42" t="str">
        <x:f>IF(A289="","",IF(P289="PAY",E289,IF(P289="OTHER",F289,IF(P289="CAPITAL","Capital - "&amp;G289,IF(P289="DUE","Due to - "&amp;G289,IF(P289="DRAW","Drawings - "&amp;G289,P289))))))</x:f>
      </x:c>
      <x:c r="S289" s="37" t="n">
        <x:f>IF(AND(N289="Approved",T289="OK"),D289,0)</x:f>
        <x:v>0</x:v>
      </x:c>
      <x:c r="T289" s="42" t="str">
        <x:f>IF(A289="","",IF(COUNTIFS($A$6:$A$505,A289)&lt;&gt;1,"Duplicate ID",IF(OR(NOT(ISNUMBER(B289)),D289&lt;=0,NOT(ISNUMBER(D289)),I289="",J289="",L289=""),"Missing date/amount/ref/details",IF(OR(COUNTIFS('Accounts'!$A$6:$A$105,Q289)&lt;&gt;1,COUNTIFS('Accounts'!$A$6:$A$105,R289)&lt;&gt;1,Q289=R289),"Check accounts/event",IF(AND(OR(Q289="Trade payables",R289="Trade payables",Q289="Customer receivables",R289="Customer receivables",Q289="Courier receivables",R289="Courier receivables",Q289="Supplier advances",R289="Supplier advances"),H289=""),"Contact ID required",IF(AND(N289="Approved",OR(M289="",M289=L289)),"Independent review needed",IF(OR(N289="Draft",N289="Approved",N289="Void"),"OK","Status required")))))))</x:f>
      </x:c>
    </x:row>
    <x:row r="290" ht="23" customHeight="1">
      <x:c r="A290" s="36"/>
      <x:c r="B290" s="40"/>
      <x:c r="C290" s="36"/>
      <x:c r="D290" s="41"/>
      <x:c r="E290" s="36"/>
      <x:c r="F290" s="36"/>
      <x:c r="G290" s="36"/>
      <x:c r="H290" s="36"/>
      <x:c r="I290" s="36"/>
      <x:c r="J290" s="36"/>
      <x:c r="K290" s="36"/>
      <x:c r="L290" s="36"/>
      <x:c r="M290" s="36"/>
      <x:c r="N290" s="36"/>
      <x:c r="O290" s="42" t="str">
        <x:f>IF(A290="","",IF(COUNTIFS('Event Guide'!$A$6:$A$29,C290)=1,VLOOKUP(C290,'Event Guide'!$A$6:$C$29,2,FALSE),"Unknown event"))</x:f>
      </x:c>
      <x:c r="P290" s="42" t="str">
        <x:f>IF(A290="","",IF(COUNTIFS('Event Guide'!$A$6:$A$29,C290)=1,VLOOKUP(C290,'Event Guide'!$A$6:$C$29,3,FALSE),"Unknown event"))</x:f>
      </x:c>
      <x:c r="Q290" s="42" t="str">
        <x:f>IF(A290="","",IF(O290="PAY",E290,IF(O290="OTHER",F290,IF(O290="CAPITAL","Capital - "&amp;G290,IF(O290="DUE","Due to - "&amp;G290,IF(O290="DRAW","Drawings - "&amp;G290,O290))))))</x:f>
      </x:c>
      <x:c r="R290" s="42" t="str">
        <x:f>IF(A290="","",IF(P290="PAY",E290,IF(P290="OTHER",F290,IF(P290="CAPITAL","Capital - "&amp;G290,IF(P290="DUE","Due to - "&amp;G290,IF(P290="DRAW","Drawings - "&amp;G290,P290))))))</x:f>
      </x:c>
      <x:c r="S290" s="37" t="n">
        <x:f>IF(AND(N290="Approved",T290="OK"),D290,0)</x:f>
        <x:v>0</x:v>
      </x:c>
      <x:c r="T290" s="42" t="str">
        <x:f>IF(A290="","",IF(COUNTIFS($A$6:$A$505,A290)&lt;&gt;1,"Duplicate ID",IF(OR(NOT(ISNUMBER(B290)),D290&lt;=0,NOT(ISNUMBER(D290)),I290="",J290="",L290=""),"Missing date/amount/ref/details",IF(OR(COUNTIFS('Accounts'!$A$6:$A$105,Q290)&lt;&gt;1,COUNTIFS('Accounts'!$A$6:$A$105,R290)&lt;&gt;1,Q290=R290),"Check accounts/event",IF(AND(OR(Q290="Trade payables",R290="Trade payables",Q290="Customer receivables",R290="Customer receivables",Q290="Courier receivables",R290="Courier receivables",Q290="Supplier advances",R290="Supplier advances"),H290=""),"Contact ID required",IF(AND(N290="Approved",OR(M290="",M290=L290)),"Independent review needed",IF(OR(N290="Draft",N290="Approved",N290="Void"),"OK","Status required")))))))</x:f>
      </x:c>
    </x:row>
    <x:row r="291" ht="23" customHeight="1">
      <x:c r="A291" s="36"/>
      <x:c r="B291" s="40"/>
      <x:c r="C291" s="36"/>
      <x:c r="D291" s="41"/>
      <x:c r="E291" s="36"/>
      <x:c r="F291" s="36"/>
      <x:c r="G291" s="36"/>
      <x:c r="H291" s="36"/>
      <x:c r="I291" s="36"/>
      <x:c r="J291" s="36"/>
      <x:c r="K291" s="36"/>
      <x:c r="L291" s="36"/>
      <x:c r="M291" s="36"/>
      <x:c r="N291" s="36"/>
      <x:c r="O291" s="42" t="str">
        <x:f>IF(A291="","",IF(COUNTIFS('Event Guide'!$A$6:$A$29,C291)=1,VLOOKUP(C291,'Event Guide'!$A$6:$C$29,2,FALSE),"Unknown event"))</x:f>
      </x:c>
      <x:c r="P291" s="42" t="str">
        <x:f>IF(A291="","",IF(COUNTIFS('Event Guide'!$A$6:$A$29,C291)=1,VLOOKUP(C291,'Event Guide'!$A$6:$C$29,3,FALSE),"Unknown event"))</x:f>
      </x:c>
      <x:c r="Q291" s="42" t="str">
        <x:f>IF(A291="","",IF(O291="PAY",E291,IF(O291="OTHER",F291,IF(O291="CAPITAL","Capital - "&amp;G291,IF(O291="DUE","Due to - "&amp;G291,IF(O291="DRAW","Drawings - "&amp;G291,O291))))))</x:f>
      </x:c>
      <x:c r="R291" s="42" t="str">
        <x:f>IF(A291="","",IF(P291="PAY",E291,IF(P291="OTHER",F291,IF(P291="CAPITAL","Capital - "&amp;G291,IF(P291="DUE","Due to - "&amp;G291,IF(P291="DRAW","Drawings - "&amp;G291,P291))))))</x:f>
      </x:c>
      <x:c r="S291" s="37" t="n">
        <x:f>IF(AND(N291="Approved",T291="OK"),D291,0)</x:f>
        <x:v>0</x:v>
      </x:c>
      <x:c r="T291" s="42" t="str">
        <x:f>IF(A291="","",IF(COUNTIFS($A$6:$A$505,A291)&lt;&gt;1,"Duplicate ID",IF(OR(NOT(ISNUMBER(B291)),D291&lt;=0,NOT(ISNUMBER(D291)),I291="",J291="",L291=""),"Missing date/amount/ref/details",IF(OR(COUNTIFS('Accounts'!$A$6:$A$105,Q291)&lt;&gt;1,COUNTIFS('Accounts'!$A$6:$A$105,R291)&lt;&gt;1,Q291=R291),"Check accounts/event",IF(AND(OR(Q291="Trade payables",R291="Trade payables",Q291="Customer receivables",R291="Customer receivables",Q291="Courier receivables",R291="Courier receivables",Q291="Supplier advances",R291="Supplier advances"),H291=""),"Contact ID required",IF(AND(N291="Approved",OR(M291="",M291=L291)),"Independent review needed",IF(OR(N291="Draft",N291="Approved",N291="Void"),"OK","Status required")))))))</x:f>
      </x:c>
    </x:row>
    <x:row r="292" ht="23" customHeight="1">
      <x:c r="A292" s="36"/>
      <x:c r="B292" s="40"/>
      <x:c r="C292" s="36"/>
      <x:c r="D292" s="41"/>
      <x:c r="E292" s="36"/>
      <x:c r="F292" s="36"/>
      <x:c r="G292" s="36"/>
      <x:c r="H292" s="36"/>
      <x:c r="I292" s="36"/>
      <x:c r="J292" s="36"/>
      <x:c r="K292" s="36"/>
      <x:c r="L292" s="36"/>
      <x:c r="M292" s="36"/>
      <x:c r="N292" s="36"/>
      <x:c r="O292" s="42" t="str">
        <x:f>IF(A292="","",IF(COUNTIFS('Event Guide'!$A$6:$A$29,C292)=1,VLOOKUP(C292,'Event Guide'!$A$6:$C$29,2,FALSE),"Unknown event"))</x:f>
      </x:c>
      <x:c r="P292" s="42" t="str">
        <x:f>IF(A292="","",IF(COUNTIFS('Event Guide'!$A$6:$A$29,C292)=1,VLOOKUP(C292,'Event Guide'!$A$6:$C$29,3,FALSE),"Unknown event"))</x:f>
      </x:c>
      <x:c r="Q292" s="42" t="str">
        <x:f>IF(A292="","",IF(O292="PAY",E292,IF(O292="OTHER",F292,IF(O292="CAPITAL","Capital - "&amp;G292,IF(O292="DUE","Due to - "&amp;G292,IF(O292="DRAW","Drawings - "&amp;G292,O292))))))</x:f>
      </x:c>
      <x:c r="R292" s="42" t="str">
        <x:f>IF(A292="","",IF(P292="PAY",E292,IF(P292="OTHER",F292,IF(P292="CAPITAL","Capital - "&amp;G292,IF(P292="DUE","Due to - "&amp;G292,IF(P292="DRAW","Drawings - "&amp;G292,P292))))))</x:f>
      </x:c>
      <x:c r="S292" s="37" t="n">
        <x:f>IF(AND(N292="Approved",T292="OK"),D292,0)</x:f>
        <x:v>0</x:v>
      </x:c>
      <x:c r="T292" s="42" t="str">
        <x:f>IF(A292="","",IF(COUNTIFS($A$6:$A$505,A292)&lt;&gt;1,"Duplicate ID",IF(OR(NOT(ISNUMBER(B292)),D292&lt;=0,NOT(ISNUMBER(D292)),I292="",J292="",L292=""),"Missing date/amount/ref/details",IF(OR(COUNTIFS('Accounts'!$A$6:$A$105,Q292)&lt;&gt;1,COUNTIFS('Accounts'!$A$6:$A$105,R292)&lt;&gt;1,Q292=R292),"Check accounts/event",IF(AND(OR(Q292="Trade payables",R292="Trade payables",Q292="Customer receivables",R292="Customer receivables",Q292="Courier receivables",R292="Courier receivables",Q292="Supplier advances",R292="Supplier advances"),H292=""),"Contact ID required",IF(AND(N292="Approved",OR(M292="",M292=L292)),"Independent review needed",IF(OR(N292="Draft",N292="Approved",N292="Void"),"OK","Status required")))))))</x:f>
      </x:c>
    </x:row>
    <x:row r="293" ht="23" customHeight="1">
      <x:c r="A293" s="36"/>
      <x:c r="B293" s="40"/>
      <x:c r="C293" s="36"/>
      <x:c r="D293" s="41"/>
      <x:c r="E293" s="36"/>
      <x:c r="F293" s="36"/>
      <x:c r="G293" s="36"/>
      <x:c r="H293" s="36"/>
      <x:c r="I293" s="36"/>
      <x:c r="J293" s="36"/>
      <x:c r="K293" s="36"/>
      <x:c r="L293" s="36"/>
      <x:c r="M293" s="36"/>
      <x:c r="N293" s="36"/>
      <x:c r="O293" s="42" t="str">
        <x:f>IF(A293="","",IF(COUNTIFS('Event Guide'!$A$6:$A$29,C293)=1,VLOOKUP(C293,'Event Guide'!$A$6:$C$29,2,FALSE),"Unknown event"))</x:f>
      </x:c>
      <x:c r="P293" s="42" t="str">
        <x:f>IF(A293="","",IF(COUNTIFS('Event Guide'!$A$6:$A$29,C293)=1,VLOOKUP(C293,'Event Guide'!$A$6:$C$29,3,FALSE),"Unknown event"))</x:f>
      </x:c>
      <x:c r="Q293" s="42" t="str">
        <x:f>IF(A293="","",IF(O293="PAY",E293,IF(O293="OTHER",F293,IF(O293="CAPITAL","Capital - "&amp;G293,IF(O293="DUE","Due to - "&amp;G293,IF(O293="DRAW","Drawings - "&amp;G293,O293))))))</x:f>
      </x:c>
      <x:c r="R293" s="42" t="str">
        <x:f>IF(A293="","",IF(P293="PAY",E293,IF(P293="OTHER",F293,IF(P293="CAPITAL","Capital - "&amp;G293,IF(P293="DUE","Due to - "&amp;G293,IF(P293="DRAW","Drawings - "&amp;G293,P293))))))</x:f>
      </x:c>
      <x:c r="S293" s="37" t="n">
        <x:f>IF(AND(N293="Approved",T293="OK"),D293,0)</x:f>
        <x:v>0</x:v>
      </x:c>
      <x:c r="T293" s="42" t="str">
        <x:f>IF(A293="","",IF(COUNTIFS($A$6:$A$505,A293)&lt;&gt;1,"Duplicate ID",IF(OR(NOT(ISNUMBER(B293)),D293&lt;=0,NOT(ISNUMBER(D293)),I293="",J293="",L293=""),"Missing date/amount/ref/details",IF(OR(COUNTIFS('Accounts'!$A$6:$A$105,Q293)&lt;&gt;1,COUNTIFS('Accounts'!$A$6:$A$105,R293)&lt;&gt;1,Q293=R293),"Check accounts/event",IF(AND(OR(Q293="Trade payables",R293="Trade payables",Q293="Customer receivables",R293="Customer receivables",Q293="Courier receivables",R293="Courier receivables",Q293="Supplier advances",R293="Supplier advances"),H293=""),"Contact ID required",IF(AND(N293="Approved",OR(M293="",M293=L293)),"Independent review needed",IF(OR(N293="Draft",N293="Approved",N293="Void"),"OK","Status required")))))))</x:f>
      </x:c>
    </x:row>
    <x:row r="294" ht="23" customHeight="1">
      <x:c r="A294" s="36"/>
      <x:c r="B294" s="40"/>
      <x:c r="C294" s="36"/>
      <x:c r="D294" s="41"/>
      <x:c r="E294" s="36"/>
      <x:c r="F294" s="36"/>
      <x:c r="G294" s="36"/>
      <x:c r="H294" s="36"/>
      <x:c r="I294" s="36"/>
      <x:c r="J294" s="36"/>
      <x:c r="K294" s="36"/>
      <x:c r="L294" s="36"/>
      <x:c r="M294" s="36"/>
      <x:c r="N294" s="36"/>
      <x:c r="O294" s="42" t="str">
        <x:f>IF(A294="","",IF(COUNTIFS('Event Guide'!$A$6:$A$29,C294)=1,VLOOKUP(C294,'Event Guide'!$A$6:$C$29,2,FALSE),"Unknown event"))</x:f>
      </x:c>
      <x:c r="P294" s="42" t="str">
        <x:f>IF(A294="","",IF(COUNTIFS('Event Guide'!$A$6:$A$29,C294)=1,VLOOKUP(C294,'Event Guide'!$A$6:$C$29,3,FALSE),"Unknown event"))</x:f>
      </x:c>
      <x:c r="Q294" s="42" t="str">
        <x:f>IF(A294="","",IF(O294="PAY",E294,IF(O294="OTHER",F294,IF(O294="CAPITAL","Capital - "&amp;G294,IF(O294="DUE","Due to - "&amp;G294,IF(O294="DRAW","Drawings - "&amp;G294,O294))))))</x:f>
      </x:c>
      <x:c r="R294" s="42" t="str">
        <x:f>IF(A294="","",IF(P294="PAY",E294,IF(P294="OTHER",F294,IF(P294="CAPITAL","Capital - "&amp;G294,IF(P294="DUE","Due to - "&amp;G294,IF(P294="DRAW","Drawings - "&amp;G294,P294))))))</x:f>
      </x:c>
      <x:c r="S294" s="37" t="n">
        <x:f>IF(AND(N294="Approved",T294="OK"),D294,0)</x:f>
        <x:v>0</x:v>
      </x:c>
      <x:c r="T294" s="42" t="str">
        <x:f>IF(A294="","",IF(COUNTIFS($A$6:$A$505,A294)&lt;&gt;1,"Duplicate ID",IF(OR(NOT(ISNUMBER(B294)),D294&lt;=0,NOT(ISNUMBER(D294)),I294="",J294="",L294=""),"Missing date/amount/ref/details",IF(OR(COUNTIFS('Accounts'!$A$6:$A$105,Q294)&lt;&gt;1,COUNTIFS('Accounts'!$A$6:$A$105,R294)&lt;&gt;1,Q294=R294),"Check accounts/event",IF(AND(OR(Q294="Trade payables",R294="Trade payables",Q294="Customer receivables",R294="Customer receivables",Q294="Courier receivables",R294="Courier receivables",Q294="Supplier advances",R294="Supplier advances"),H294=""),"Contact ID required",IF(AND(N294="Approved",OR(M294="",M294=L294)),"Independent review needed",IF(OR(N294="Draft",N294="Approved",N294="Void"),"OK","Status required")))))))</x:f>
      </x:c>
    </x:row>
    <x:row r="295" ht="23" customHeight="1">
      <x:c r="A295" s="36"/>
      <x:c r="B295" s="40"/>
      <x:c r="C295" s="36"/>
      <x:c r="D295" s="41"/>
      <x:c r="E295" s="36"/>
      <x:c r="F295" s="36"/>
      <x:c r="G295" s="36"/>
      <x:c r="H295" s="36"/>
      <x:c r="I295" s="36"/>
      <x:c r="J295" s="36"/>
      <x:c r="K295" s="36"/>
      <x:c r="L295" s="36"/>
      <x:c r="M295" s="36"/>
      <x:c r="N295" s="36"/>
      <x:c r="O295" s="42" t="str">
        <x:f>IF(A295="","",IF(COUNTIFS('Event Guide'!$A$6:$A$29,C295)=1,VLOOKUP(C295,'Event Guide'!$A$6:$C$29,2,FALSE),"Unknown event"))</x:f>
      </x:c>
      <x:c r="P295" s="42" t="str">
        <x:f>IF(A295="","",IF(COUNTIFS('Event Guide'!$A$6:$A$29,C295)=1,VLOOKUP(C295,'Event Guide'!$A$6:$C$29,3,FALSE),"Unknown event"))</x:f>
      </x:c>
      <x:c r="Q295" s="42" t="str">
        <x:f>IF(A295="","",IF(O295="PAY",E295,IF(O295="OTHER",F295,IF(O295="CAPITAL","Capital - "&amp;G295,IF(O295="DUE","Due to - "&amp;G295,IF(O295="DRAW","Drawings - "&amp;G295,O295))))))</x:f>
      </x:c>
      <x:c r="R295" s="42" t="str">
        <x:f>IF(A295="","",IF(P295="PAY",E295,IF(P295="OTHER",F295,IF(P295="CAPITAL","Capital - "&amp;G295,IF(P295="DUE","Due to - "&amp;G295,IF(P295="DRAW","Drawings - "&amp;G295,P295))))))</x:f>
      </x:c>
      <x:c r="S295" s="37" t="n">
        <x:f>IF(AND(N295="Approved",T295="OK"),D295,0)</x:f>
        <x:v>0</x:v>
      </x:c>
      <x:c r="T295" s="42" t="str">
        <x:f>IF(A295="","",IF(COUNTIFS($A$6:$A$505,A295)&lt;&gt;1,"Duplicate ID",IF(OR(NOT(ISNUMBER(B295)),D295&lt;=0,NOT(ISNUMBER(D295)),I295="",J295="",L295=""),"Missing date/amount/ref/details",IF(OR(COUNTIFS('Accounts'!$A$6:$A$105,Q295)&lt;&gt;1,COUNTIFS('Accounts'!$A$6:$A$105,R295)&lt;&gt;1,Q295=R295),"Check accounts/event",IF(AND(OR(Q295="Trade payables",R295="Trade payables",Q295="Customer receivables",R295="Customer receivables",Q295="Courier receivables",R295="Courier receivables",Q295="Supplier advances",R295="Supplier advances"),H295=""),"Contact ID required",IF(AND(N295="Approved",OR(M295="",M295=L295)),"Independent review needed",IF(OR(N295="Draft",N295="Approved",N295="Void"),"OK","Status required")))))))</x:f>
      </x:c>
    </x:row>
    <x:row r="296" ht="23" customHeight="1">
      <x:c r="A296" s="36"/>
      <x:c r="B296" s="40"/>
      <x:c r="C296" s="36"/>
      <x:c r="D296" s="41"/>
      <x:c r="E296" s="36"/>
      <x:c r="F296" s="36"/>
      <x:c r="G296" s="36"/>
      <x:c r="H296" s="36"/>
      <x:c r="I296" s="36"/>
      <x:c r="J296" s="36"/>
      <x:c r="K296" s="36"/>
      <x:c r="L296" s="36"/>
      <x:c r="M296" s="36"/>
      <x:c r="N296" s="36"/>
      <x:c r="O296" s="42" t="str">
        <x:f>IF(A296="","",IF(COUNTIFS('Event Guide'!$A$6:$A$29,C296)=1,VLOOKUP(C296,'Event Guide'!$A$6:$C$29,2,FALSE),"Unknown event"))</x:f>
      </x:c>
      <x:c r="P296" s="42" t="str">
        <x:f>IF(A296="","",IF(COUNTIFS('Event Guide'!$A$6:$A$29,C296)=1,VLOOKUP(C296,'Event Guide'!$A$6:$C$29,3,FALSE),"Unknown event"))</x:f>
      </x:c>
      <x:c r="Q296" s="42" t="str">
        <x:f>IF(A296="","",IF(O296="PAY",E296,IF(O296="OTHER",F296,IF(O296="CAPITAL","Capital - "&amp;G296,IF(O296="DUE","Due to - "&amp;G296,IF(O296="DRAW","Drawings - "&amp;G296,O296))))))</x:f>
      </x:c>
      <x:c r="R296" s="42" t="str">
        <x:f>IF(A296="","",IF(P296="PAY",E296,IF(P296="OTHER",F296,IF(P296="CAPITAL","Capital - "&amp;G296,IF(P296="DUE","Due to - "&amp;G296,IF(P296="DRAW","Drawings - "&amp;G296,P296))))))</x:f>
      </x:c>
      <x:c r="S296" s="37" t="n">
        <x:f>IF(AND(N296="Approved",T296="OK"),D296,0)</x:f>
        <x:v>0</x:v>
      </x:c>
      <x:c r="T296" s="42" t="str">
        <x:f>IF(A296="","",IF(COUNTIFS($A$6:$A$505,A296)&lt;&gt;1,"Duplicate ID",IF(OR(NOT(ISNUMBER(B296)),D296&lt;=0,NOT(ISNUMBER(D296)),I296="",J296="",L296=""),"Missing date/amount/ref/details",IF(OR(COUNTIFS('Accounts'!$A$6:$A$105,Q296)&lt;&gt;1,COUNTIFS('Accounts'!$A$6:$A$105,R296)&lt;&gt;1,Q296=R296),"Check accounts/event",IF(AND(OR(Q296="Trade payables",R296="Trade payables",Q296="Customer receivables",R296="Customer receivables",Q296="Courier receivables",R296="Courier receivables",Q296="Supplier advances",R296="Supplier advances"),H296=""),"Contact ID required",IF(AND(N296="Approved",OR(M296="",M296=L296)),"Independent review needed",IF(OR(N296="Draft",N296="Approved",N296="Void"),"OK","Status required")))))))</x:f>
      </x:c>
    </x:row>
    <x:row r="297" ht="23" customHeight="1">
      <x:c r="A297" s="36"/>
      <x:c r="B297" s="40"/>
      <x:c r="C297" s="36"/>
      <x:c r="D297" s="41"/>
      <x:c r="E297" s="36"/>
      <x:c r="F297" s="36"/>
      <x:c r="G297" s="36"/>
      <x:c r="H297" s="36"/>
      <x:c r="I297" s="36"/>
      <x:c r="J297" s="36"/>
      <x:c r="K297" s="36"/>
      <x:c r="L297" s="36"/>
      <x:c r="M297" s="36"/>
      <x:c r="N297" s="36"/>
      <x:c r="O297" s="42" t="str">
        <x:f>IF(A297="","",IF(COUNTIFS('Event Guide'!$A$6:$A$29,C297)=1,VLOOKUP(C297,'Event Guide'!$A$6:$C$29,2,FALSE),"Unknown event"))</x:f>
      </x:c>
      <x:c r="P297" s="42" t="str">
        <x:f>IF(A297="","",IF(COUNTIFS('Event Guide'!$A$6:$A$29,C297)=1,VLOOKUP(C297,'Event Guide'!$A$6:$C$29,3,FALSE),"Unknown event"))</x:f>
      </x:c>
      <x:c r="Q297" s="42" t="str">
        <x:f>IF(A297="","",IF(O297="PAY",E297,IF(O297="OTHER",F297,IF(O297="CAPITAL","Capital - "&amp;G297,IF(O297="DUE","Due to - "&amp;G297,IF(O297="DRAW","Drawings - "&amp;G297,O297))))))</x:f>
      </x:c>
      <x:c r="R297" s="42" t="str">
        <x:f>IF(A297="","",IF(P297="PAY",E297,IF(P297="OTHER",F297,IF(P297="CAPITAL","Capital - "&amp;G297,IF(P297="DUE","Due to - "&amp;G297,IF(P297="DRAW","Drawings - "&amp;G297,P297))))))</x:f>
      </x:c>
      <x:c r="S297" s="37" t="n">
        <x:f>IF(AND(N297="Approved",T297="OK"),D297,0)</x:f>
        <x:v>0</x:v>
      </x:c>
      <x:c r="T297" s="42" t="str">
        <x:f>IF(A297="","",IF(COUNTIFS($A$6:$A$505,A297)&lt;&gt;1,"Duplicate ID",IF(OR(NOT(ISNUMBER(B297)),D297&lt;=0,NOT(ISNUMBER(D297)),I297="",J297="",L297=""),"Missing date/amount/ref/details",IF(OR(COUNTIFS('Accounts'!$A$6:$A$105,Q297)&lt;&gt;1,COUNTIFS('Accounts'!$A$6:$A$105,R297)&lt;&gt;1,Q297=R297),"Check accounts/event",IF(AND(OR(Q297="Trade payables",R297="Trade payables",Q297="Customer receivables",R297="Customer receivables",Q297="Courier receivables",R297="Courier receivables",Q297="Supplier advances",R297="Supplier advances"),H297=""),"Contact ID required",IF(AND(N297="Approved",OR(M297="",M297=L297)),"Independent review needed",IF(OR(N297="Draft",N297="Approved",N297="Void"),"OK","Status required")))))))</x:f>
      </x:c>
    </x:row>
    <x:row r="298" ht="23" customHeight="1">
      <x:c r="A298" s="36"/>
      <x:c r="B298" s="40"/>
      <x:c r="C298" s="36"/>
      <x:c r="D298" s="41"/>
      <x:c r="E298" s="36"/>
      <x:c r="F298" s="36"/>
      <x:c r="G298" s="36"/>
      <x:c r="H298" s="36"/>
      <x:c r="I298" s="36"/>
      <x:c r="J298" s="36"/>
      <x:c r="K298" s="36"/>
      <x:c r="L298" s="36"/>
      <x:c r="M298" s="36"/>
      <x:c r="N298" s="36"/>
      <x:c r="O298" s="42" t="str">
        <x:f>IF(A298="","",IF(COUNTIFS('Event Guide'!$A$6:$A$29,C298)=1,VLOOKUP(C298,'Event Guide'!$A$6:$C$29,2,FALSE),"Unknown event"))</x:f>
      </x:c>
      <x:c r="P298" s="42" t="str">
        <x:f>IF(A298="","",IF(COUNTIFS('Event Guide'!$A$6:$A$29,C298)=1,VLOOKUP(C298,'Event Guide'!$A$6:$C$29,3,FALSE),"Unknown event"))</x:f>
      </x:c>
      <x:c r="Q298" s="42" t="str">
        <x:f>IF(A298="","",IF(O298="PAY",E298,IF(O298="OTHER",F298,IF(O298="CAPITAL","Capital - "&amp;G298,IF(O298="DUE","Due to - "&amp;G298,IF(O298="DRAW","Drawings - "&amp;G298,O298))))))</x:f>
      </x:c>
      <x:c r="R298" s="42" t="str">
        <x:f>IF(A298="","",IF(P298="PAY",E298,IF(P298="OTHER",F298,IF(P298="CAPITAL","Capital - "&amp;G298,IF(P298="DUE","Due to - "&amp;G298,IF(P298="DRAW","Drawings - "&amp;G298,P298))))))</x:f>
      </x:c>
      <x:c r="S298" s="37" t="n">
        <x:f>IF(AND(N298="Approved",T298="OK"),D298,0)</x:f>
        <x:v>0</x:v>
      </x:c>
      <x:c r="T298" s="42" t="str">
        <x:f>IF(A298="","",IF(COUNTIFS($A$6:$A$505,A298)&lt;&gt;1,"Duplicate ID",IF(OR(NOT(ISNUMBER(B298)),D298&lt;=0,NOT(ISNUMBER(D298)),I298="",J298="",L298=""),"Missing date/amount/ref/details",IF(OR(COUNTIFS('Accounts'!$A$6:$A$105,Q298)&lt;&gt;1,COUNTIFS('Accounts'!$A$6:$A$105,R298)&lt;&gt;1,Q298=R298),"Check accounts/event",IF(AND(OR(Q298="Trade payables",R298="Trade payables",Q298="Customer receivables",R298="Customer receivables",Q298="Courier receivables",R298="Courier receivables",Q298="Supplier advances",R298="Supplier advances"),H298=""),"Contact ID required",IF(AND(N298="Approved",OR(M298="",M298=L298)),"Independent review needed",IF(OR(N298="Draft",N298="Approved",N298="Void"),"OK","Status required")))))))</x:f>
      </x:c>
    </x:row>
    <x:row r="299" ht="23" customHeight="1">
      <x:c r="A299" s="36"/>
      <x:c r="B299" s="40"/>
      <x:c r="C299" s="36"/>
      <x:c r="D299" s="41"/>
      <x:c r="E299" s="36"/>
      <x:c r="F299" s="36"/>
      <x:c r="G299" s="36"/>
      <x:c r="H299" s="36"/>
      <x:c r="I299" s="36"/>
      <x:c r="J299" s="36"/>
      <x:c r="K299" s="36"/>
      <x:c r="L299" s="36"/>
      <x:c r="M299" s="36"/>
      <x:c r="N299" s="36"/>
      <x:c r="O299" s="42" t="str">
        <x:f>IF(A299="","",IF(COUNTIFS('Event Guide'!$A$6:$A$29,C299)=1,VLOOKUP(C299,'Event Guide'!$A$6:$C$29,2,FALSE),"Unknown event"))</x:f>
      </x:c>
      <x:c r="P299" s="42" t="str">
        <x:f>IF(A299="","",IF(COUNTIFS('Event Guide'!$A$6:$A$29,C299)=1,VLOOKUP(C299,'Event Guide'!$A$6:$C$29,3,FALSE),"Unknown event"))</x:f>
      </x:c>
      <x:c r="Q299" s="42" t="str">
        <x:f>IF(A299="","",IF(O299="PAY",E299,IF(O299="OTHER",F299,IF(O299="CAPITAL","Capital - "&amp;G299,IF(O299="DUE","Due to - "&amp;G299,IF(O299="DRAW","Drawings - "&amp;G299,O299))))))</x:f>
      </x:c>
      <x:c r="R299" s="42" t="str">
        <x:f>IF(A299="","",IF(P299="PAY",E299,IF(P299="OTHER",F299,IF(P299="CAPITAL","Capital - "&amp;G299,IF(P299="DUE","Due to - "&amp;G299,IF(P299="DRAW","Drawings - "&amp;G299,P299))))))</x:f>
      </x:c>
      <x:c r="S299" s="37" t="n">
        <x:f>IF(AND(N299="Approved",T299="OK"),D299,0)</x:f>
        <x:v>0</x:v>
      </x:c>
      <x:c r="T299" s="42" t="str">
        <x:f>IF(A299="","",IF(COUNTIFS($A$6:$A$505,A299)&lt;&gt;1,"Duplicate ID",IF(OR(NOT(ISNUMBER(B299)),D299&lt;=0,NOT(ISNUMBER(D299)),I299="",J299="",L299=""),"Missing date/amount/ref/details",IF(OR(COUNTIFS('Accounts'!$A$6:$A$105,Q299)&lt;&gt;1,COUNTIFS('Accounts'!$A$6:$A$105,R299)&lt;&gt;1,Q299=R299),"Check accounts/event",IF(AND(OR(Q299="Trade payables",R299="Trade payables",Q299="Customer receivables",R299="Customer receivables",Q299="Courier receivables",R299="Courier receivables",Q299="Supplier advances",R299="Supplier advances"),H299=""),"Contact ID required",IF(AND(N299="Approved",OR(M299="",M299=L299)),"Independent review needed",IF(OR(N299="Draft",N299="Approved",N299="Void"),"OK","Status required")))))))</x:f>
      </x:c>
    </x:row>
    <x:row r="300" ht="23" customHeight="1">
      <x:c r="A300" s="36"/>
      <x:c r="B300" s="40"/>
      <x:c r="C300" s="36"/>
      <x:c r="D300" s="41"/>
      <x:c r="E300" s="36"/>
      <x:c r="F300" s="36"/>
      <x:c r="G300" s="36"/>
      <x:c r="H300" s="36"/>
      <x:c r="I300" s="36"/>
      <x:c r="J300" s="36"/>
      <x:c r="K300" s="36"/>
      <x:c r="L300" s="36"/>
      <x:c r="M300" s="36"/>
      <x:c r="N300" s="36"/>
      <x:c r="O300" s="42" t="str">
        <x:f>IF(A300="","",IF(COUNTIFS('Event Guide'!$A$6:$A$29,C300)=1,VLOOKUP(C300,'Event Guide'!$A$6:$C$29,2,FALSE),"Unknown event"))</x:f>
      </x:c>
      <x:c r="P300" s="42" t="str">
        <x:f>IF(A300="","",IF(COUNTIFS('Event Guide'!$A$6:$A$29,C300)=1,VLOOKUP(C300,'Event Guide'!$A$6:$C$29,3,FALSE),"Unknown event"))</x:f>
      </x:c>
      <x:c r="Q300" s="42" t="str">
        <x:f>IF(A300="","",IF(O300="PAY",E300,IF(O300="OTHER",F300,IF(O300="CAPITAL","Capital - "&amp;G300,IF(O300="DUE","Due to - "&amp;G300,IF(O300="DRAW","Drawings - "&amp;G300,O300))))))</x:f>
      </x:c>
      <x:c r="R300" s="42" t="str">
        <x:f>IF(A300="","",IF(P300="PAY",E300,IF(P300="OTHER",F300,IF(P300="CAPITAL","Capital - "&amp;G300,IF(P300="DUE","Due to - "&amp;G300,IF(P300="DRAW","Drawings - "&amp;G300,P300))))))</x:f>
      </x:c>
      <x:c r="S300" s="37" t="n">
        <x:f>IF(AND(N300="Approved",T300="OK"),D300,0)</x:f>
        <x:v>0</x:v>
      </x:c>
      <x:c r="T300" s="42" t="str">
        <x:f>IF(A300="","",IF(COUNTIFS($A$6:$A$505,A300)&lt;&gt;1,"Duplicate ID",IF(OR(NOT(ISNUMBER(B300)),D300&lt;=0,NOT(ISNUMBER(D300)),I300="",J300="",L300=""),"Missing date/amount/ref/details",IF(OR(COUNTIFS('Accounts'!$A$6:$A$105,Q300)&lt;&gt;1,COUNTIFS('Accounts'!$A$6:$A$105,R300)&lt;&gt;1,Q300=R300),"Check accounts/event",IF(AND(OR(Q300="Trade payables",R300="Trade payables",Q300="Customer receivables",R300="Customer receivables",Q300="Courier receivables",R300="Courier receivables",Q300="Supplier advances",R300="Supplier advances"),H300=""),"Contact ID required",IF(AND(N300="Approved",OR(M300="",M300=L300)),"Independent review needed",IF(OR(N300="Draft",N300="Approved",N300="Void"),"OK","Status required")))))))</x:f>
      </x:c>
    </x:row>
    <x:row r="301" ht="23" customHeight="1">
      <x:c r="A301" s="36"/>
      <x:c r="B301" s="40"/>
      <x:c r="C301" s="36"/>
      <x:c r="D301" s="41"/>
      <x:c r="E301" s="36"/>
      <x:c r="F301" s="36"/>
      <x:c r="G301" s="36"/>
      <x:c r="H301" s="36"/>
      <x:c r="I301" s="36"/>
      <x:c r="J301" s="36"/>
      <x:c r="K301" s="36"/>
      <x:c r="L301" s="36"/>
      <x:c r="M301" s="36"/>
      <x:c r="N301" s="36"/>
      <x:c r="O301" s="42" t="str">
        <x:f>IF(A301="","",IF(COUNTIFS('Event Guide'!$A$6:$A$29,C301)=1,VLOOKUP(C301,'Event Guide'!$A$6:$C$29,2,FALSE),"Unknown event"))</x:f>
      </x:c>
      <x:c r="P301" s="42" t="str">
        <x:f>IF(A301="","",IF(COUNTIFS('Event Guide'!$A$6:$A$29,C301)=1,VLOOKUP(C301,'Event Guide'!$A$6:$C$29,3,FALSE),"Unknown event"))</x:f>
      </x:c>
      <x:c r="Q301" s="42" t="str">
        <x:f>IF(A301="","",IF(O301="PAY",E301,IF(O301="OTHER",F301,IF(O301="CAPITAL","Capital - "&amp;G301,IF(O301="DUE","Due to - "&amp;G301,IF(O301="DRAW","Drawings - "&amp;G301,O301))))))</x:f>
      </x:c>
      <x:c r="R301" s="42" t="str">
        <x:f>IF(A301="","",IF(P301="PAY",E301,IF(P301="OTHER",F301,IF(P301="CAPITAL","Capital - "&amp;G301,IF(P301="DUE","Due to - "&amp;G301,IF(P301="DRAW","Drawings - "&amp;G301,P301))))))</x:f>
      </x:c>
      <x:c r="S301" s="37" t="n">
        <x:f>IF(AND(N301="Approved",T301="OK"),D301,0)</x:f>
        <x:v>0</x:v>
      </x:c>
      <x:c r="T301" s="42" t="str">
        <x:f>IF(A301="","",IF(COUNTIFS($A$6:$A$505,A301)&lt;&gt;1,"Duplicate ID",IF(OR(NOT(ISNUMBER(B301)),D301&lt;=0,NOT(ISNUMBER(D301)),I301="",J301="",L301=""),"Missing date/amount/ref/details",IF(OR(COUNTIFS('Accounts'!$A$6:$A$105,Q301)&lt;&gt;1,COUNTIFS('Accounts'!$A$6:$A$105,R301)&lt;&gt;1,Q301=R301),"Check accounts/event",IF(AND(OR(Q301="Trade payables",R301="Trade payables",Q301="Customer receivables",R301="Customer receivables",Q301="Courier receivables",R301="Courier receivables",Q301="Supplier advances",R301="Supplier advances"),H301=""),"Contact ID required",IF(AND(N301="Approved",OR(M301="",M301=L301)),"Independent review needed",IF(OR(N301="Draft",N301="Approved",N301="Void"),"OK","Status required")))))))</x:f>
      </x:c>
    </x:row>
    <x:row r="302" ht="23" customHeight="1">
      <x:c r="A302" s="36"/>
      <x:c r="B302" s="40"/>
      <x:c r="C302" s="36"/>
      <x:c r="D302" s="41"/>
      <x:c r="E302" s="36"/>
      <x:c r="F302" s="36"/>
      <x:c r="G302" s="36"/>
      <x:c r="H302" s="36"/>
      <x:c r="I302" s="36"/>
      <x:c r="J302" s="36"/>
      <x:c r="K302" s="36"/>
      <x:c r="L302" s="36"/>
      <x:c r="M302" s="36"/>
      <x:c r="N302" s="36"/>
      <x:c r="O302" s="42" t="str">
        <x:f>IF(A302="","",IF(COUNTIFS('Event Guide'!$A$6:$A$29,C302)=1,VLOOKUP(C302,'Event Guide'!$A$6:$C$29,2,FALSE),"Unknown event"))</x:f>
      </x:c>
      <x:c r="P302" s="42" t="str">
        <x:f>IF(A302="","",IF(COUNTIFS('Event Guide'!$A$6:$A$29,C302)=1,VLOOKUP(C302,'Event Guide'!$A$6:$C$29,3,FALSE),"Unknown event"))</x:f>
      </x:c>
      <x:c r="Q302" s="42" t="str">
        <x:f>IF(A302="","",IF(O302="PAY",E302,IF(O302="OTHER",F302,IF(O302="CAPITAL","Capital - "&amp;G302,IF(O302="DUE","Due to - "&amp;G302,IF(O302="DRAW","Drawings - "&amp;G302,O302))))))</x:f>
      </x:c>
      <x:c r="R302" s="42" t="str">
        <x:f>IF(A302="","",IF(P302="PAY",E302,IF(P302="OTHER",F302,IF(P302="CAPITAL","Capital - "&amp;G302,IF(P302="DUE","Due to - "&amp;G302,IF(P302="DRAW","Drawings - "&amp;G302,P302))))))</x:f>
      </x:c>
      <x:c r="S302" s="37" t="n">
        <x:f>IF(AND(N302="Approved",T302="OK"),D302,0)</x:f>
        <x:v>0</x:v>
      </x:c>
      <x:c r="T302" s="42" t="str">
        <x:f>IF(A302="","",IF(COUNTIFS($A$6:$A$505,A302)&lt;&gt;1,"Duplicate ID",IF(OR(NOT(ISNUMBER(B302)),D302&lt;=0,NOT(ISNUMBER(D302)),I302="",J302="",L302=""),"Missing date/amount/ref/details",IF(OR(COUNTIFS('Accounts'!$A$6:$A$105,Q302)&lt;&gt;1,COUNTIFS('Accounts'!$A$6:$A$105,R302)&lt;&gt;1,Q302=R302),"Check accounts/event",IF(AND(OR(Q302="Trade payables",R302="Trade payables",Q302="Customer receivables",R302="Customer receivables",Q302="Courier receivables",R302="Courier receivables",Q302="Supplier advances",R302="Supplier advances"),H302=""),"Contact ID required",IF(AND(N302="Approved",OR(M302="",M302=L302)),"Independent review needed",IF(OR(N302="Draft",N302="Approved",N302="Void"),"OK","Status required")))))))</x:f>
      </x:c>
    </x:row>
    <x:row r="303" ht="23" customHeight="1">
      <x:c r="A303" s="36"/>
      <x:c r="B303" s="40"/>
      <x:c r="C303" s="36"/>
      <x:c r="D303" s="41"/>
      <x:c r="E303" s="36"/>
      <x:c r="F303" s="36"/>
      <x:c r="G303" s="36"/>
      <x:c r="H303" s="36"/>
      <x:c r="I303" s="36"/>
      <x:c r="J303" s="36"/>
      <x:c r="K303" s="36"/>
      <x:c r="L303" s="36"/>
      <x:c r="M303" s="36"/>
      <x:c r="N303" s="36"/>
      <x:c r="O303" s="42" t="str">
        <x:f>IF(A303="","",IF(COUNTIFS('Event Guide'!$A$6:$A$29,C303)=1,VLOOKUP(C303,'Event Guide'!$A$6:$C$29,2,FALSE),"Unknown event"))</x:f>
      </x:c>
      <x:c r="P303" s="42" t="str">
        <x:f>IF(A303="","",IF(COUNTIFS('Event Guide'!$A$6:$A$29,C303)=1,VLOOKUP(C303,'Event Guide'!$A$6:$C$29,3,FALSE),"Unknown event"))</x:f>
      </x:c>
      <x:c r="Q303" s="42" t="str">
        <x:f>IF(A303="","",IF(O303="PAY",E303,IF(O303="OTHER",F303,IF(O303="CAPITAL","Capital - "&amp;G303,IF(O303="DUE","Due to - "&amp;G303,IF(O303="DRAW","Drawings - "&amp;G303,O303))))))</x:f>
      </x:c>
      <x:c r="R303" s="42" t="str">
        <x:f>IF(A303="","",IF(P303="PAY",E303,IF(P303="OTHER",F303,IF(P303="CAPITAL","Capital - "&amp;G303,IF(P303="DUE","Due to - "&amp;G303,IF(P303="DRAW","Drawings - "&amp;G303,P303))))))</x:f>
      </x:c>
      <x:c r="S303" s="37" t="n">
        <x:f>IF(AND(N303="Approved",T303="OK"),D303,0)</x:f>
        <x:v>0</x:v>
      </x:c>
      <x:c r="T303" s="42" t="str">
        <x:f>IF(A303="","",IF(COUNTIFS($A$6:$A$505,A303)&lt;&gt;1,"Duplicate ID",IF(OR(NOT(ISNUMBER(B303)),D303&lt;=0,NOT(ISNUMBER(D303)),I303="",J303="",L303=""),"Missing date/amount/ref/details",IF(OR(COUNTIFS('Accounts'!$A$6:$A$105,Q303)&lt;&gt;1,COUNTIFS('Accounts'!$A$6:$A$105,R303)&lt;&gt;1,Q303=R303),"Check accounts/event",IF(AND(OR(Q303="Trade payables",R303="Trade payables",Q303="Customer receivables",R303="Customer receivables",Q303="Courier receivables",R303="Courier receivables",Q303="Supplier advances",R303="Supplier advances"),H303=""),"Contact ID required",IF(AND(N303="Approved",OR(M303="",M303=L303)),"Independent review needed",IF(OR(N303="Draft",N303="Approved",N303="Void"),"OK","Status required")))))))</x:f>
      </x:c>
    </x:row>
    <x:row r="304" ht="23" customHeight="1">
      <x:c r="A304" s="36"/>
      <x:c r="B304" s="40"/>
      <x:c r="C304" s="36"/>
      <x:c r="D304" s="41"/>
      <x:c r="E304" s="36"/>
      <x:c r="F304" s="36"/>
      <x:c r="G304" s="36"/>
      <x:c r="H304" s="36"/>
      <x:c r="I304" s="36"/>
      <x:c r="J304" s="36"/>
      <x:c r="K304" s="36"/>
      <x:c r="L304" s="36"/>
      <x:c r="M304" s="36"/>
      <x:c r="N304" s="36"/>
      <x:c r="O304" s="42" t="str">
        <x:f>IF(A304="","",IF(COUNTIFS('Event Guide'!$A$6:$A$29,C304)=1,VLOOKUP(C304,'Event Guide'!$A$6:$C$29,2,FALSE),"Unknown event"))</x:f>
      </x:c>
      <x:c r="P304" s="42" t="str">
        <x:f>IF(A304="","",IF(COUNTIFS('Event Guide'!$A$6:$A$29,C304)=1,VLOOKUP(C304,'Event Guide'!$A$6:$C$29,3,FALSE),"Unknown event"))</x:f>
      </x:c>
      <x:c r="Q304" s="42" t="str">
        <x:f>IF(A304="","",IF(O304="PAY",E304,IF(O304="OTHER",F304,IF(O304="CAPITAL","Capital - "&amp;G304,IF(O304="DUE","Due to - "&amp;G304,IF(O304="DRAW","Drawings - "&amp;G304,O304))))))</x:f>
      </x:c>
      <x:c r="R304" s="42" t="str">
        <x:f>IF(A304="","",IF(P304="PAY",E304,IF(P304="OTHER",F304,IF(P304="CAPITAL","Capital - "&amp;G304,IF(P304="DUE","Due to - "&amp;G304,IF(P304="DRAW","Drawings - "&amp;G304,P304))))))</x:f>
      </x:c>
      <x:c r="S304" s="37" t="n">
        <x:f>IF(AND(N304="Approved",T304="OK"),D304,0)</x:f>
        <x:v>0</x:v>
      </x:c>
      <x:c r="T304" s="42" t="str">
        <x:f>IF(A304="","",IF(COUNTIFS($A$6:$A$505,A304)&lt;&gt;1,"Duplicate ID",IF(OR(NOT(ISNUMBER(B304)),D304&lt;=0,NOT(ISNUMBER(D304)),I304="",J304="",L304=""),"Missing date/amount/ref/details",IF(OR(COUNTIFS('Accounts'!$A$6:$A$105,Q304)&lt;&gt;1,COUNTIFS('Accounts'!$A$6:$A$105,R304)&lt;&gt;1,Q304=R304),"Check accounts/event",IF(AND(OR(Q304="Trade payables",R304="Trade payables",Q304="Customer receivables",R304="Customer receivables",Q304="Courier receivables",R304="Courier receivables",Q304="Supplier advances",R304="Supplier advances"),H304=""),"Contact ID required",IF(AND(N304="Approved",OR(M304="",M304=L304)),"Independent review needed",IF(OR(N304="Draft",N304="Approved",N304="Void"),"OK","Status required")))))))</x:f>
      </x:c>
    </x:row>
    <x:row r="305" ht="23" customHeight="1">
      <x:c r="A305" s="36"/>
      <x:c r="B305" s="40"/>
      <x:c r="C305" s="36"/>
      <x:c r="D305" s="41"/>
      <x:c r="E305" s="36"/>
      <x:c r="F305" s="36"/>
      <x:c r="G305" s="36"/>
      <x:c r="H305" s="36"/>
      <x:c r="I305" s="36"/>
      <x:c r="J305" s="36"/>
      <x:c r="K305" s="36"/>
      <x:c r="L305" s="36"/>
      <x:c r="M305" s="36"/>
      <x:c r="N305" s="36"/>
      <x:c r="O305" s="42" t="str">
        <x:f>IF(A305="","",IF(COUNTIFS('Event Guide'!$A$6:$A$29,C305)=1,VLOOKUP(C305,'Event Guide'!$A$6:$C$29,2,FALSE),"Unknown event"))</x:f>
      </x:c>
      <x:c r="P305" s="42" t="str">
        <x:f>IF(A305="","",IF(COUNTIFS('Event Guide'!$A$6:$A$29,C305)=1,VLOOKUP(C305,'Event Guide'!$A$6:$C$29,3,FALSE),"Unknown event"))</x:f>
      </x:c>
      <x:c r="Q305" s="42" t="str">
        <x:f>IF(A305="","",IF(O305="PAY",E305,IF(O305="OTHER",F305,IF(O305="CAPITAL","Capital - "&amp;G305,IF(O305="DUE","Due to - "&amp;G305,IF(O305="DRAW","Drawings - "&amp;G305,O305))))))</x:f>
      </x:c>
      <x:c r="R305" s="42" t="str">
        <x:f>IF(A305="","",IF(P305="PAY",E305,IF(P305="OTHER",F305,IF(P305="CAPITAL","Capital - "&amp;G305,IF(P305="DUE","Due to - "&amp;G305,IF(P305="DRAW","Drawings - "&amp;G305,P305))))))</x:f>
      </x:c>
      <x:c r="S305" s="37" t="n">
        <x:f>IF(AND(N305="Approved",T305="OK"),D305,0)</x:f>
        <x:v>0</x:v>
      </x:c>
      <x:c r="T305" s="42" t="str">
        <x:f>IF(A305="","",IF(COUNTIFS($A$6:$A$505,A305)&lt;&gt;1,"Duplicate ID",IF(OR(NOT(ISNUMBER(B305)),D305&lt;=0,NOT(ISNUMBER(D305)),I305="",J305="",L305=""),"Missing date/amount/ref/details",IF(OR(COUNTIFS('Accounts'!$A$6:$A$105,Q305)&lt;&gt;1,COUNTIFS('Accounts'!$A$6:$A$105,R305)&lt;&gt;1,Q305=R305),"Check accounts/event",IF(AND(OR(Q305="Trade payables",R305="Trade payables",Q305="Customer receivables",R305="Customer receivables",Q305="Courier receivables",R305="Courier receivables",Q305="Supplier advances",R305="Supplier advances"),H305=""),"Contact ID required",IF(AND(N305="Approved",OR(M305="",M305=L305)),"Independent review needed",IF(OR(N305="Draft",N305="Approved",N305="Void"),"OK","Status required")))))))</x:f>
      </x:c>
    </x:row>
    <x:row r="306" ht="23" customHeight="1">
      <x:c r="A306" s="36"/>
      <x:c r="B306" s="40"/>
      <x:c r="C306" s="36"/>
      <x:c r="D306" s="41"/>
      <x:c r="E306" s="36"/>
      <x:c r="F306" s="36"/>
      <x:c r="G306" s="36"/>
      <x:c r="H306" s="36"/>
      <x:c r="I306" s="36"/>
      <x:c r="J306" s="36"/>
      <x:c r="K306" s="36"/>
      <x:c r="L306" s="36"/>
      <x:c r="M306" s="36"/>
      <x:c r="N306" s="36"/>
      <x:c r="O306" s="42" t="str">
        <x:f>IF(A306="","",IF(COUNTIFS('Event Guide'!$A$6:$A$29,C306)=1,VLOOKUP(C306,'Event Guide'!$A$6:$C$29,2,FALSE),"Unknown event"))</x:f>
      </x:c>
      <x:c r="P306" s="42" t="str">
        <x:f>IF(A306="","",IF(COUNTIFS('Event Guide'!$A$6:$A$29,C306)=1,VLOOKUP(C306,'Event Guide'!$A$6:$C$29,3,FALSE),"Unknown event"))</x:f>
      </x:c>
      <x:c r="Q306" s="42" t="str">
        <x:f>IF(A306="","",IF(O306="PAY",E306,IF(O306="OTHER",F306,IF(O306="CAPITAL","Capital - "&amp;G306,IF(O306="DUE","Due to - "&amp;G306,IF(O306="DRAW","Drawings - "&amp;G306,O306))))))</x:f>
      </x:c>
      <x:c r="R306" s="42" t="str">
        <x:f>IF(A306="","",IF(P306="PAY",E306,IF(P306="OTHER",F306,IF(P306="CAPITAL","Capital - "&amp;G306,IF(P306="DUE","Due to - "&amp;G306,IF(P306="DRAW","Drawings - "&amp;G306,P306))))))</x:f>
      </x:c>
      <x:c r="S306" s="37" t="n">
        <x:f>IF(AND(N306="Approved",T306="OK"),D306,0)</x:f>
        <x:v>0</x:v>
      </x:c>
      <x:c r="T306" s="42" t="str">
        <x:f>IF(A306="","",IF(COUNTIFS($A$6:$A$505,A306)&lt;&gt;1,"Duplicate ID",IF(OR(NOT(ISNUMBER(B306)),D306&lt;=0,NOT(ISNUMBER(D306)),I306="",J306="",L306=""),"Missing date/amount/ref/details",IF(OR(COUNTIFS('Accounts'!$A$6:$A$105,Q306)&lt;&gt;1,COUNTIFS('Accounts'!$A$6:$A$105,R306)&lt;&gt;1,Q306=R306),"Check accounts/event",IF(AND(OR(Q306="Trade payables",R306="Trade payables",Q306="Customer receivables",R306="Customer receivables",Q306="Courier receivables",R306="Courier receivables",Q306="Supplier advances",R306="Supplier advances"),H306=""),"Contact ID required",IF(AND(N306="Approved",OR(M306="",M306=L306)),"Independent review needed",IF(OR(N306="Draft",N306="Approved",N306="Void"),"OK","Status required")))))))</x:f>
      </x:c>
    </x:row>
    <x:row r="307" ht="23" customHeight="1">
      <x:c r="A307" s="36"/>
      <x:c r="B307" s="40"/>
      <x:c r="C307" s="36"/>
      <x:c r="D307" s="41"/>
      <x:c r="E307" s="36"/>
      <x:c r="F307" s="36"/>
      <x:c r="G307" s="36"/>
      <x:c r="H307" s="36"/>
      <x:c r="I307" s="36"/>
      <x:c r="J307" s="36"/>
      <x:c r="K307" s="36"/>
      <x:c r="L307" s="36"/>
      <x:c r="M307" s="36"/>
      <x:c r="N307" s="36"/>
      <x:c r="O307" s="42" t="str">
        <x:f>IF(A307="","",IF(COUNTIFS('Event Guide'!$A$6:$A$29,C307)=1,VLOOKUP(C307,'Event Guide'!$A$6:$C$29,2,FALSE),"Unknown event"))</x:f>
      </x:c>
      <x:c r="P307" s="42" t="str">
        <x:f>IF(A307="","",IF(COUNTIFS('Event Guide'!$A$6:$A$29,C307)=1,VLOOKUP(C307,'Event Guide'!$A$6:$C$29,3,FALSE),"Unknown event"))</x:f>
      </x:c>
      <x:c r="Q307" s="42" t="str">
        <x:f>IF(A307="","",IF(O307="PAY",E307,IF(O307="OTHER",F307,IF(O307="CAPITAL","Capital - "&amp;G307,IF(O307="DUE","Due to - "&amp;G307,IF(O307="DRAW","Drawings - "&amp;G307,O307))))))</x:f>
      </x:c>
      <x:c r="R307" s="42" t="str">
        <x:f>IF(A307="","",IF(P307="PAY",E307,IF(P307="OTHER",F307,IF(P307="CAPITAL","Capital - "&amp;G307,IF(P307="DUE","Due to - "&amp;G307,IF(P307="DRAW","Drawings - "&amp;G307,P307))))))</x:f>
      </x:c>
      <x:c r="S307" s="37" t="n">
        <x:f>IF(AND(N307="Approved",T307="OK"),D307,0)</x:f>
        <x:v>0</x:v>
      </x:c>
      <x:c r="T307" s="42" t="str">
        <x:f>IF(A307="","",IF(COUNTIFS($A$6:$A$505,A307)&lt;&gt;1,"Duplicate ID",IF(OR(NOT(ISNUMBER(B307)),D307&lt;=0,NOT(ISNUMBER(D307)),I307="",J307="",L307=""),"Missing date/amount/ref/details",IF(OR(COUNTIFS('Accounts'!$A$6:$A$105,Q307)&lt;&gt;1,COUNTIFS('Accounts'!$A$6:$A$105,R307)&lt;&gt;1,Q307=R307),"Check accounts/event",IF(AND(OR(Q307="Trade payables",R307="Trade payables",Q307="Customer receivables",R307="Customer receivables",Q307="Courier receivables",R307="Courier receivables",Q307="Supplier advances",R307="Supplier advances"),H307=""),"Contact ID required",IF(AND(N307="Approved",OR(M307="",M307=L307)),"Independent review needed",IF(OR(N307="Draft",N307="Approved",N307="Void"),"OK","Status required")))))))</x:f>
      </x:c>
    </x:row>
    <x:row r="308" ht="23" customHeight="1">
      <x:c r="A308" s="36"/>
      <x:c r="B308" s="40"/>
      <x:c r="C308" s="36"/>
      <x:c r="D308" s="41"/>
      <x:c r="E308" s="36"/>
      <x:c r="F308" s="36"/>
      <x:c r="G308" s="36"/>
      <x:c r="H308" s="36"/>
      <x:c r="I308" s="36"/>
      <x:c r="J308" s="36"/>
      <x:c r="K308" s="36"/>
      <x:c r="L308" s="36"/>
      <x:c r="M308" s="36"/>
      <x:c r="N308" s="36"/>
      <x:c r="O308" s="42" t="str">
        <x:f>IF(A308="","",IF(COUNTIFS('Event Guide'!$A$6:$A$29,C308)=1,VLOOKUP(C308,'Event Guide'!$A$6:$C$29,2,FALSE),"Unknown event"))</x:f>
      </x:c>
      <x:c r="P308" s="42" t="str">
        <x:f>IF(A308="","",IF(COUNTIFS('Event Guide'!$A$6:$A$29,C308)=1,VLOOKUP(C308,'Event Guide'!$A$6:$C$29,3,FALSE),"Unknown event"))</x:f>
      </x:c>
      <x:c r="Q308" s="42" t="str">
        <x:f>IF(A308="","",IF(O308="PAY",E308,IF(O308="OTHER",F308,IF(O308="CAPITAL","Capital - "&amp;G308,IF(O308="DUE","Due to - "&amp;G308,IF(O308="DRAW","Drawings - "&amp;G308,O308))))))</x:f>
      </x:c>
      <x:c r="R308" s="42" t="str">
        <x:f>IF(A308="","",IF(P308="PAY",E308,IF(P308="OTHER",F308,IF(P308="CAPITAL","Capital - "&amp;G308,IF(P308="DUE","Due to - "&amp;G308,IF(P308="DRAW","Drawings - "&amp;G308,P308))))))</x:f>
      </x:c>
      <x:c r="S308" s="37" t="n">
        <x:f>IF(AND(N308="Approved",T308="OK"),D308,0)</x:f>
        <x:v>0</x:v>
      </x:c>
      <x:c r="T308" s="42" t="str">
        <x:f>IF(A308="","",IF(COUNTIFS($A$6:$A$505,A308)&lt;&gt;1,"Duplicate ID",IF(OR(NOT(ISNUMBER(B308)),D308&lt;=0,NOT(ISNUMBER(D308)),I308="",J308="",L308=""),"Missing date/amount/ref/details",IF(OR(COUNTIFS('Accounts'!$A$6:$A$105,Q308)&lt;&gt;1,COUNTIFS('Accounts'!$A$6:$A$105,R308)&lt;&gt;1,Q308=R308),"Check accounts/event",IF(AND(OR(Q308="Trade payables",R308="Trade payables",Q308="Customer receivables",R308="Customer receivables",Q308="Courier receivables",R308="Courier receivables",Q308="Supplier advances",R308="Supplier advances"),H308=""),"Contact ID required",IF(AND(N308="Approved",OR(M308="",M308=L308)),"Independent review needed",IF(OR(N308="Draft",N308="Approved",N308="Void"),"OK","Status required")))))))</x:f>
      </x:c>
    </x:row>
    <x:row r="309" ht="23" customHeight="1">
      <x:c r="A309" s="36"/>
      <x:c r="B309" s="40"/>
      <x:c r="C309" s="36"/>
      <x:c r="D309" s="41"/>
      <x:c r="E309" s="36"/>
      <x:c r="F309" s="36"/>
      <x:c r="G309" s="36"/>
      <x:c r="H309" s="36"/>
      <x:c r="I309" s="36"/>
      <x:c r="J309" s="36"/>
      <x:c r="K309" s="36"/>
      <x:c r="L309" s="36"/>
      <x:c r="M309" s="36"/>
      <x:c r="N309" s="36"/>
      <x:c r="O309" s="42" t="str">
        <x:f>IF(A309="","",IF(COUNTIFS('Event Guide'!$A$6:$A$29,C309)=1,VLOOKUP(C309,'Event Guide'!$A$6:$C$29,2,FALSE),"Unknown event"))</x:f>
      </x:c>
      <x:c r="P309" s="42" t="str">
        <x:f>IF(A309="","",IF(COUNTIFS('Event Guide'!$A$6:$A$29,C309)=1,VLOOKUP(C309,'Event Guide'!$A$6:$C$29,3,FALSE),"Unknown event"))</x:f>
      </x:c>
      <x:c r="Q309" s="42" t="str">
        <x:f>IF(A309="","",IF(O309="PAY",E309,IF(O309="OTHER",F309,IF(O309="CAPITAL","Capital - "&amp;G309,IF(O309="DUE","Due to - "&amp;G309,IF(O309="DRAW","Drawings - "&amp;G309,O309))))))</x:f>
      </x:c>
      <x:c r="R309" s="42" t="str">
        <x:f>IF(A309="","",IF(P309="PAY",E309,IF(P309="OTHER",F309,IF(P309="CAPITAL","Capital - "&amp;G309,IF(P309="DUE","Due to - "&amp;G309,IF(P309="DRAW","Drawings - "&amp;G309,P309))))))</x:f>
      </x:c>
      <x:c r="S309" s="37" t="n">
        <x:f>IF(AND(N309="Approved",T309="OK"),D309,0)</x:f>
        <x:v>0</x:v>
      </x:c>
      <x:c r="T309" s="42" t="str">
        <x:f>IF(A309="","",IF(COUNTIFS($A$6:$A$505,A309)&lt;&gt;1,"Duplicate ID",IF(OR(NOT(ISNUMBER(B309)),D309&lt;=0,NOT(ISNUMBER(D309)),I309="",J309="",L309=""),"Missing date/amount/ref/details",IF(OR(COUNTIFS('Accounts'!$A$6:$A$105,Q309)&lt;&gt;1,COUNTIFS('Accounts'!$A$6:$A$105,R309)&lt;&gt;1,Q309=R309),"Check accounts/event",IF(AND(OR(Q309="Trade payables",R309="Trade payables",Q309="Customer receivables",R309="Customer receivables",Q309="Courier receivables",R309="Courier receivables",Q309="Supplier advances",R309="Supplier advances"),H309=""),"Contact ID required",IF(AND(N309="Approved",OR(M309="",M309=L309)),"Independent review needed",IF(OR(N309="Draft",N309="Approved",N309="Void"),"OK","Status required")))))))</x:f>
      </x:c>
    </x:row>
    <x:row r="310" ht="23" customHeight="1">
      <x:c r="A310" s="36"/>
      <x:c r="B310" s="40"/>
      <x:c r="C310" s="36"/>
      <x:c r="D310" s="41"/>
      <x:c r="E310" s="36"/>
      <x:c r="F310" s="36"/>
      <x:c r="G310" s="36"/>
      <x:c r="H310" s="36"/>
      <x:c r="I310" s="36"/>
      <x:c r="J310" s="36"/>
      <x:c r="K310" s="36"/>
      <x:c r="L310" s="36"/>
      <x:c r="M310" s="36"/>
      <x:c r="N310" s="36"/>
      <x:c r="O310" s="42" t="str">
        <x:f>IF(A310="","",IF(COUNTIFS('Event Guide'!$A$6:$A$29,C310)=1,VLOOKUP(C310,'Event Guide'!$A$6:$C$29,2,FALSE),"Unknown event"))</x:f>
      </x:c>
      <x:c r="P310" s="42" t="str">
        <x:f>IF(A310="","",IF(COUNTIFS('Event Guide'!$A$6:$A$29,C310)=1,VLOOKUP(C310,'Event Guide'!$A$6:$C$29,3,FALSE),"Unknown event"))</x:f>
      </x:c>
      <x:c r="Q310" s="42" t="str">
        <x:f>IF(A310="","",IF(O310="PAY",E310,IF(O310="OTHER",F310,IF(O310="CAPITAL","Capital - "&amp;G310,IF(O310="DUE","Due to - "&amp;G310,IF(O310="DRAW","Drawings - "&amp;G310,O310))))))</x:f>
      </x:c>
      <x:c r="R310" s="42" t="str">
        <x:f>IF(A310="","",IF(P310="PAY",E310,IF(P310="OTHER",F310,IF(P310="CAPITAL","Capital - "&amp;G310,IF(P310="DUE","Due to - "&amp;G310,IF(P310="DRAW","Drawings - "&amp;G310,P310))))))</x:f>
      </x:c>
      <x:c r="S310" s="37" t="n">
        <x:f>IF(AND(N310="Approved",T310="OK"),D310,0)</x:f>
        <x:v>0</x:v>
      </x:c>
      <x:c r="T310" s="42" t="str">
        <x:f>IF(A310="","",IF(COUNTIFS($A$6:$A$505,A310)&lt;&gt;1,"Duplicate ID",IF(OR(NOT(ISNUMBER(B310)),D310&lt;=0,NOT(ISNUMBER(D310)),I310="",J310="",L310=""),"Missing date/amount/ref/details",IF(OR(COUNTIFS('Accounts'!$A$6:$A$105,Q310)&lt;&gt;1,COUNTIFS('Accounts'!$A$6:$A$105,R310)&lt;&gt;1,Q310=R310),"Check accounts/event",IF(AND(OR(Q310="Trade payables",R310="Trade payables",Q310="Customer receivables",R310="Customer receivables",Q310="Courier receivables",R310="Courier receivables",Q310="Supplier advances",R310="Supplier advances"),H310=""),"Contact ID required",IF(AND(N310="Approved",OR(M310="",M310=L310)),"Independent review needed",IF(OR(N310="Draft",N310="Approved",N310="Void"),"OK","Status required")))))))</x:f>
      </x:c>
    </x:row>
    <x:row r="311" ht="23" customHeight="1">
      <x:c r="A311" s="36"/>
      <x:c r="B311" s="40"/>
      <x:c r="C311" s="36"/>
      <x:c r="D311" s="41"/>
      <x:c r="E311" s="36"/>
      <x:c r="F311" s="36"/>
      <x:c r="G311" s="36"/>
      <x:c r="H311" s="36"/>
      <x:c r="I311" s="36"/>
      <x:c r="J311" s="36"/>
      <x:c r="K311" s="36"/>
      <x:c r="L311" s="36"/>
      <x:c r="M311" s="36"/>
      <x:c r="N311" s="36"/>
      <x:c r="O311" s="42" t="str">
        <x:f>IF(A311="","",IF(COUNTIFS('Event Guide'!$A$6:$A$29,C311)=1,VLOOKUP(C311,'Event Guide'!$A$6:$C$29,2,FALSE),"Unknown event"))</x:f>
      </x:c>
      <x:c r="P311" s="42" t="str">
        <x:f>IF(A311="","",IF(COUNTIFS('Event Guide'!$A$6:$A$29,C311)=1,VLOOKUP(C311,'Event Guide'!$A$6:$C$29,3,FALSE),"Unknown event"))</x:f>
      </x:c>
      <x:c r="Q311" s="42" t="str">
        <x:f>IF(A311="","",IF(O311="PAY",E311,IF(O311="OTHER",F311,IF(O311="CAPITAL","Capital - "&amp;G311,IF(O311="DUE","Due to - "&amp;G311,IF(O311="DRAW","Drawings - "&amp;G311,O311))))))</x:f>
      </x:c>
      <x:c r="R311" s="42" t="str">
        <x:f>IF(A311="","",IF(P311="PAY",E311,IF(P311="OTHER",F311,IF(P311="CAPITAL","Capital - "&amp;G311,IF(P311="DUE","Due to - "&amp;G311,IF(P311="DRAW","Drawings - "&amp;G311,P311))))))</x:f>
      </x:c>
      <x:c r="S311" s="37" t="n">
        <x:f>IF(AND(N311="Approved",T311="OK"),D311,0)</x:f>
        <x:v>0</x:v>
      </x:c>
      <x:c r="T311" s="42" t="str">
        <x:f>IF(A311="","",IF(COUNTIFS($A$6:$A$505,A311)&lt;&gt;1,"Duplicate ID",IF(OR(NOT(ISNUMBER(B311)),D311&lt;=0,NOT(ISNUMBER(D311)),I311="",J311="",L311=""),"Missing date/amount/ref/details",IF(OR(COUNTIFS('Accounts'!$A$6:$A$105,Q311)&lt;&gt;1,COUNTIFS('Accounts'!$A$6:$A$105,R311)&lt;&gt;1,Q311=R311),"Check accounts/event",IF(AND(OR(Q311="Trade payables",R311="Trade payables",Q311="Customer receivables",R311="Customer receivables",Q311="Courier receivables",R311="Courier receivables",Q311="Supplier advances",R311="Supplier advances"),H311=""),"Contact ID required",IF(AND(N311="Approved",OR(M311="",M311=L311)),"Independent review needed",IF(OR(N311="Draft",N311="Approved",N311="Void"),"OK","Status required")))))))</x:f>
      </x:c>
    </x:row>
    <x:row r="312" ht="23" customHeight="1">
      <x:c r="A312" s="36"/>
      <x:c r="B312" s="40"/>
      <x:c r="C312" s="36"/>
      <x:c r="D312" s="41"/>
      <x:c r="E312" s="36"/>
      <x:c r="F312" s="36"/>
      <x:c r="G312" s="36"/>
      <x:c r="H312" s="36"/>
      <x:c r="I312" s="36"/>
      <x:c r="J312" s="36"/>
      <x:c r="K312" s="36"/>
      <x:c r="L312" s="36"/>
      <x:c r="M312" s="36"/>
      <x:c r="N312" s="36"/>
      <x:c r="O312" s="42" t="str">
        <x:f>IF(A312="","",IF(COUNTIFS('Event Guide'!$A$6:$A$29,C312)=1,VLOOKUP(C312,'Event Guide'!$A$6:$C$29,2,FALSE),"Unknown event"))</x:f>
      </x:c>
      <x:c r="P312" s="42" t="str">
        <x:f>IF(A312="","",IF(COUNTIFS('Event Guide'!$A$6:$A$29,C312)=1,VLOOKUP(C312,'Event Guide'!$A$6:$C$29,3,FALSE),"Unknown event"))</x:f>
      </x:c>
      <x:c r="Q312" s="42" t="str">
        <x:f>IF(A312="","",IF(O312="PAY",E312,IF(O312="OTHER",F312,IF(O312="CAPITAL","Capital - "&amp;G312,IF(O312="DUE","Due to - "&amp;G312,IF(O312="DRAW","Drawings - "&amp;G312,O312))))))</x:f>
      </x:c>
      <x:c r="R312" s="42" t="str">
        <x:f>IF(A312="","",IF(P312="PAY",E312,IF(P312="OTHER",F312,IF(P312="CAPITAL","Capital - "&amp;G312,IF(P312="DUE","Due to - "&amp;G312,IF(P312="DRAW","Drawings - "&amp;G312,P312))))))</x:f>
      </x:c>
      <x:c r="S312" s="37" t="n">
        <x:f>IF(AND(N312="Approved",T312="OK"),D312,0)</x:f>
        <x:v>0</x:v>
      </x:c>
      <x:c r="T312" s="42" t="str">
        <x:f>IF(A312="","",IF(COUNTIFS($A$6:$A$505,A312)&lt;&gt;1,"Duplicate ID",IF(OR(NOT(ISNUMBER(B312)),D312&lt;=0,NOT(ISNUMBER(D312)),I312="",J312="",L312=""),"Missing date/amount/ref/details",IF(OR(COUNTIFS('Accounts'!$A$6:$A$105,Q312)&lt;&gt;1,COUNTIFS('Accounts'!$A$6:$A$105,R312)&lt;&gt;1,Q312=R312),"Check accounts/event",IF(AND(OR(Q312="Trade payables",R312="Trade payables",Q312="Customer receivables",R312="Customer receivables",Q312="Courier receivables",R312="Courier receivables",Q312="Supplier advances",R312="Supplier advances"),H312=""),"Contact ID required",IF(AND(N312="Approved",OR(M312="",M312=L312)),"Independent review needed",IF(OR(N312="Draft",N312="Approved",N312="Void"),"OK","Status required")))))))</x:f>
      </x:c>
    </x:row>
    <x:row r="313" ht="23" customHeight="1">
      <x:c r="A313" s="36"/>
      <x:c r="B313" s="40"/>
      <x:c r="C313" s="36"/>
      <x:c r="D313" s="41"/>
      <x:c r="E313" s="36"/>
      <x:c r="F313" s="36"/>
      <x:c r="G313" s="36"/>
      <x:c r="H313" s="36"/>
      <x:c r="I313" s="36"/>
      <x:c r="J313" s="36"/>
      <x:c r="K313" s="36"/>
      <x:c r="L313" s="36"/>
      <x:c r="M313" s="36"/>
      <x:c r="N313" s="36"/>
      <x:c r="O313" s="42" t="str">
        <x:f>IF(A313="","",IF(COUNTIFS('Event Guide'!$A$6:$A$29,C313)=1,VLOOKUP(C313,'Event Guide'!$A$6:$C$29,2,FALSE),"Unknown event"))</x:f>
      </x:c>
      <x:c r="P313" s="42" t="str">
        <x:f>IF(A313="","",IF(COUNTIFS('Event Guide'!$A$6:$A$29,C313)=1,VLOOKUP(C313,'Event Guide'!$A$6:$C$29,3,FALSE),"Unknown event"))</x:f>
      </x:c>
      <x:c r="Q313" s="42" t="str">
        <x:f>IF(A313="","",IF(O313="PAY",E313,IF(O313="OTHER",F313,IF(O313="CAPITAL","Capital - "&amp;G313,IF(O313="DUE","Due to - "&amp;G313,IF(O313="DRAW","Drawings - "&amp;G313,O313))))))</x:f>
      </x:c>
      <x:c r="R313" s="42" t="str">
        <x:f>IF(A313="","",IF(P313="PAY",E313,IF(P313="OTHER",F313,IF(P313="CAPITAL","Capital - "&amp;G313,IF(P313="DUE","Due to - "&amp;G313,IF(P313="DRAW","Drawings - "&amp;G313,P313))))))</x:f>
      </x:c>
      <x:c r="S313" s="37" t="n">
        <x:f>IF(AND(N313="Approved",T313="OK"),D313,0)</x:f>
        <x:v>0</x:v>
      </x:c>
      <x:c r="T313" s="42" t="str">
        <x:f>IF(A313="","",IF(COUNTIFS($A$6:$A$505,A313)&lt;&gt;1,"Duplicate ID",IF(OR(NOT(ISNUMBER(B313)),D313&lt;=0,NOT(ISNUMBER(D313)),I313="",J313="",L313=""),"Missing date/amount/ref/details",IF(OR(COUNTIFS('Accounts'!$A$6:$A$105,Q313)&lt;&gt;1,COUNTIFS('Accounts'!$A$6:$A$105,R313)&lt;&gt;1,Q313=R313),"Check accounts/event",IF(AND(OR(Q313="Trade payables",R313="Trade payables",Q313="Customer receivables",R313="Customer receivables",Q313="Courier receivables",R313="Courier receivables",Q313="Supplier advances",R313="Supplier advances"),H313=""),"Contact ID required",IF(AND(N313="Approved",OR(M313="",M313=L313)),"Independent review needed",IF(OR(N313="Draft",N313="Approved",N313="Void"),"OK","Status required")))))))</x:f>
      </x:c>
    </x:row>
    <x:row r="314" ht="23" customHeight="1">
      <x:c r="A314" s="36"/>
      <x:c r="B314" s="40"/>
      <x:c r="C314" s="36"/>
      <x:c r="D314" s="41"/>
      <x:c r="E314" s="36"/>
      <x:c r="F314" s="36"/>
      <x:c r="G314" s="36"/>
      <x:c r="H314" s="36"/>
      <x:c r="I314" s="36"/>
      <x:c r="J314" s="36"/>
      <x:c r="K314" s="36"/>
      <x:c r="L314" s="36"/>
      <x:c r="M314" s="36"/>
      <x:c r="N314" s="36"/>
      <x:c r="O314" s="42" t="str">
        <x:f>IF(A314="","",IF(COUNTIFS('Event Guide'!$A$6:$A$29,C314)=1,VLOOKUP(C314,'Event Guide'!$A$6:$C$29,2,FALSE),"Unknown event"))</x:f>
      </x:c>
      <x:c r="P314" s="42" t="str">
        <x:f>IF(A314="","",IF(COUNTIFS('Event Guide'!$A$6:$A$29,C314)=1,VLOOKUP(C314,'Event Guide'!$A$6:$C$29,3,FALSE),"Unknown event"))</x:f>
      </x:c>
      <x:c r="Q314" s="42" t="str">
        <x:f>IF(A314="","",IF(O314="PAY",E314,IF(O314="OTHER",F314,IF(O314="CAPITAL","Capital - "&amp;G314,IF(O314="DUE","Due to - "&amp;G314,IF(O314="DRAW","Drawings - "&amp;G314,O314))))))</x:f>
      </x:c>
      <x:c r="R314" s="42" t="str">
        <x:f>IF(A314="","",IF(P314="PAY",E314,IF(P314="OTHER",F314,IF(P314="CAPITAL","Capital - "&amp;G314,IF(P314="DUE","Due to - "&amp;G314,IF(P314="DRAW","Drawings - "&amp;G314,P314))))))</x:f>
      </x:c>
      <x:c r="S314" s="37" t="n">
        <x:f>IF(AND(N314="Approved",T314="OK"),D314,0)</x:f>
        <x:v>0</x:v>
      </x:c>
      <x:c r="T314" s="42" t="str">
        <x:f>IF(A314="","",IF(COUNTIFS($A$6:$A$505,A314)&lt;&gt;1,"Duplicate ID",IF(OR(NOT(ISNUMBER(B314)),D314&lt;=0,NOT(ISNUMBER(D314)),I314="",J314="",L314=""),"Missing date/amount/ref/details",IF(OR(COUNTIFS('Accounts'!$A$6:$A$105,Q314)&lt;&gt;1,COUNTIFS('Accounts'!$A$6:$A$105,R314)&lt;&gt;1,Q314=R314),"Check accounts/event",IF(AND(OR(Q314="Trade payables",R314="Trade payables",Q314="Customer receivables",R314="Customer receivables",Q314="Courier receivables",R314="Courier receivables",Q314="Supplier advances",R314="Supplier advances"),H314=""),"Contact ID required",IF(AND(N314="Approved",OR(M314="",M314=L314)),"Independent review needed",IF(OR(N314="Draft",N314="Approved",N314="Void"),"OK","Status required")))))))</x:f>
      </x:c>
    </x:row>
    <x:row r="315" ht="23" customHeight="1">
      <x:c r="A315" s="36"/>
      <x:c r="B315" s="40"/>
      <x:c r="C315" s="36"/>
      <x:c r="D315" s="41"/>
      <x:c r="E315" s="36"/>
      <x:c r="F315" s="36"/>
      <x:c r="G315" s="36"/>
      <x:c r="H315" s="36"/>
      <x:c r="I315" s="36"/>
      <x:c r="J315" s="36"/>
      <x:c r="K315" s="36"/>
      <x:c r="L315" s="36"/>
      <x:c r="M315" s="36"/>
      <x:c r="N315" s="36"/>
      <x:c r="O315" s="42" t="str">
        <x:f>IF(A315="","",IF(COUNTIFS('Event Guide'!$A$6:$A$29,C315)=1,VLOOKUP(C315,'Event Guide'!$A$6:$C$29,2,FALSE),"Unknown event"))</x:f>
      </x:c>
      <x:c r="P315" s="42" t="str">
        <x:f>IF(A315="","",IF(COUNTIFS('Event Guide'!$A$6:$A$29,C315)=1,VLOOKUP(C315,'Event Guide'!$A$6:$C$29,3,FALSE),"Unknown event"))</x:f>
      </x:c>
      <x:c r="Q315" s="42" t="str">
        <x:f>IF(A315="","",IF(O315="PAY",E315,IF(O315="OTHER",F315,IF(O315="CAPITAL","Capital - "&amp;G315,IF(O315="DUE","Due to - "&amp;G315,IF(O315="DRAW","Drawings - "&amp;G315,O315))))))</x:f>
      </x:c>
      <x:c r="R315" s="42" t="str">
        <x:f>IF(A315="","",IF(P315="PAY",E315,IF(P315="OTHER",F315,IF(P315="CAPITAL","Capital - "&amp;G315,IF(P315="DUE","Due to - "&amp;G315,IF(P315="DRAW","Drawings - "&amp;G315,P315))))))</x:f>
      </x:c>
      <x:c r="S315" s="37" t="n">
        <x:f>IF(AND(N315="Approved",T315="OK"),D315,0)</x:f>
        <x:v>0</x:v>
      </x:c>
      <x:c r="T315" s="42" t="str">
        <x:f>IF(A315="","",IF(COUNTIFS($A$6:$A$505,A315)&lt;&gt;1,"Duplicate ID",IF(OR(NOT(ISNUMBER(B315)),D315&lt;=0,NOT(ISNUMBER(D315)),I315="",J315="",L315=""),"Missing date/amount/ref/details",IF(OR(COUNTIFS('Accounts'!$A$6:$A$105,Q315)&lt;&gt;1,COUNTIFS('Accounts'!$A$6:$A$105,R315)&lt;&gt;1,Q315=R315),"Check accounts/event",IF(AND(OR(Q315="Trade payables",R315="Trade payables",Q315="Customer receivables",R315="Customer receivables",Q315="Courier receivables",R315="Courier receivables",Q315="Supplier advances",R315="Supplier advances"),H315=""),"Contact ID required",IF(AND(N315="Approved",OR(M315="",M315=L315)),"Independent review needed",IF(OR(N315="Draft",N315="Approved",N315="Void"),"OK","Status required")))))))</x:f>
      </x:c>
    </x:row>
    <x:row r="316" ht="23" customHeight="1">
      <x:c r="A316" s="36"/>
      <x:c r="B316" s="40"/>
      <x:c r="C316" s="36"/>
      <x:c r="D316" s="41"/>
      <x:c r="E316" s="36"/>
      <x:c r="F316" s="36"/>
      <x:c r="G316" s="36"/>
      <x:c r="H316" s="36"/>
      <x:c r="I316" s="36"/>
      <x:c r="J316" s="36"/>
      <x:c r="K316" s="36"/>
      <x:c r="L316" s="36"/>
      <x:c r="M316" s="36"/>
      <x:c r="N316" s="36"/>
      <x:c r="O316" s="42" t="str">
        <x:f>IF(A316="","",IF(COUNTIFS('Event Guide'!$A$6:$A$29,C316)=1,VLOOKUP(C316,'Event Guide'!$A$6:$C$29,2,FALSE),"Unknown event"))</x:f>
      </x:c>
      <x:c r="P316" s="42" t="str">
        <x:f>IF(A316="","",IF(COUNTIFS('Event Guide'!$A$6:$A$29,C316)=1,VLOOKUP(C316,'Event Guide'!$A$6:$C$29,3,FALSE),"Unknown event"))</x:f>
      </x:c>
      <x:c r="Q316" s="42" t="str">
        <x:f>IF(A316="","",IF(O316="PAY",E316,IF(O316="OTHER",F316,IF(O316="CAPITAL","Capital - "&amp;G316,IF(O316="DUE","Due to - "&amp;G316,IF(O316="DRAW","Drawings - "&amp;G316,O316))))))</x:f>
      </x:c>
      <x:c r="R316" s="42" t="str">
        <x:f>IF(A316="","",IF(P316="PAY",E316,IF(P316="OTHER",F316,IF(P316="CAPITAL","Capital - "&amp;G316,IF(P316="DUE","Due to - "&amp;G316,IF(P316="DRAW","Drawings - "&amp;G316,P316))))))</x:f>
      </x:c>
      <x:c r="S316" s="37" t="n">
        <x:f>IF(AND(N316="Approved",T316="OK"),D316,0)</x:f>
        <x:v>0</x:v>
      </x:c>
      <x:c r="T316" s="42" t="str">
        <x:f>IF(A316="","",IF(COUNTIFS($A$6:$A$505,A316)&lt;&gt;1,"Duplicate ID",IF(OR(NOT(ISNUMBER(B316)),D316&lt;=0,NOT(ISNUMBER(D316)),I316="",J316="",L316=""),"Missing date/amount/ref/details",IF(OR(COUNTIFS('Accounts'!$A$6:$A$105,Q316)&lt;&gt;1,COUNTIFS('Accounts'!$A$6:$A$105,R316)&lt;&gt;1,Q316=R316),"Check accounts/event",IF(AND(OR(Q316="Trade payables",R316="Trade payables",Q316="Customer receivables",R316="Customer receivables",Q316="Courier receivables",R316="Courier receivables",Q316="Supplier advances",R316="Supplier advances"),H316=""),"Contact ID required",IF(AND(N316="Approved",OR(M316="",M316=L316)),"Independent review needed",IF(OR(N316="Draft",N316="Approved",N316="Void"),"OK","Status required")))))))</x:f>
      </x:c>
    </x:row>
    <x:row r="317" ht="23" customHeight="1">
      <x:c r="A317" s="36"/>
      <x:c r="B317" s="40"/>
      <x:c r="C317" s="36"/>
      <x:c r="D317" s="41"/>
      <x:c r="E317" s="36"/>
      <x:c r="F317" s="36"/>
      <x:c r="G317" s="36"/>
      <x:c r="H317" s="36"/>
      <x:c r="I317" s="36"/>
      <x:c r="J317" s="36"/>
      <x:c r="K317" s="36"/>
      <x:c r="L317" s="36"/>
      <x:c r="M317" s="36"/>
      <x:c r="N317" s="36"/>
      <x:c r="O317" s="42" t="str">
        <x:f>IF(A317="","",IF(COUNTIFS('Event Guide'!$A$6:$A$29,C317)=1,VLOOKUP(C317,'Event Guide'!$A$6:$C$29,2,FALSE),"Unknown event"))</x:f>
      </x:c>
      <x:c r="P317" s="42" t="str">
        <x:f>IF(A317="","",IF(COUNTIFS('Event Guide'!$A$6:$A$29,C317)=1,VLOOKUP(C317,'Event Guide'!$A$6:$C$29,3,FALSE),"Unknown event"))</x:f>
      </x:c>
      <x:c r="Q317" s="42" t="str">
        <x:f>IF(A317="","",IF(O317="PAY",E317,IF(O317="OTHER",F317,IF(O317="CAPITAL","Capital - "&amp;G317,IF(O317="DUE","Due to - "&amp;G317,IF(O317="DRAW","Drawings - "&amp;G317,O317))))))</x:f>
      </x:c>
      <x:c r="R317" s="42" t="str">
        <x:f>IF(A317="","",IF(P317="PAY",E317,IF(P317="OTHER",F317,IF(P317="CAPITAL","Capital - "&amp;G317,IF(P317="DUE","Due to - "&amp;G317,IF(P317="DRAW","Drawings - "&amp;G317,P317))))))</x:f>
      </x:c>
      <x:c r="S317" s="37" t="n">
        <x:f>IF(AND(N317="Approved",T317="OK"),D317,0)</x:f>
        <x:v>0</x:v>
      </x:c>
      <x:c r="T317" s="42" t="str">
        <x:f>IF(A317="","",IF(COUNTIFS($A$6:$A$505,A317)&lt;&gt;1,"Duplicate ID",IF(OR(NOT(ISNUMBER(B317)),D317&lt;=0,NOT(ISNUMBER(D317)),I317="",J317="",L317=""),"Missing date/amount/ref/details",IF(OR(COUNTIFS('Accounts'!$A$6:$A$105,Q317)&lt;&gt;1,COUNTIFS('Accounts'!$A$6:$A$105,R317)&lt;&gt;1,Q317=R317),"Check accounts/event",IF(AND(OR(Q317="Trade payables",R317="Trade payables",Q317="Customer receivables",R317="Customer receivables",Q317="Courier receivables",R317="Courier receivables",Q317="Supplier advances",R317="Supplier advances"),H317=""),"Contact ID required",IF(AND(N317="Approved",OR(M317="",M317=L317)),"Independent review needed",IF(OR(N317="Draft",N317="Approved",N317="Void"),"OK","Status required")))))))</x:f>
      </x:c>
    </x:row>
    <x:row r="318" ht="23" customHeight="1">
      <x:c r="A318" s="36"/>
      <x:c r="B318" s="40"/>
      <x:c r="C318" s="36"/>
      <x:c r="D318" s="41"/>
      <x:c r="E318" s="36"/>
      <x:c r="F318" s="36"/>
      <x:c r="G318" s="36"/>
      <x:c r="H318" s="36"/>
      <x:c r="I318" s="36"/>
      <x:c r="J318" s="36"/>
      <x:c r="K318" s="36"/>
      <x:c r="L318" s="36"/>
      <x:c r="M318" s="36"/>
      <x:c r="N318" s="36"/>
      <x:c r="O318" s="42" t="str">
        <x:f>IF(A318="","",IF(COUNTIFS('Event Guide'!$A$6:$A$29,C318)=1,VLOOKUP(C318,'Event Guide'!$A$6:$C$29,2,FALSE),"Unknown event"))</x:f>
      </x:c>
      <x:c r="P318" s="42" t="str">
        <x:f>IF(A318="","",IF(COUNTIFS('Event Guide'!$A$6:$A$29,C318)=1,VLOOKUP(C318,'Event Guide'!$A$6:$C$29,3,FALSE),"Unknown event"))</x:f>
      </x:c>
      <x:c r="Q318" s="42" t="str">
        <x:f>IF(A318="","",IF(O318="PAY",E318,IF(O318="OTHER",F318,IF(O318="CAPITAL","Capital - "&amp;G318,IF(O318="DUE","Due to - "&amp;G318,IF(O318="DRAW","Drawings - "&amp;G318,O318))))))</x:f>
      </x:c>
      <x:c r="R318" s="42" t="str">
        <x:f>IF(A318="","",IF(P318="PAY",E318,IF(P318="OTHER",F318,IF(P318="CAPITAL","Capital - "&amp;G318,IF(P318="DUE","Due to - "&amp;G318,IF(P318="DRAW","Drawings - "&amp;G318,P318))))))</x:f>
      </x:c>
      <x:c r="S318" s="37" t="n">
        <x:f>IF(AND(N318="Approved",T318="OK"),D318,0)</x:f>
        <x:v>0</x:v>
      </x:c>
      <x:c r="T318" s="42" t="str">
        <x:f>IF(A318="","",IF(COUNTIFS($A$6:$A$505,A318)&lt;&gt;1,"Duplicate ID",IF(OR(NOT(ISNUMBER(B318)),D318&lt;=0,NOT(ISNUMBER(D318)),I318="",J318="",L318=""),"Missing date/amount/ref/details",IF(OR(COUNTIFS('Accounts'!$A$6:$A$105,Q318)&lt;&gt;1,COUNTIFS('Accounts'!$A$6:$A$105,R318)&lt;&gt;1,Q318=R318),"Check accounts/event",IF(AND(OR(Q318="Trade payables",R318="Trade payables",Q318="Customer receivables",R318="Customer receivables",Q318="Courier receivables",R318="Courier receivables",Q318="Supplier advances",R318="Supplier advances"),H318=""),"Contact ID required",IF(AND(N318="Approved",OR(M318="",M318=L318)),"Independent review needed",IF(OR(N318="Draft",N318="Approved",N318="Void"),"OK","Status required")))))))</x:f>
      </x:c>
    </x:row>
    <x:row r="319" ht="23" customHeight="1">
      <x:c r="A319" s="36"/>
      <x:c r="B319" s="40"/>
      <x:c r="C319" s="36"/>
      <x:c r="D319" s="41"/>
      <x:c r="E319" s="36"/>
      <x:c r="F319" s="36"/>
      <x:c r="G319" s="36"/>
      <x:c r="H319" s="36"/>
      <x:c r="I319" s="36"/>
      <x:c r="J319" s="36"/>
      <x:c r="K319" s="36"/>
      <x:c r="L319" s="36"/>
      <x:c r="M319" s="36"/>
      <x:c r="N319" s="36"/>
      <x:c r="O319" s="42" t="str">
        <x:f>IF(A319="","",IF(COUNTIFS('Event Guide'!$A$6:$A$29,C319)=1,VLOOKUP(C319,'Event Guide'!$A$6:$C$29,2,FALSE),"Unknown event"))</x:f>
      </x:c>
      <x:c r="P319" s="42" t="str">
        <x:f>IF(A319="","",IF(COUNTIFS('Event Guide'!$A$6:$A$29,C319)=1,VLOOKUP(C319,'Event Guide'!$A$6:$C$29,3,FALSE),"Unknown event"))</x:f>
      </x:c>
      <x:c r="Q319" s="42" t="str">
        <x:f>IF(A319="","",IF(O319="PAY",E319,IF(O319="OTHER",F319,IF(O319="CAPITAL","Capital - "&amp;G319,IF(O319="DUE","Due to - "&amp;G319,IF(O319="DRAW","Drawings - "&amp;G319,O319))))))</x:f>
      </x:c>
      <x:c r="R319" s="42" t="str">
        <x:f>IF(A319="","",IF(P319="PAY",E319,IF(P319="OTHER",F319,IF(P319="CAPITAL","Capital - "&amp;G319,IF(P319="DUE","Due to - "&amp;G319,IF(P319="DRAW","Drawings - "&amp;G319,P319))))))</x:f>
      </x:c>
      <x:c r="S319" s="37" t="n">
        <x:f>IF(AND(N319="Approved",T319="OK"),D319,0)</x:f>
        <x:v>0</x:v>
      </x:c>
      <x:c r="T319" s="42" t="str">
        <x:f>IF(A319="","",IF(COUNTIFS($A$6:$A$505,A319)&lt;&gt;1,"Duplicate ID",IF(OR(NOT(ISNUMBER(B319)),D319&lt;=0,NOT(ISNUMBER(D319)),I319="",J319="",L319=""),"Missing date/amount/ref/details",IF(OR(COUNTIFS('Accounts'!$A$6:$A$105,Q319)&lt;&gt;1,COUNTIFS('Accounts'!$A$6:$A$105,R319)&lt;&gt;1,Q319=R319),"Check accounts/event",IF(AND(OR(Q319="Trade payables",R319="Trade payables",Q319="Customer receivables",R319="Customer receivables",Q319="Courier receivables",R319="Courier receivables",Q319="Supplier advances",R319="Supplier advances"),H319=""),"Contact ID required",IF(AND(N319="Approved",OR(M319="",M319=L319)),"Independent review needed",IF(OR(N319="Draft",N319="Approved",N319="Void"),"OK","Status required")))))))</x:f>
      </x:c>
    </x:row>
    <x:row r="320" ht="23" customHeight="1">
      <x:c r="A320" s="36"/>
      <x:c r="B320" s="40"/>
      <x:c r="C320" s="36"/>
      <x:c r="D320" s="41"/>
      <x:c r="E320" s="36"/>
      <x:c r="F320" s="36"/>
      <x:c r="G320" s="36"/>
      <x:c r="H320" s="36"/>
      <x:c r="I320" s="36"/>
      <x:c r="J320" s="36"/>
      <x:c r="K320" s="36"/>
      <x:c r="L320" s="36"/>
      <x:c r="M320" s="36"/>
      <x:c r="N320" s="36"/>
      <x:c r="O320" s="42" t="str">
        <x:f>IF(A320="","",IF(COUNTIFS('Event Guide'!$A$6:$A$29,C320)=1,VLOOKUP(C320,'Event Guide'!$A$6:$C$29,2,FALSE),"Unknown event"))</x:f>
      </x:c>
      <x:c r="P320" s="42" t="str">
        <x:f>IF(A320="","",IF(COUNTIFS('Event Guide'!$A$6:$A$29,C320)=1,VLOOKUP(C320,'Event Guide'!$A$6:$C$29,3,FALSE),"Unknown event"))</x:f>
      </x:c>
      <x:c r="Q320" s="42" t="str">
        <x:f>IF(A320="","",IF(O320="PAY",E320,IF(O320="OTHER",F320,IF(O320="CAPITAL","Capital - "&amp;G320,IF(O320="DUE","Due to - "&amp;G320,IF(O320="DRAW","Drawings - "&amp;G320,O320))))))</x:f>
      </x:c>
      <x:c r="R320" s="42" t="str">
        <x:f>IF(A320="","",IF(P320="PAY",E320,IF(P320="OTHER",F320,IF(P320="CAPITAL","Capital - "&amp;G320,IF(P320="DUE","Due to - "&amp;G320,IF(P320="DRAW","Drawings - "&amp;G320,P320))))))</x:f>
      </x:c>
      <x:c r="S320" s="37" t="n">
        <x:f>IF(AND(N320="Approved",T320="OK"),D320,0)</x:f>
        <x:v>0</x:v>
      </x:c>
      <x:c r="T320" s="42" t="str">
        <x:f>IF(A320="","",IF(COUNTIFS($A$6:$A$505,A320)&lt;&gt;1,"Duplicate ID",IF(OR(NOT(ISNUMBER(B320)),D320&lt;=0,NOT(ISNUMBER(D320)),I320="",J320="",L320=""),"Missing date/amount/ref/details",IF(OR(COUNTIFS('Accounts'!$A$6:$A$105,Q320)&lt;&gt;1,COUNTIFS('Accounts'!$A$6:$A$105,R320)&lt;&gt;1,Q320=R320),"Check accounts/event",IF(AND(OR(Q320="Trade payables",R320="Trade payables",Q320="Customer receivables",R320="Customer receivables",Q320="Courier receivables",R320="Courier receivables",Q320="Supplier advances",R320="Supplier advances"),H320=""),"Contact ID required",IF(AND(N320="Approved",OR(M320="",M320=L320)),"Independent review needed",IF(OR(N320="Draft",N320="Approved",N320="Void"),"OK","Status required")))))))</x:f>
      </x:c>
    </x:row>
    <x:row r="321" ht="23" customHeight="1">
      <x:c r="A321" s="36"/>
      <x:c r="B321" s="40"/>
      <x:c r="C321" s="36"/>
      <x:c r="D321" s="41"/>
      <x:c r="E321" s="36"/>
      <x:c r="F321" s="36"/>
      <x:c r="G321" s="36"/>
      <x:c r="H321" s="36"/>
      <x:c r="I321" s="36"/>
      <x:c r="J321" s="36"/>
      <x:c r="K321" s="36"/>
      <x:c r="L321" s="36"/>
      <x:c r="M321" s="36"/>
      <x:c r="N321" s="36"/>
      <x:c r="O321" s="42" t="str">
        <x:f>IF(A321="","",IF(COUNTIFS('Event Guide'!$A$6:$A$29,C321)=1,VLOOKUP(C321,'Event Guide'!$A$6:$C$29,2,FALSE),"Unknown event"))</x:f>
      </x:c>
      <x:c r="P321" s="42" t="str">
        <x:f>IF(A321="","",IF(COUNTIFS('Event Guide'!$A$6:$A$29,C321)=1,VLOOKUP(C321,'Event Guide'!$A$6:$C$29,3,FALSE),"Unknown event"))</x:f>
      </x:c>
      <x:c r="Q321" s="42" t="str">
        <x:f>IF(A321="","",IF(O321="PAY",E321,IF(O321="OTHER",F321,IF(O321="CAPITAL","Capital - "&amp;G321,IF(O321="DUE","Due to - "&amp;G321,IF(O321="DRAW","Drawings - "&amp;G321,O321))))))</x:f>
      </x:c>
      <x:c r="R321" s="42" t="str">
        <x:f>IF(A321="","",IF(P321="PAY",E321,IF(P321="OTHER",F321,IF(P321="CAPITAL","Capital - "&amp;G321,IF(P321="DUE","Due to - "&amp;G321,IF(P321="DRAW","Drawings - "&amp;G321,P321))))))</x:f>
      </x:c>
      <x:c r="S321" s="37" t="n">
        <x:f>IF(AND(N321="Approved",T321="OK"),D321,0)</x:f>
        <x:v>0</x:v>
      </x:c>
      <x:c r="T321" s="42" t="str">
        <x:f>IF(A321="","",IF(COUNTIFS($A$6:$A$505,A321)&lt;&gt;1,"Duplicate ID",IF(OR(NOT(ISNUMBER(B321)),D321&lt;=0,NOT(ISNUMBER(D321)),I321="",J321="",L321=""),"Missing date/amount/ref/details",IF(OR(COUNTIFS('Accounts'!$A$6:$A$105,Q321)&lt;&gt;1,COUNTIFS('Accounts'!$A$6:$A$105,R321)&lt;&gt;1,Q321=R321),"Check accounts/event",IF(AND(OR(Q321="Trade payables",R321="Trade payables",Q321="Customer receivables",R321="Customer receivables",Q321="Courier receivables",R321="Courier receivables",Q321="Supplier advances",R321="Supplier advances"),H321=""),"Contact ID required",IF(AND(N321="Approved",OR(M321="",M321=L321)),"Independent review needed",IF(OR(N321="Draft",N321="Approved",N321="Void"),"OK","Status required")))))))</x:f>
      </x:c>
    </x:row>
    <x:row r="322" ht="23" customHeight="1">
      <x:c r="A322" s="36"/>
      <x:c r="B322" s="40"/>
      <x:c r="C322" s="36"/>
      <x:c r="D322" s="41"/>
      <x:c r="E322" s="36"/>
      <x:c r="F322" s="36"/>
      <x:c r="G322" s="36"/>
      <x:c r="H322" s="36"/>
      <x:c r="I322" s="36"/>
      <x:c r="J322" s="36"/>
      <x:c r="K322" s="36"/>
      <x:c r="L322" s="36"/>
      <x:c r="M322" s="36"/>
      <x:c r="N322" s="36"/>
      <x:c r="O322" s="42" t="str">
        <x:f>IF(A322="","",IF(COUNTIFS('Event Guide'!$A$6:$A$29,C322)=1,VLOOKUP(C322,'Event Guide'!$A$6:$C$29,2,FALSE),"Unknown event"))</x:f>
      </x:c>
      <x:c r="P322" s="42" t="str">
        <x:f>IF(A322="","",IF(COUNTIFS('Event Guide'!$A$6:$A$29,C322)=1,VLOOKUP(C322,'Event Guide'!$A$6:$C$29,3,FALSE),"Unknown event"))</x:f>
      </x:c>
      <x:c r="Q322" s="42" t="str">
        <x:f>IF(A322="","",IF(O322="PAY",E322,IF(O322="OTHER",F322,IF(O322="CAPITAL","Capital - "&amp;G322,IF(O322="DUE","Due to - "&amp;G322,IF(O322="DRAW","Drawings - "&amp;G322,O322))))))</x:f>
      </x:c>
      <x:c r="R322" s="42" t="str">
        <x:f>IF(A322="","",IF(P322="PAY",E322,IF(P322="OTHER",F322,IF(P322="CAPITAL","Capital - "&amp;G322,IF(P322="DUE","Due to - "&amp;G322,IF(P322="DRAW","Drawings - "&amp;G322,P322))))))</x:f>
      </x:c>
      <x:c r="S322" s="37" t="n">
        <x:f>IF(AND(N322="Approved",T322="OK"),D322,0)</x:f>
        <x:v>0</x:v>
      </x:c>
      <x:c r="T322" s="42" t="str">
        <x:f>IF(A322="","",IF(COUNTIFS($A$6:$A$505,A322)&lt;&gt;1,"Duplicate ID",IF(OR(NOT(ISNUMBER(B322)),D322&lt;=0,NOT(ISNUMBER(D322)),I322="",J322="",L322=""),"Missing date/amount/ref/details",IF(OR(COUNTIFS('Accounts'!$A$6:$A$105,Q322)&lt;&gt;1,COUNTIFS('Accounts'!$A$6:$A$105,R322)&lt;&gt;1,Q322=R322),"Check accounts/event",IF(AND(OR(Q322="Trade payables",R322="Trade payables",Q322="Customer receivables",R322="Customer receivables",Q322="Courier receivables",R322="Courier receivables",Q322="Supplier advances",R322="Supplier advances"),H322=""),"Contact ID required",IF(AND(N322="Approved",OR(M322="",M322=L322)),"Independent review needed",IF(OR(N322="Draft",N322="Approved",N322="Void"),"OK","Status required")))))))</x:f>
      </x:c>
    </x:row>
    <x:row r="323" ht="23" customHeight="1">
      <x:c r="A323" s="36"/>
      <x:c r="B323" s="40"/>
      <x:c r="C323" s="36"/>
      <x:c r="D323" s="41"/>
      <x:c r="E323" s="36"/>
      <x:c r="F323" s="36"/>
      <x:c r="G323" s="36"/>
      <x:c r="H323" s="36"/>
      <x:c r="I323" s="36"/>
      <x:c r="J323" s="36"/>
      <x:c r="K323" s="36"/>
      <x:c r="L323" s="36"/>
      <x:c r="M323" s="36"/>
      <x:c r="N323" s="36"/>
      <x:c r="O323" s="42" t="str">
        <x:f>IF(A323="","",IF(COUNTIFS('Event Guide'!$A$6:$A$29,C323)=1,VLOOKUP(C323,'Event Guide'!$A$6:$C$29,2,FALSE),"Unknown event"))</x:f>
      </x:c>
      <x:c r="P323" s="42" t="str">
        <x:f>IF(A323="","",IF(COUNTIFS('Event Guide'!$A$6:$A$29,C323)=1,VLOOKUP(C323,'Event Guide'!$A$6:$C$29,3,FALSE),"Unknown event"))</x:f>
      </x:c>
      <x:c r="Q323" s="42" t="str">
        <x:f>IF(A323="","",IF(O323="PAY",E323,IF(O323="OTHER",F323,IF(O323="CAPITAL","Capital - "&amp;G323,IF(O323="DUE","Due to - "&amp;G323,IF(O323="DRAW","Drawings - "&amp;G323,O323))))))</x:f>
      </x:c>
      <x:c r="R323" s="42" t="str">
        <x:f>IF(A323="","",IF(P323="PAY",E323,IF(P323="OTHER",F323,IF(P323="CAPITAL","Capital - "&amp;G323,IF(P323="DUE","Due to - "&amp;G323,IF(P323="DRAW","Drawings - "&amp;G323,P323))))))</x:f>
      </x:c>
      <x:c r="S323" s="37" t="n">
        <x:f>IF(AND(N323="Approved",T323="OK"),D323,0)</x:f>
        <x:v>0</x:v>
      </x:c>
      <x:c r="T323" s="42" t="str">
        <x:f>IF(A323="","",IF(COUNTIFS($A$6:$A$505,A323)&lt;&gt;1,"Duplicate ID",IF(OR(NOT(ISNUMBER(B323)),D323&lt;=0,NOT(ISNUMBER(D323)),I323="",J323="",L323=""),"Missing date/amount/ref/details",IF(OR(COUNTIFS('Accounts'!$A$6:$A$105,Q323)&lt;&gt;1,COUNTIFS('Accounts'!$A$6:$A$105,R323)&lt;&gt;1,Q323=R323),"Check accounts/event",IF(AND(OR(Q323="Trade payables",R323="Trade payables",Q323="Customer receivables",R323="Customer receivables",Q323="Courier receivables",R323="Courier receivables",Q323="Supplier advances",R323="Supplier advances"),H323=""),"Contact ID required",IF(AND(N323="Approved",OR(M323="",M323=L323)),"Independent review needed",IF(OR(N323="Draft",N323="Approved",N323="Void"),"OK","Status required")))))))</x:f>
      </x:c>
    </x:row>
    <x:row r="324" ht="23" customHeight="1">
      <x:c r="A324" s="36"/>
      <x:c r="B324" s="40"/>
      <x:c r="C324" s="36"/>
      <x:c r="D324" s="41"/>
      <x:c r="E324" s="36"/>
      <x:c r="F324" s="36"/>
      <x:c r="G324" s="36"/>
      <x:c r="H324" s="36"/>
      <x:c r="I324" s="36"/>
      <x:c r="J324" s="36"/>
      <x:c r="K324" s="36"/>
      <x:c r="L324" s="36"/>
      <x:c r="M324" s="36"/>
      <x:c r="N324" s="36"/>
      <x:c r="O324" s="42" t="str">
        <x:f>IF(A324="","",IF(COUNTIFS('Event Guide'!$A$6:$A$29,C324)=1,VLOOKUP(C324,'Event Guide'!$A$6:$C$29,2,FALSE),"Unknown event"))</x:f>
      </x:c>
      <x:c r="P324" s="42" t="str">
        <x:f>IF(A324="","",IF(COUNTIFS('Event Guide'!$A$6:$A$29,C324)=1,VLOOKUP(C324,'Event Guide'!$A$6:$C$29,3,FALSE),"Unknown event"))</x:f>
      </x:c>
      <x:c r="Q324" s="42" t="str">
        <x:f>IF(A324="","",IF(O324="PAY",E324,IF(O324="OTHER",F324,IF(O324="CAPITAL","Capital - "&amp;G324,IF(O324="DUE","Due to - "&amp;G324,IF(O324="DRAW","Drawings - "&amp;G324,O324))))))</x:f>
      </x:c>
      <x:c r="R324" s="42" t="str">
        <x:f>IF(A324="","",IF(P324="PAY",E324,IF(P324="OTHER",F324,IF(P324="CAPITAL","Capital - "&amp;G324,IF(P324="DUE","Due to - "&amp;G324,IF(P324="DRAW","Drawings - "&amp;G324,P324))))))</x:f>
      </x:c>
      <x:c r="S324" s="37" t="n">
        <x:f>IF(AND(N324="Approved",T324="OK"),D324,0)</x:f>
        <x:v>0</x:v>
      </x:c>
      <x:c r="T324" s="42" t="str">
        <x:f>IF(A324="","",IF(COUNTIFS($A$6:$A$505,A324)&lt;&gt;1,"Duplicate ID",IF(OR(NOT(ISNUMBER(B324)),D324&lt;=0,NOT(ISNUMBER(D324)),I324="",J324="",L324=""),"Missing date/amount/ref/details",IF(OR(COUNTIFS('Accounts'!$A$6:$A$105,Q324)&lt;&gt;1,COUNTIFS('Accounts'!$A$6:$A$105,R324)&lt;&gt;1,Q324=R324),"Check accounts/event",IF(AND(OR(Q324="Trade payables",R324="Trade payables",Q324="Customer receivables",R324="Customer receivables",Q324="Courier receivables",R324="Courier receivables",Q324="Supplier advances",R324="Supplier advances"),H324=""),"Contact ID required",IF(AND(N324="Approved",OR(M324="",M324=L324)),"Independent review needed",IF(OR(N324="Draft",N324="Approved",N324="Void"),"OK","Status required")))))))</x:f>
      </x:c>
    </x:row>
    <x:row r="325" ht="23" customHeight="1">
      <x:c r="A325" s="36"/>
      <x:c r="B325" s="40"/>
      <x:c r="C325" s="36"/>
      <x:c r="D325" s="41"/>
      <x:c r="E325" s="36"/>
      <x:c r="F325" s="36"/>
      <x:c r="G325" s="36"/>
      <x:c r="H325" s="36"/>
      <x:c r="I325" s="36"/>
      <x:c r="J325" s="36"/>
      <x:c r="K325" s="36"/>
      <x:c r="L325" s="36"/>
      <x:c r="M325" s="36"/>
      <x:c r="N325" s="36"/>
      <x:c r="O325" s="42" t="str">
        <x:f>IF(A325="","",IF(COUNTIFS('Event Guide'!$A$6:$A$29,C325)=1,VLOOKUP(C325,'Event Guide'!$A$6:$C$29,2,FALSE),"Unknown event"))</x:f>
      </x:c>
      <x:c r="P325" s="42" t="str">
        <x:f>IF(A325="","",IF(COUNTIFS('Event Guide'!$A$6:$A$29,C325)=1,VLOOKUP(C325,'Event Guide'!$A$6:$C$29,3,FALSE),"Unknown event"))</x:f>
      </x:c>
      <x:c r="Q325" s="42" t="str">
        <x:f>IF(A325="","",IF(O325="PAY",E325,IF(O325="OTHER",F325,IF(O325="CAPITAL","Capital - "&amp;G325,IF(O325="DUE","Due to - "&amp;G325,IF(O325="DRAW","Drawings - "&amp;G325,O325))))))</x:f>
      </x:c>
      <x:c r="R325" s="42" t="str">
        <x:f>IF(A325="","",IF(P325="PAY",E325,IF(P325="OTHER",F325,IF(P325="CAPITAL","Capital - "&amp;G325,IF(P325="DUE","Due to - "&amp;G325,IF(P325="DRAW","Drawings - "&amp;G325,P325))))))</x:f>
      </x:c>
      <x:c r="S325" s="37" t="n">
        <x:f>IF(AND(N325="Approved",T325="OK"),D325,0)</x:f>
        <x:v>0</x:v>
      </x:c>
      <x:c r="T325" s="42" t="str">
        <x:f>IF(A325="","",IF(COUNTIFS($A$6:$A$505,A325)&lt;&gt;1,"Duplicate ID",IF(OR(NOT(ISNUMBER(B325)),D325&lt;=0,NOT(ISNUMBER(D325)),I325="",J325="",L325=""),"Missing date/amount/ref/details",IF(OR(COUNTIFS('Accounts'!$A$6:$A$105,Q325)&lt;&gt;1,COUNTIFS('Accounts'!$A$6:$A$105,R325)&lt;&gt;1,Q325=R325),"Check accounts/event",IF(AND(OR(Q325="Trade payables",R325="Trade payables",Q325="Customer receivables",R325="Customer receivables",Q325="Courier receivables",R325="Courier receivables",Q325="Supplier advances",R325="Supplier advances"),H325=""),"Contact ID required",IF(AND(N325="Approved",OR(M325="",M325=L325)),"Independent review needed",IF(OR(N325="Draft",N325="Approved",N325="Void"),"OK","Status required")))))))</x:f>
      </x:c>
    </x:row>
    <x:row r="326" ht="23" customHeight="1">
      <x:c r="A326" s="36"/>
      <x:c r="B326" s="40"/>
      <x:c r="C326" s="36"/>
      <x:c r="D326" s="41"/>
      <x:c r="E326" s="36"/>
      <x:c r="F326" s="36"/>
      <x:c r="G326" s="36"/>
      <x:c r="H326" s="36"/>
      <x:c r="I326" s="36"/>
      <x:c r="J326" s="36"/>
      <x:c r="K326" s="36"/>
      <x:c r="L326" s="36"/>
      <x:c r="M326" s="36"/>
      <x:c r="N326" s="36"/>
      <x:c r="O326" s="42" t="str">
        <x:f>IF(A326="","",IF(COUNTIFS('Event Guide'!$A$6:$A$29,C326)=1,VLOOKUP(C326,'Event Guide'!$A$6:$C$29,2,FALSE),"Unknown event"))</x:f>
      </x:c>
      <x:c r="P326" s="42" t="str">
        <x:f>IF(A326="","",IF(COUNTIFS('Event Guide'!$A$6:$A$29,C326)=1,VLOOKUP(C326,'Event Guide'!$A$6:$C$29,3,FALSE),"Unknown event"))</x:f>
      </x:c>
      <x:c r="Q326" s="42" t="str">
        <x:f>IF(A326="","",IF(O326="PAY",E326,IF(O326="OTHER",F326,IF(O326="CAPITAL","Capital - "&amp;G326,IF(O326="DUE","Due to - "&amp;G326,IF(O326="DRAW","Drawings - "&amp;G326,O326))))))</x:f>
      </x:c>
      <x:c r="R326" s="42" t="str">
        <x:f>IF(A326="","",IF(P326="PAY",E326,IF(P326="OTHER",F326,IF(P326="CAPITAL","Capital - "&amp;G326,IF(P326="DUE","Due to - "&amp;G326,IF(P326="DRAW","Drawings - "&amp;G326,P326))))))</x:f>
      </x:c>
      <x:c r="S326" s="37" t="n">
        <x:f>IF(AND(N326="Approved",T326="OK"),D326,0)</x:f>
        <x:v>0</x:v>
      </x:c>
      <x:c r="T326" s="42" t="str">
        <x:f>IF(A326="","",IF(COUNTIFS($A$6:$A$505,A326)&lt;&gt;1,"Duplicate ID",IF(OR(NOT(ISNUMBER(B326)),D326&lt;=0,NOT(ISNUMBER(D326)),I326="",J326="",L326=""),"Missing date/amount/ref/details",IF(OR(COUNTIFS('Accounts'!$A$6:$A$105,Q326)&lt;&gt;1,COUNTIFS('Accounts'!$A$6:$A$105,R326)&lt;&gt;1,Q326=R326),"Check accounts/event",IF(AND(OR(Q326="Trade payables",R326="Trade payables",Q326="Customer receivables",R326="Customer receivables",Q326="Courier receivables",R326="Courier receivables",Q326="Supplier advances",R326="Supplier advances"),H326=""),"Contact ID required",IF(AND(N326="Approved",OR(M326="",M326=L326)),"Independent review needed",IF(OR(N326="Draft",N326="Approved",N326="Void"),"OK","Status required")))))))</x:f>
      </x:c>
    </x:row>
    <x:row r="327" ht="23" customHeight="1">
      <x:c r="A327" s="36"/>
      <x:c r="B327" s="40"/>
      <x:c r="C327" s="36"/>
      <x:c r="D327" s="41"/>
      <x:c r="E327" s="36"/>
      <x:c r="F327" s="36"/>
      <x:c r="G327" s="36"/>
      <x:c r="H327" s="36"/>
      <x:c r="I327" s="36"/>
      <x:c r="J327" s="36"/>
      <x:c r="K327" s="36"/>
      <x:c r="L327" s="36"/>
      <x:c r="M327" s="36"/>
      <x:c r="N327" s="36"/>
      <x:c r="O327" s="42" t="str">
        <x:f>IF(A327="","",IF(COUNTIFS('Event Guide'!$A$6:$A$29,C327)=1,VLOOKUP(C327,'Event Guide'!$A$6:$C$29,2,FALSE),"Unknown event"))</x:f>
      </x:c>
      <x:c r="P327" s="42" t="str">
        <x:f>IF(A327="","",IF(COUNTIFS('Event Guide'!$A$6:$A$29,C327)=1,VLOOKUP(C327,'Event Guide'!$A$6:$C$29,3,FALSE),"Unknown event"))</x:f>
      </x:c>
      <x:c r="Q327" s="42" t="str">
        <x:f>IF(A327="","",IF(O327="PAY",E327,IF(O327="OTHER",F327,IF(O327="CAPITAL","Capital - "&amp;G327,IF(O327="DUE","Due to - "&amp;G327,IF(O327="DRAW","Drawings - "&amp;G327,O327))))))</x:f>
      </x:c>
      <x:c r="R327" s="42" t="str">
        <x:f>IF(A327="","",IF(P327="PAY",E327,IF(P327="OTHER",F327,IF(P327="CAPITAL","Capital - "&amp;G327,IF(P327="DUE","Due to - "&amp;G327,IF(P327="DRAW","Drawings - "&amp;G327,P327))))))</x:f>
      </x:c>
      <x:c r="S327" s="37" t="n">
        <x:f>IF(AND(N327="Approved",T327="OK"),D327,0)</x:f>
        <x:v>0</x:v>
      </x:c>
      <x:c r="T327" s="42" t="str">
        <x:f>IF(A327="","",IF(COUNTIFS($A$6:$A$505,A327)&lt;&gt;1,"Duplicate ID",IF(OR(NOT(ISNUMBER(B327)),D327&lt;=0,NOT(ISNUMBER(D327)),I327="",J327="",L327=""),"Missing date/amount/ref/details",IF(OR(COUNTIFS('Accounts'!$A$6:$A$105,Q327)&lt;&gt;1,COUNTIFS('Accounts'!$A$6:$A$105,R327)&lt;&gt;1,Q327=R327),"Check accounts/event",IF(AND(OR(Q327="Trade payables",R327="Trade payables",Q327="Customer receivables",R327="Customer receivables",Q327="Courier receivables",R327="Courier receivables",Q327="Supplier advances",R327="Supplier advances"),H327=""),"Contact ID required",IF(AND(N327="Approved",OR(M327="",M327=L327)),"Independent review needed",IF(OR(N327="Draft",N327="Approved",N327="Void"),"OK","Status required")))))))</x:f>
      </x:c>
    </x:row>
    <x:row r="328" ht="23" customHeight="1">
      <x:c r="A328" s="36"/>
      <x:c r="B328" s="40"/>
      <x:c r="C328" s="36"/>
      <x:c r="D328" s="41"/>
      <x:c r="E328" s="36"/>
      <x:c r="F328" s="36"/>
      <x:c r="G328" s="36"/>
      <x:c r="H328" s="36"/>
      <x:c r="I328" s="36"/>
      <x:c r="J328" s="36"/>
      <x:c r="K328" s="36"/>
      <x:c r="L328" s="36"/>
      <x:c r="M328" s="36"/>
      <x:c r="N328" s="36"/>
      <x:c r="O328" s="42" t="str">
        <x:f>IF(A328="","",IF(COUNTIFS('Event Guide'!$A$6:$A$29,C328)=1,VLOOKUP(C328,'Event Guide'!$A$6:$C$29,2,FALSE),"Unknown event"))</x:f>
      </x:c>
      <x:c r="P328" s="42" t="str">
        <x:f>IF(A328="","",IF(COUNTIFS('Event Guide'!$A$6:$A$29,C328)=1,VLOOKUP(C328,'Event Guide'!$A$6:$C$29,3,FALSE),"Unknown event"))</x:f>
      </x:c>
      <x:c r="Q328" s="42" t="str">
        <x:f>IF(A328="","",IF(O328="PAY",E328,IF(O328="OTHER",F328,IF(O328="CAPITAL","Capital - "&amp;G328,IF(O328="DUE","Due to - "&amp;G328,IF(O328="DRAW","Drawings - "&amp;G328,O328))))))</x:f>
      </x:c>
      <x:c r="R328" s="42" t="str">
        <x:f>IF(A328="","",IF(P328="PAY",E328,IF(P328="OTHER",F328,IF(P328="CAPITAL","Capital - "&amp;G328,IF(P328="DUE","Due to - "&amp;G328,IF(P328="DRAW","Drawings - "&amp;G328,P328))))))</x:f>
      </x:c>
      <x:c r="S328" s="37" t="n">
        <x:f>IF(AND(N328="Approved",T328="OK"),D328,0)</x:f>
        <x:v>0</x:v>
      </x:c>
      <x:c r="T328" s="42" t="str">
        <x:f>IF(A328="","",IF(COUNTIFS($A$6:$A$505,A328)&lt;&gt;1,"Duplicate ID",IF(OR(NOT(ISNUMBER(B328)),D328&lt;=0,NOT(ISNUMBER(D328)),I328="",J328="",L328=""),"Missing date/amount/ref/details",IF(OR(COUNTIFS('Accounts'!$A$6:$A$105,Q328)&lt;&gt;1,COUNTIFS('Accounts'!$A$6:$A$105,R328)&lt;&gt;1,Q328=R328),"Check accounts/event",IF(AND(OR(Q328="Trade payables",R328="Trade payables",Q328="Customer receivables",R328="Customer receivables",Q328="Courier receivables",R328="Courier receivables",Q328="Supplier advances",R328="Supplier advances"),H328=""),"Contact ID required",IF(AND(N328="Approved",OR(M328="",M328=L328)),"Independent review needed",IF(OR(N328="Draft",N328="Approved",N328="Void"),"OK","Status required")))))))</x:f>
      </x:c>
    </x:row>
    <x:row r="329" ht="23" customHeight="1">
      <x:c r="A329" s="36"/>
      <x:c r="B329" s="40"/>
      <x:c r="C329" s="36"/>
      <x:c r="D329" s="41"/>
      <x:c r="E329" s="36"/>
      <x:c r="F329" s="36"/>
      <x:c r="G329" s="36"/>
      <x:c r="H329" s="36"/>
      <x:c r="I329" s="36"/>
      <x:c r="J329" s="36"/>
      <x:c r="K329" s="36"/>
      <x:c r="L329" s="36"/>
      <x:c r="M329" s="36"/>
      <x:c r="N329" s="36"/>
      <x:c r="O329" s="42" t="str">
        <x:f>IF(A329="","",IF(COUNTIFS('Event Guide'!$A$6:$A$29,C329)=1,VLOOKUP(C329,'Event Guide'!$A$6:$C$29,2,FALSE),"Unknown event"))</x:f>
      </x:c>
      <x:c r="P329" s="42" t="str">
        <x:f>IF(A329="","",IF(COUNTIFS('Event Guide'!$A$6:$A$29,C329)=1,VLOOKUP(C329,'Event Guide'!$A$6:$C$29,3,FALSE),"Unknown event"))</x:f>
      </x:c>
      <x:c r="Q329" s="42" t="str">
        <x:f>IF(A329="","",IF(O329="PAY",E329,IF(O329="OTHER",F329,IF(O329="CAPITAL","Capital - "&amp;G329,IF(O329="DUE","Due to - "&amp;G329,IF(O329="DRAW","Drawings - "&amp;G329,O329))))))</x:f>
      </x:c>
      <x:c r="R329" s="42" t="str">
        <x:f>IF(A329="","",IF(P329="PAY",E329,IF(P329="OTHER",F329,IF(P329="CAPITAL","Capital - "&amp;G329,IF(P329="DUE","Due to - "&amp;G329,IF(P329="DRAW","Drawings - "&amp;G329,P329))))))</x:f>
      </x:c>
      <x:c r="S329" s="37" t="n">
        <x:f>IF(AND(N329="Approved",T329="OK"),D329,0)</x:f>
        <x:v>0</x:v>
      </x:c>
      <x:c r="T329" s="42" t="str">
        <x:f>IF(A329="","",IF(COUNTIFS($A$6:$A$505,A329)&lt;&gt;1,"Duplicate ID",IF(OR(NOT(ISNUMBER(B329)),D329&lt;=0,NOT(ISNUMBER(D329)),I329="",J329="",L329=""),"Missing date/amount/ref/details",IF(OR(COUNTIFS('Accounts'!$A$6:$A$105,Q329)&lt;&gt;1,COUNTIFS('Accounts'!$A$6:$A$105,R329)&lt;&gt;1,Q329=R329),"Check accounts/event",IF(AND(OR(Q329="Trade payables",R329="Trade payables",Q329="Customer receivables",R329="Customer receivables",Q329="Courier receivables",R329="Courier receivables",Q329="Supplier advances",R329="Supplier advances"),H329=""),"Contact ID required",IF(AND(N329="Approved",OR(M329="",M329=L329)),"Independent review needed",IF(OR(N329="Draft",N329="Approved",N329="Void"),"OK","Status required")))))))</x:f>
      </x:c>
    </x:row>
    <x:row r="330" ht="23" customHeight="1">
      <x:c r="A330" s="36"/>
      <x:c r="B330" s="40"/>
      <x:c r="C330" s="36"/>
      <x:c r="D330" s="41"/>
      <x:c r="E330" s="36"/>
      <x:c r="F330" s="36"/>
      <x:c r="G330" s="36"/>
      <x:c r="H330" s="36"/>
      <x:c r="I330" s="36"/>
      <x:c r="J330" s="36"/>
      <x:c r="K330" s="36"/>
      <x:c r="L330" s="36"/>
      <x:c r="M330" s="36"/>
      <x:c r="N330" s="36"/>
      <x:c r="O330" s="42" t="str">
        <x:f>IF(A330="","",IF(COUNTIFS('Event Guide'!$A$6:$A$29,C330)=1,VLOOKUP(C330,'Event Guide'!$A$6:$C$29,2,FALSE),"Unknown event"))</x:f>
      </x:c>
      <x:c r="P330" s="42" t="str">
        <x:f>IF(A330="","",IF(COUNTIFS('Event Guide'!$A$6:$A$29,C330)=1,VLOOKUP(C330,'Event Guide'!$A$6:$C$29,3,FALSE),"Unknown event"))</x:f>
      </x:c>
      <x:c r="Q330" s="42" t="str">
        <x:f>IF(A330="","",IF(O330="PAY",E330,IF(O330="OTHER",F330,IF(O330="CAPITAL","Capital - "&amp;G330,IF(O330="DUE","Due to - "&amp;G330,IF(O330="DRAW","Drawings - "&amp;G330,O330))))))</x:f>
      </x:c>
      <x:c r="R330" s="42" t="str">
        <x:f>IF(A330="","",IF(P330="PAY",E330,IF(P330="OTHER",F330,IF(P330="CAPITAL","Capital - "&amp;G330,IF(P330="DUE","Due to - "&amp;G330,IF(P330="DRAW","Drawings - "&amp;G330,P330))))))</x:f>
      </x:c>
      <x:c r="S330" s="37" t="n">
        <x:f>IF(AND(N330="Approved",T330="OK"),D330,0)</x:f>
        <x:v>0</x:v>
      </x:c>
      <x:c r="T330" s="42" t="str">
        <x:f>IF(A330="","",IF(COUNTIFS($A$6:$A$505,A330)&lt;&gt;1,"Duplicate ID",IF(OR(NOT(ISNUMBER(B330)),D330&lt;=0,NOT(ISNUMBER(D330)),I330="",J330="",L330=""),"Missing date/amount/ref/details",IF(OR(COUNTIFS('Accounts'!$A$6:$A$105,Q330)&lt;&gt;1,COUNTIFS('Accounts'!$A$6:$A$105,R330)&lt;&gt;1,Q330=R330),"Check accounts/event",IF(AND(OR(Q330="Trade payables",R330="Trade payables",Q330="Customer receivables",R330="Customer receivables",Q330="Courier receivables",R330="Courier receivables",Q330="Supplier advances",R330="Supplier advances"),H330=""),"Contact ID required",IF(AND(N330="Approved",OR(M330="",M330=L330)),"Independent review needed",IF(OR(N330="Draft",N330="Approved",N330="Void"),"OK","Status required")))))))</x:f>
      </x:c>
    </x:row>
    <x:row r="331" ht="23" customHeight="1">
      <x:c r="A331" s="36"/>
      <x:c r="B331" s="40"/>
      <x:c r="C331" s="36"/>
      <x:c r="D331" s="41"/>
      <x:c r="E331" s="36"/>
      <x:c r="F331" s="36"/>
      <x:c r="G331" s="36"/>
      <x:c r="H331" s="36"/>
      <x:c r="I331" s="36"/>
      <x:c r="J331" s="36"/>
      <x:c r="K331" s="36"/>
      <x:c r="L331" s="36"/>
      <x:c r="M331" s="36"/>
      <x:c r="N331" s="36"/>
      <x:c r="O331" s="42" t="str">
        <x:f>IF(A331="","",IF(COUNTIFS('Event Guide'!$A$6:$A$29,C331)=1,VLOOKUP(C331,'Event Guide'!$A$6:$C$29,2,FALSE),"Unknown event"))</x:f>
      </x:c>
      <x:c r="P331" s="42" t="str">
        <x:f>IF(A331="","",IF(COUNTIFS('Event Guide'!$A$6:$A$29,C331)=1,VLOOKUP(C331,'Event Guide'!$A$6:$C$29,3,FALSE),"Unknown event"))</x:f>
      </x:c>
      <x:c r="Q331" s="42" t="str">
        <x:f>IF(A331="","",IF(O331="PAY",E331,IF(O331="OTHER",F331,IF(O331="CAPITAL","Capital - "&amp;G331,IF(O331="DUE","Due to - "&amp;G331,IF(O331="DRAW","Drawings - "&amp;G331,O331))))))</x:f>
      </x:c>
      <x:c r="R331" s="42" t="str">
        <x:f>IF(A331="","",IF(P331="PAY",E331,IF(P331="OTHER",F331,IF(P331="CAPITAL","Capital - "&amp;G331,IF(P331="DUE","Due to - "&amp;G331,IF(P331="DRAW","Drawings - "&amp;G331,P331))))))</x:f>
      </x:c>
      <x:c r="S331" s="37" t="n">
        <x:f>IF(AND(N331="Approved",T331="OK"),D331,0)</x:f>
        <x:v>0</x:v>
      </x:c>
      <x:c r="T331" s="42" t="str">
        <x:f>IF(A331="","",IF(COUNTIFS($A$6:$A$505,A331)&lt;&gt;1,"Duplicate ID",IF(OR(NOT(ISNUMBER(B331)),D331&lt;=0,NOT(ISNUMBER(D331)),I331="",J331="",L331=""),"Missing date/amount/ref/details",IF(OR(COUNTIFS('Accounts'!$A$6:$A$105,Q331)&lt;&gt;1,COUNTIFS('Accounts'!$A$6:$A$105,R331)&lt;&gt;1,Q331=R331),"Check accounts/event",IF(AND(OR(Q331="Trade payables",R331="Trade payables",Q331="Customer receivables",R331="Customer receivables",Q331="Courier receivables",R331="Courier receivables",Q331="Supplier advances",R331="Supplier advances"),H331=""),"Contact ID required",IF(AND(N331="Approved",OR(M331="",M331=L331)),"Independent review needed",IF(OR(N331="Draft",N331="Approved",N331="Void"),"OK","Status required")))))))</x:f>
      </x:c>
    </x:row>
    <x:row r="332" ht="23" customHeight="1">
      <x:c r="A332" s="36"/>
      <x:c r="B332" s="40"/>
      <x:c r="C332" s="36"/>
      <x:c r="D332" s="41"/>
      <x:c r="E332" s="36"/>
      <x:c r="F332" s="36"/>
      <x:c r="G332" s="36"/>
      <x:c r="H332" s="36"/>
      <x:c r="I332" s="36"/>
      <x:c r="J332" s="36"/>
      <x:c r="K332" s="36"/>
      <x:c r="L332" s="36"/>
      <x:c r="M332" s="36"/>
      <x:c r="N332" s="36"/>
      <x:c r="O332" s="42" t="str">
        <x:f>IF(A332="","",IF(COUNTIFS('Event Guide'!$A$6:$A$29,C332)=1,VLOOKUP(C332,'Event Guide'!$A$6:$C$29,2,FALSE),"Unknown event"))</x:f>
      </x:c>
      <x:c r="P332" s="42" t="str">
        <x:f>IF(A332="","",IF(COUNTIFS('Event Guide'!$A$6:$A$29,C332)=1,VLOOKUP(C332,'Event Guide'!$A$6:$C$29,3,FALSE),"Unknown event"))</x:f>
      </x:c>
      <x:c r="Q332" s="42" t="str">
        <x:f>IF(A332="","",IF(O332="PAY",E332,IF(O332="OTHER",F332,IF(O332="CAPITAL","Capital - "&amp;G332,IF(O332="DUE","Due to - "&amp;G332,IF(O332="DRAW","Drawings - "&amp;G332,O332))))))</x:f>
      </x:c>
      <x:c r="R332" s="42" t="str">
        <x:f>IF(A332="","",IF(P332="PAY",E332,IF(P332="OTHER",F332,IF(P332="CAPITAL","Capital - "&amp;G332,IF(P332="DUE","Due to - "&amp;G332,IF(P332="DRAW","Drawings - "&amp;G332,P332))))))</x:f>
      </x:c>
      <x:c r="S332" s="37" t="n">
        <x:f>IF(AND(N332="Approved",T332="OK"),D332,0)</x:f>
        <x:v>0</x:v>
      </x:c>
      <x:c r="T332" s="42" t="str">
        <x:f>IF(A332="","",IF(COUNTIFS($A$6:$A$505,A332)&lt;&gt;1,"Duplicate ID",IF(OR(NOT(ISNUMBER(B332)),D332&lt;=0,NOT(ISNUMBER(D332)),I332="",J332="",L332=""),"Missing date/amount/ref/details",IF(OR(COUNTIFS('Accounts'!$A$6:$A$105,Q332)&lt;&gt;1,COUNTIFS('Accounts'!$A$6:$A$105,R332)&lt;&gt;1,Q332=R332),"Check accounts/event",IF(AND(OR(Q332="Trade payables",R332="Trade payables",Q332="Customer receivables",R332="Customer receivables",Q332="Courier receivables",R332="Courier receivables",Q332="Supplier advances",R332="Supplier advances"),H332=""),"Contact ID required",IF(AND(N332="Approved",OR(M332="",M332=L332)),"Independent review needed",IF(OR(N332="Draft",N332="Approved",N332="Void"),"OK","Status required")))))))</x:f>
      </x:c>
    </x:row>
    <x:row r="333" ht="23" customHeight="1">
      <x:c r="A333" s="36"/>
      <x:c r="B333" s="40"/>
      <x:c r="C333" s="36"/>
      <x:c r="D333" s="41"/>
      <x:c r="E333" s="36"/>
      <x:c r="F333" s="36"/>
      <x:c r="G333" s="36"/>
      <x:c r="H333" s="36"/>
      <x:c r="I333" s="36"/>
      <x:c r="J333" s="36"/>
      <x:c r="K333" s="36"/>
      <x:c r="L333" s="36"/>
      <x:c r="M333" s="36"/>
      <x:c r="N333" s="36"/>
      <x:c r="O333" s="42" t="str">
        <x:f>IF(A333="","",IF(COUNTIFS('Event Guide'!$A$6:$A$29,C333)=1,VLOOKUP(C333,'Event Guide'!$A$6:$C$29,2,FALSE),"Unknown event"))</x:f>
      </x:c>
      <x:c r="P333" s="42" t="str">
        <x:f>IF(A333="","",IF(COUNTIFS('Event Guide'!$A$6:$A$29,C333)=1,VLOOKUP(C333,'Event Guide'!$A$6:$C$29,3,FALSE),"Unknown event"))</x:f>
      </x:c>
      <x:c r="Q333" s="42" t="str">
        <x:f>IF(A333="","",IF(O333="PAY",E333,IF(O333="OTHER",F333,IF(O333="CAPITAL","Capital - "&amp;G333,IF(O333="DUE","Due to - "&amp;G333,IF(O333="DRAW","Drawings - "&amp;G333,O333))))))</x:f>
      </x:c>
      <x:c r="R333" s="42" t="str">
        <x:f>IF(A333="","",IF(P333="PAY",E333,IF(P333="OTHER",F333,IF(P333="CAPITAL","Capital - "&amp;G333,IF(P333="DUE","Due to - "&amp;G333,IF(P333="DRAW","Drawings - "&amp;G333,P333))))))</x:f>
      </x:c>
      <x:c r="S333" s="37" t="n">
        <x:f>IF(AND(N333="Approved",T333="OK"),D333,0)</x:f>
        <x:v>0</x:v>
      </x:c>
      <x:c r="T333" s="42" t="str">
        <x:f>IF(A333="","",IF(COUNTIFS($A$6:$A$505,A333)&lt;&gt;1,"Duplicate ID",IF(OR(NOT(ISNUMBER(B333)),D333&lt;=0,NOT(ISNUMBER(D333)),I333="",J333="",L333=""),"Missing date/amount/ref/details",IF(OR(COUNTIFS('Accounts'!$A$6:$A$105,Q333)&lt;&gt;1,COUNTIFS('Accounts'!$A$6:$A$105,R333)&lt;&gt;1,Q333=R333),"Check accounts/event",IF(AND(OR(Q333="Trade payables",R333="Trade payables",Q333="Customer receivables",R333="Customer receivables",Q333="Courier receivables",R333="Courier receivables",Q333="Supplier advances",R333="Supplier advances"),H333=""),"Contact ID required",IF(AND(N333="Approved",OR(M333="",M333=L333)),"Independent review needed",IF(OR(N333="Draft",N333="Approved",N333="Void"),"OK","Status required")))))))</x:f>
      </x:c>
    </x:row>
    <x:row r="334" ht="23" customHeight="1">
      <x:c r="A334" s="36"/>
      <x:c r="B334" s="40"/>
      <x:c r="C334" s="36"/>
      <x:c r="D334" s="41"/>
      <x:c r="E334" s="36"/>
      <x:c r="F334" s="36"/>
      <x:c r="G334" s="36"/>
      <x:c r="H334" s="36"/>
      <x:c r="I334" s="36"/>
      <x:c r="J334" s="36"/>
      <x:c r="K334" s="36"/>
      <x:c r="L334" s="36"/>
      <x:c r="M334" s="36"/>
      <x:c r="N334" s="36"/>
      <x:c r="O334" s="42" t="str">
        <x:f>IF(A334="","",IF(COUNTIFS('Event Guide'!$A$6:$A$29,C334)=1,VLOOKUP(C334,'Event Guide'!$A$6:$C$29,2,FALSE),"Unknown event"))</x:f>
      </x:c>
      <x:c r="P334" s="42" t="str">
        <x:f>IF(A334="","",IF(COUNTIFS('Event Guide'!$A$6:$A$29,C334)=1,VLOOKUP(C334,'Event Guide'!$A$6:$C$29,3,FALSE),"Unknown event"))</x:f>
      </x:c>
      <x:c r="Q334" s="42" t="str">
        <x:f>IF(A334="","",IF(O334="PAY",E334,IF(O334="OTHER",F334,IF(O334="CAPITAL","Capital - "&amp;G334,IF(O334="DUE","Due to - "&amp;G334,IF(O334="DRAW","Drawings - "&amp;G334,O334))))))</x:f>
      </x:c>
      <x:c r="R334" s="42" t="str">
        <x:f>IF(A334="","",IF(P334="PAY",E334,IF(P334="OTHER",F334,IF(P334="CAPITAL","Capital - "&amp;G334,IF(P334="DUE","Due to - "&amp;G334,IF(P334="DRAW","Drawings - "&amp;G334,P334))))))</x:f>
      </x:c>
      <x:c r="S334" s="37" t="n">
        <x:f>IF(AND(N334="Approved",T334="OK"),D334,0)</x:f>
        <x:v>0</x:v>
      </x:c>
      <x:c r="T334" s="42" t="str">
        <x:f>IF(A334="","",IF(COUNTIFS($A$6:$A$505,A334)&lt;&gt;1,"Duplicate ID",IF(OR(NOT(ISNUMBER(B334)),D334&lt;=0,NOT(ISNUMBER(D334)),I334="",J334="",L334=""),"Missing date/amount/ref/details",IF(OR(COUNTIFS('Accounts'!$A$6:$A$105,Q334)&lt;&gt;1,COUNTIFS('Accounts'!$A$6:$A$105,R334)&lt;&gt;1,Q334=R334),"Check accounts/event",IF(AND(OR(Q334="Trade payables",R334="Trade payables",Q334="Customer receivables",R334="Customer receivables",Q334="Courier receivables",R334="Courier receivables",Q334="Supplier advances",R334="Supplier advances"),H334=""),"Contact ID required",IF(AND(N334="Approved",OR(M334="",M334=L334)),"Independent review needed",IF(OR(N334="Draft",N334="Approved",N334="Void"),"OK","Status required")))))))</x:f>
      </x:c>
    </x:row>
    <x:row r="335" ht="23" customHeight="1">
      <x:c r="A335" s="36"/>
      <x:c r="B335" s="40"/>
      <x:c r="C335" s="36"/>
      <x:c r="D335" s="41"/>
      <x:c r="E335" s="36"/>
      <x:c r="F335" s="36"/>
      <x:c r="G335" s="36"/>
      <x:c r="H335" s="36"/>
      <x:c r="I335" s="36"/>
      <x:c r="J335" s="36"/>
      <x:c r="K335" s="36"/>
      <x:c r="L335" s="36"/>
      <x:c r="M335" s="36"/>
      <x:c r="N335" s="36"/>
      <x:c r="O335" s="42" t="str">
        <x:f>IF(A335="","",IF(COUNTIFS('Event Guide'!$A$6:$A$29,C335)=1,VLOOKUP(C335,'Event Guide'!$A$6:$C$29,2,FALSE),"Unknown event"))</x:f>
      </x:c>
      <x:c r="P335" s="42" t="str">
        <x:f>IF(A335="","",IF(COUNTIFS('Event Guide'!$A$6:$A$29,C335)=1,VLOOKUP(C335,'Event Guide'!$A$6:$C$29,3,FALSE),"Unknown event"))</x:f>
      </x:c>
      <x:c r="Q335" s="42" t="str">
        <x:f>IF(A335="","",IF(O335="PAY",E335,IF(O335="OTHER",F335,IF(O335="CAPITAL","Capital - "&amp;G335,IF(O335="DUE","Due to - "&amp;G335,IF(O335="DRAW","Drawings - "&amp;G335,O335))))))</x:f>
      </x:c>
      <x:c r="R335" s="42" t="str">
        <x:f>IF(A335="","",IF(P335="PAY",E335,IF(P335="OTHER",F335,IF(P335="CAPITAL","Capital - "&amp;G335,IF(P335="DUE","Due to - "&amp;G335,IF(P335="DRAW","Drawings - "&amp;G335,P335))))))</x:f>
      </x:c>
      <x:c r="S335" s="37" t="n">
        <x:f>IF(AND(N335="Approved",T335="OK"),D335,0)</x:f>
        <x:v>0</x:v>
      </x:c>
      <x:c r="T335" s="42" t="str">
        <x:f>IF(A335="","",IF(COUNTIFS($A$6:$A$505,A335)&lt;&gt;1,"Duplicate ID",IF(OR(NOT(ISNUMBER(B335)),D335&lt;=0,NOT(ISNUMBER(D335)),I335="",J335="",L335=""),"Missing date/amount/ref/details",IF(OR(COUNTIFS('Accounts'!$A$6:$A$105,Q335)&lt;&gt;1,COUNTIFS('Accounts'!$A$6:$A$105,R335)&lt;&gt;1,Q335=R335),"Check accounts/event",IF(AND(OR(Q335="Trade payables",R335="Trade payables",Q335="Customer receivables",R335="Customer receivables",Q335="Courier receivables",R335="Courier receivables",Q335="Supplier advances",R335="Supplier advances"),H335=""),"Contact ID required",IF(AND(N335="Approved",OR(M335="",M335=L335)),"Independent review needed",IF(OR(N335="Draft",N335="Approved",N335="Void"),"OK","Status required")))))))</x:f>
      </x:c>
    </x:row>
    <x:row r="336" ht="23" customHeight="1">
      <x:c r="A336" s="36"/>
      <x:c r="B336" s="40"/>
      <x:c r="C336" s="36"/>
      <x:c r="D336" s="41"/>
      <x:c r="E336" s="36"/>
      <x:c r="F336" s="36"/>
      <x:c r="G336" s="36"/>
      <x:c r="H336" s="36"/>
      <x:c r="I336" s="36"/>
      <x:c r="J336" s="36"/>
      <x:c r="K336" s="36"/>
      <x:c r="L336" s="36"/>
      <x:c r="M336" s="36"/>
      <x:c r="N336" s="36"/>
      <x:c r="O336" s="42" t="str">
        <x:f>IF(A336="","",IF(COUNTIFS('Event Guide'!$A$6:$A$29,C336)=1,VLOOKUP(C336,'Event Guide'!$A$6:$C$29,2,FALSE),"Unknown event"))</x:f>
      </x:c>
      <x:c r="P336" s="42" t="str">
        <x:f>IF(A336="","",IF(COUNTIFS('Event Guide'!$A$6:$A$29,C336)=1,VLOOKUP(C336,'Event Guide'!$A$6:$C$29,3,FALSE),"Unknown event"))</x:f>
      </x:c>
      <x:c r="Q336" s="42" t="str">
        <x:f>IF(A336="","",IF(O336="PAY",E336,IF(O336="OTHER",F336,IF(O336="CAPITAL","Capital - "&amp;G336,IF(O336="DUE","Due to - "&amp;G336,IF(O336="DRAW","Drawings - "&amp;G336,O336))))))</x:f>
      </x:c>
      <x:c r="R336" s="42" t="str">
        <x:f>IF(A336="","",IF(P336="PAY",E336,IF(P336="OTHER",F336,IF(P336="CAPITAL","Capital - "&amp;G336,IF(P336="DUE","Due to - "&amp;G336,IF(P336="DRAW","Drawings - "&amp;G336,P336))))))</x:f>
      </x:c>
      <x:c r="S336" s="37" t="n">
        <x:f>IF(AND(N336="Approved",T336="OK"),D336,0)</x:f>
        <x:v>0</x:v>
      </x:c>
      <x:c r="T336" s="42" t="str">
        <x:f>IF(A336="","",IF(COUNTIFS($A$6:$A$505,A336)&lt;&gt;1,"Duplicate ID",IF(OR(NOT(ISNUMBER(B336)),D336&lt;=0,NOT(ISNUMBER(D336)),I336="",J336="",L336=""),"Missing date/amount/ref/details",IF(OR(COUNTIFS('Accounts'!$A$6:$A$105,Q336)&lt;&gt;1,COUNTIFS('Accounts'!$A$6:$A$105,R336)&lt;&gt;1,Q336=R336),"Check accounts/event",IF(AND(OR(Q336="Trade payables",R336="Trade payables",Q336="Customer receivables",R336="Customer receivables",Q336="Courier receivables",R336="Courier receivables",Q336="Supplier advances",R336="Supplier advances"),H336=""),"Contact ID required",IF(AND(N336="Approved",OR(M336="",M336=L336)),"Independent review needed",IF(OR(N336="Draft",N336="Approved",N336="Void"),"OK","Status required")))))))</x:f>
      </x:c>
    </x:row>
    <x:row r="337" ht="23" customHeight="1">
      <x:c r="A337" s="36"/>
      <x:c r="B337" s="40"/>
      <x:c r="C337" s="36"/>
      <x:c r="D337" s="41"/>
      <x:c r="E337" s="36"/>
      <x:c r="F337" s="36"/>
      <x:c r="G337" s="36"/>
      <x:c r="H337" s="36"/>
      <x:c r="I337" s="36"/>
      <x:c r="J337" s="36"/>
      <x:c r="K337" s="36"/>
      <x:c r="L337" s="36"/>
      <x:c r="M337" s="36"/>
      <x:c r="N337" s="36"/>
      <x:c r="O337" s="42" t="str">
        <x:f>IF(A337="","",IF(COUNTIFS('Event Guide'!$A$6:$A$29,C337)=1,VLOOKUP(C337,'Event Guide'!$A$6:$C$29,2,FALSE),"Unknown event"))</x:f>
      </x:c>
      <x:c r="P337" s="42" t="str">
        <x:f>IF(A337="","",IF(COUNTIFS('Event Guide'!$A$6:$A$29,C337)=1,VLOOKUP(C337,'Event Guide'!$A$6:$C$29,3,FALSE),"Unknown event"))</x:f>
      </x:c>
      <x:c r="Q337" s="42" t="str">
        <x:f>IF(A337="","",IF(O337="PAY",E337,IF(O337="OTHER",F337,IF(O337="CAPITAL","Capital - "&amp;G337,IF(O337="DUE","Due to - "&amp;G337,IF(O337="DRAW","Drawings - "&amp;G337,O337))))))</x:f>
      </x:c>
      <x:c r="R337" s="42" t="str">
        <x:f>IF(A337="","",IF(P337="PAY",E337,IF(P337="OTHER",F337,IF(P337="CAPITAL","Capital - "&amp;G337,IF(P337="DUE","Due to - "&amp;G337,IF(P337="DRAW","Drawings - "&amp;G337,P337))))))</x:f>
      </x:c>
      <x:c r="S337" s="37" t="n">
        <x:f>IF(AND(N337="Approved",T337="OK"),D337,0)</x:f>
        <x:v>0</x:v>
      </x:c>
      <x:c r="T337" s="42" t="str">
        <x:f>IF(A337="","",IF(COUNTIFS($A$6:$A$505,A337)&lt;&gt;1,"Duplicate ID",IF(OR(NOT(ISNUMBER(B337)),D337&lt;=0,NOT(ISNUMBER(D337)),I337="",J337="",L337=""),"Missing date/amount/ref/details",IF(OR(COUNTIFS('Accounts'!$A$6:$A$105,Q337)&lt;&gt;1,COUNTIFS('Accounts'!$A$6:$A$105,R337)&lt;&gt;1,Q337=R337),"Check accounts/event",IF(AND(OR(Q337="Trade payables",R337="Trade payables",Q337="Customer receivables",R337="Customer receivables",Q337="Courier receivables",R337="Courier receivables",Q337="Supplier advances",R337="Supplier advances"),H337=""),"Contact ID required",IF(AND(N337="Approved",OR(M337="",M337=L337)),"Independent review needed",IF(OR(N337="Draft",N337="Approved",N337="Void"),"OK","Status required")))))))</x:f>
      </x:c>
    </x:row>
    <x:row r="338" ht="23" customHeight="1">
      <x:c r="A338" s="36"/>
      <x:c r="B338" s="40"/>
      <x:c r="C338" s="36"/>
      <x:c r="D338" s="41"/>
      <x:c r="E338" s="36"/>
      <x:c r="F338" s="36"/>
      <x:c r="G338" s="36"/>
      <x:c r="H338" s="36"/>
      <x:c r="I338" s="36"/>
      <x:c r="J338" s="36"/>
      <x:c r="K338" s="36"/>
      <x:c r="L338" s="36"/>
      <x:c r="M338" s="36"/>
      <x:c r="N338" s="36"/>
      <x:c r="O338" s="42" t="str">
        <x:f>IF(A338="","",IF(COUNTIFS('Event Guide'!$A$6:$A$29,C338)=1,VLOOKUP(C338,'Event Guide'!$A$6:$C$29,2,FALSE),"Unknown event"))</x:f>
      </x:c>
      <x:c r="P338" s="42" t="str">
        <x:f>IF(A338="","",IF(COUNTIFS('Event Guide'!$A$6:$A$29,C338)=1,VLOOKUP(C338,'Event Guide'!$A$6:$C$29,3,FALSE),"Unknown event"))</x:f>
      </x:c>
      <x:c r="Q338" s="42" t="str">
        <x:f>IF(A338="","",IF(O338="PAY",E338,IF(O338="OTHER",F338,IF(O338="CAPITAL","Capital - "&amp;G338,IF(O338="DUE","Due to - "&amp;G338,IF(O338="DRAW","Drawings - "&amp;G338,O338))))))</x:f>
      </x:c>
      <x:c r="R338" s="42" t="str">
        <x:f>IF(A338="","",IF(P338="PAY",E338,IF(P338="OTHER",F338,IF(P338="CAPITAL","Capital - "&amp;G338,IF(P338="DUE","Due to - "&amp;G338,IF(P338="DRAW","Drawings - "&amp;G338,P338))))))</x:f>
      </x:c>
      <x:c r="S338" s="37" t="n">
        <x:f>IF(AND(N338="Approved",T338="OK"),D338,0)</x:f>
        <x:v>0</x:v>
      </x:c>
      <x:c r="T338" s="42" t="str">
        <x:f>IF(A338="","",IF(COUNTIFS($A$6:$A$505,A338)&lt;&gt;1,"Duplicate ID",IF(OR(NOT(ISNUMBER(B338)),D338&lt;=0,NOT(ISNUMBER(D338)),I338="",J338="",L338=""),"Missing date/amount/ref/details",IF(OR(COUNTIFS('Accounts'!$A$6:$A$105,Q338)&lt;&gt;1,COUNTIFS('Accounts'!$A$6:$A$105,R338)&lt;&gt;1,Q338=R338),"Check accounts/event",IF(AND(OR(Q338="Trade payables",R338="Trade payables",Q338="Customer receivables",R338="Customer receivables",Q338="Courier receivables",R338="Courier receivables",Q338="Supplier advances",R338="Supplier advances"),H338=""),"Contact ID required",IF(AND(N338="Approved",OR(M338="",M338=L338)),"Independent review needed",IF(OR(N338="Draft",N338="Approved",N338="Void"),"OK","Status required")))))))</x:f>
      </x:c>
    </x:row>
    <x:row r="339" ht="23" customHeight="1">
      <x:c r="A339" s="36"/>
      <x:c r="B339" s="40"/>
      <x:c r="C339" s="36"/>
      <x:c r="D339" s="41"/>
      <x:c r="E339" s="36"/>
      <x:c r="F339" s="36"/>
      <x:c r="G339" s="36"/>
      <x:c r="H339" s="36"/>
      <x:c r="I339" s="36"/>
      <x:c r="J339" s="36"/>
      <x:c r="K339" s="36"/>
      <x:c r="L339" s="36"/>
      <x:c r="M339" s="36"/>
      <x:c r="N339" s="36"/>
      <x:c r="O339" s="42" t="str">
        <x:f>IF(A339="","",IF(COUNTIFS('Event Guide'!$A$6:$A$29,C339)=1,VLOOKUP(C339,'Event Guide'!$A$6:$C$29,2,FALSE),"Unknown event"))</x:f>
      </x:c>
      <x:c r="P339" s="42" t="str">
        <x:f>IF(A339="","",IF(COUNTIFS('Event Guide'!$A$6:$A$29,C339)=1,VLOOKUP(C339,'Event Guide'!$A$6:$C$29,3,FALSE),"Unknown event"))</x:f>
      </x:c>
      <x:c r="Q339" s="42" t="str">
        <x:f>IF(A339="","",IF(O339="PAY",E339,IF(O339="OTHER",F339,IF(O339="CAPITAL","Capital - "&amp;G339,IF(O339="DUE","Due to - "&amp;G339,IF(O339="DRAW","Drawings - "&amp;G339,O339))))))</x:f>
      </x:c>
      <x:c r="R339" s="42" t="str">
        <x:f>IF(A339="","",IF(P339="PAY",E339,IF(P339="OTHER",F339,IF(P339="CAPITAL","Capital - "&amp;G339,IF(P339="DUE","Due to - "&amp;G339,IF(P339="DRAW","Drawings - "&amp;G339,P339))))))</x:f>
      </x:c>
      <x:c r="S339" s="37" t="n">
        <x:f>IF(AND(N339="Approved",T339="OK"),D339,0)</x:f>
        <x:v>0</x:v>
      </x:c>
      <x:c r="T339" s="42" t="str">
        <x:f>IF(A339="","",IF(COUNTIFS($A$6:$A$505,A339)&lt;&gt;1,"Duplicate ID",IF(OR(NOT(ISNUMBER(B339)),D339&lt;=0,NOT(ISNUMBER(D339)),I339="",J339="",L339=""),"Missing date/amount/ref/details",IF(OR(COUNTIFS('Accounts'!$A$6:$A$105,Q339)&lt;&gt;1,COUNTIFS('Accounts'!$A$6:$A$105,R339)&lt;&gt;1,Q339=R339),"Check accounts/event",IF(AND(OR(Q339="Trade payables",R339="Trade payables",Q339="Customer receivables",R339="Customer receivables",Q339="Courier receivables",R339="Courier receivables",Q339="Supplier advances",R339="Supplier advances"),H339=""),"Contact ID required",IF(AND(N339="Approved",OR(M339="",M339=L339)),"Independent review needed",IF(OR(N339="Draft",N339="Approved",N339="Void"),"OK","Status required")))))))</x:f>
      </x:c>
    </x:row>
    <x:row r="340" ht="23" customHeight="1">
      <x:c r="A340" s="36"/>
      <x:c r="B340" s="40"/>
      <x:c r="C340" s="36"/>
      <x:c r="D340" s="41"/>
      <x:c r="E340" s="36"/>
      <x:c r="F340" s="36"/>
      <x:c r="G340" s="36"/>
      <x:c r="H340" s="36"/>
      <x:c r="I340" s="36"/>
      <x:c r="J340" s="36"/>
      <x:c r="K340" s="36"/>
      <x:c r="L340" s="36"/>
      <x:c r="M340" s="36"/>
      <x:c r="N340" s="36"/>
      <x:c r="O340" s="42" t="str">
        <x:f>IF(A340="","",IF(COUNTIFS('Event Guide'!$A$6:$A$29,C340)=1,VLOOKUP(C340,'Event Guide'!$A$6:$C$29,2,FALSE),"Unknown event"))</x:f>
      </x:c>
      <x:c r="P340" s="42" t="str">
        <x:f>IF(A340="","",IF(COUNTIFS('Event Guide'!$A$6:$A$29,C340)=1,VLOOKUP(C340,'Event Guide'!$A$6:$C$29,3,FALSE),"Unknown event"))</x:f>
      </x:c>
      <x:c r="Q340" s="42" t="str">
        <x:f>IF(A340="","",IF(O340="PAY",E340,IF(O340="OTHER",F340,IF(O340="CAPITAL","Capital - "&amp;G340,IF(O340="DUE","Due to - "&amp;G340,IF(O340="DRAW","Drawings - "&amp;G340,O340))))))</x:f>
      </x:c>
      <x:c r="R340" s="42" t="str">
        <x:f>IF(A340="","",IF(P340="PAY",E340,IF(P340="OTHER",F340,IF(P340="CAPITAL","Capital - "&amp;G340,IF(P340="DUE","Due to - "&amp;G340,IF(P340="DRAW","Drawings - "&amp;G340,P340))))))</x:f>
      </x:c>
      <x:c r="S340" s="37" t="n">
        <x:f>IF(AND(N340="Approved",T340="OK"),D340,0)</x:f>
        <x:v>0</x:v>
      </x:c>
      <x:c r="T340" s="42" t="str">
        <x:f>IF(A340="","",IF(COUNTIFS($A$6:$A$505,A340)&lt;&gt;1,"Duplicate ID",IF(OR(NOT(ISNUMBER(B340)),D340&lt;=0,NOT(ISNUMBER(D340)),I340="",J340="",L340=""),"Missing date/amount/ref/details",IF(OR(COUNTIFS('Accounts'!$A$6:$A$105,Q340)&lt;&gt;1,COUNTIFS('Accounts'!$A$6:$A$105,R340)&lt;&gt;1,Q340=R340),"Check accounts/event",IF(AND(OR(Q340="Trade payables",R340="Trade payables",Q340="Customer receivables",R340="Customer receivables",Q340="Courier receivables",R340="Courier receivables",Q340="Supplier advances",R340="Supplier advances"),H340=""),"Contact ID required",IF(AND(N340="Approved",OR(M340="",M340=L340)),"Independent review needed",IF(OR(N340="Draft",N340="Approved",N340="Void"),"OK","Status required")))))))</x:f>
      </x:c>
    </x:row>
    <x:row r="341" ht="23" customHeight="1">
      <x:c r="A341" s="36"/>
      <x:c r="B341" s="40"/>
      <x:c r="C341" s="36"/>
      <x:c r="D341" s="41"/>
      <x:c r="E341" s="36"/>
      <x:c r="F341" s="36"/>
      <x:c r="G341" s="36"/>
      <x:c r="H341" s="36"/>
      <x:c r="I341" s="36"/>
      <x:c r="J341" s="36"/>
      <x:c r="K341" s="36"/>
      <x:c r="L341" s="36"/>
      <x:c r="M341" s="36"/>
      <x:c r="N341" s="36"/>
      <x:c r="O341" s="42" t="str">
        <x:f>IF(A341="","",IF(COUNTIFS('Event Guide'!$A$6:$A$29,C341)=1,VLOOKUP(C341,'Event Guide'!$A$6:$C$29,2,FALSE),"Unknown event"))</x:f>
      </x:c>
      <x:c r="P341" s="42" t="str">
        <x:f>IF(A341="","",IF(COUNTIFS('Event Guide'!$A$6:$A$29,C341)=1,VLOOKUP(C341,'Event Guide'!$A$6:$C$29,3,FALSE),"Unknown event"))</x:f>
      </x:c>
      <x:c r="Q341" s="42" t="str">
        <x:f>IF(A341="","",IF(O341="PAY",E341,IF(O341="OTHER",F341,IF(O341="CAPITAL","Capital - "&amp;G341,IF(O341="DUE","Due to - "&amp;G341,IF(O341="DRAW","Drawings - "&amp;G341,O341))))))</x:f>
      </x:c>
      <x:c r="R341" s="42" t="str">
        <x:f>IF(A341="","",IF(P341="PAY",E341,IF(P341="OTHER",F341,IF(P341="CAPITAL","Capital - "&amp;G341,IF(P341="DUE","Due to - "&amp;G341,IF(P341="DRAW","Drawings - "&amp;G341,P341))))))</x:f>
      </x:c>
      <x:c r="S341" s="37" t="n">
        <x:f>IF(AND(N341="Approved",T341="OK"),D341,0)</x:f>
        <x:v>0</x:v>
      </x:c>
      <x:c r="T341" s="42" t="str">
        <x:f>IF(A341="","",IF(COUNTIFS($A$6:$A$505,A341)&lt;&gt;1,"Duplicate ID",IF(OR(NOT(ISNUMBER(B341)),D341&lt;=0,NOT(ISNUMBER(D341)),I341="",J341="",L341=""),"Missing date/amount/ref/details",IF(OR(COUNTIFS('Accounts'!$A$6:$A$105,Q341)&lt;&gt;1,COUNTIFS('Accounts'!$A$6:$A$105,R341)&lt;&gt;1,Q341=R341),"Check accounts/event",IF(AND(OR(Q341="Trade payables",R341="Trade payables",Q341="Customer receivables",R341="Customer receivables",Q341="Courier receivables",R341="Courier receivables",Q341="Supplier advances",R341="Supplier advances"),H341=""),"Contact ID required",IF(AND(N341="Approved",OR(M341="",M341=L341)),"Independent review needed",IF(OR(N341="Draft",N341="Approved",N341="Void"),"OK","Status required")))))))</x:f>
      </x:c>
    </x:row>
    <x:row r="342" ht="23" customHeight="1">
      <x:c r="A342" s="36"/>
      <x:c r="B342" s="40"/>
      <x:c r="C342" s="36"/>
      <x:c r="D342" s="41"/>
      <x:c r="E342" s="36"/>
      <x:c r="F342" s="36"/>
      <x:c r="G342" s="36"/>
      <x:c r="H342" s="36"/>
      <x:c r="I342" s="36"/>
      <x:c r="J342" s="36"/>
      <x:c r="K342" s="36"/>
      <x:c r="L342" s="36"/>
      <x:c r="M342" s="36"/>
      <x:c r="N342" s="36"/>
      <x:c r="O342" s="42" t="str">
        <x:f>IF(A342="","",IF(COUNTIFS('Event Guide'!$A$6:$A$29,C342)=1,VLOOKUP(C342,'Event Guide'!$A$6:$C$29,2,FALSE),"Unknown event"))</x:f>
      </x:c>
      <x:c r="P342" s="42" t="str">
        <x:f>IF(A342="","",IF(COUNTIFS('Event Guide'!$A$6:$A$29,C342)=1,VLOOKUP(C342,'Event Guide'!$A$6:$C$29,3,FALSE),"Unknown event"))</x:f>
      </x:c>
      <x:c r="Q342" s="42" t="str">
        <x:f>IF(A342="","",IF(O342="PAY",E342,IF(O342="OTHER",F342,IF(O342="CAPITAL","Capital - "&amp;G342,IF(O342="DUE","Due to - "&amp;G342,IF(O342="DRAW","Drawings - "&amp;G342,O342))))))</x:f>
      </x:c>
      <x:c r="R342" s="42" t="str">
        <x:f>IF(A342="","",IF(P342="PAY",E342,IF(P342="OTHER",F342,IF(P342="CAPITAL","Capital - "&amp;G342,IF(P342="DUE","Due to - "&amp;G342,IF(P342="DRAW","Drawings - "&amp;G342,P342))))))</x:f>
      </x:c>
      <x:c r="S342" s="37" t="n">
        <x:f>IF(AND(N342="Approved",T342="OK"),D342,0)</x:f>
        <x:v>0</x:v>
      </x:c>
      <x:c r="T342" s="42" t="str">
        <x:f>IF(A342="","",IF(COUNTIFS($A$6:$A$505,A342)&lt;&gt;1,"Duplicate ID",IF(OR(NOT(ISNUMBER(B342)),D342&lt;=0,NOT(ISNUMBER(D342)),I342="",J342="",L342=""),"Missing date/amount/ref/details",IF(OR(COUNTIFS('Accounts'!$A$6:$A$105,Q342)&lt;&gt;1,COUNTIFS('Accounts'!$A$6:$A$105,R342)&lt;&gt;1,Q342=R342),"Check accounts/event",IF(AND(OR(Q342="Trade payables",R342="Trade payables",Q342="Customer receivables",R342="Customer receivables",Q342="Courier receivables",R342="Courier receivables",Q342="Supplier advances",R342="Supplier advances"),H342=""),"Contact ID required",IF(AND(N342="Approved",OR(M342="",M342=L342)),"Independent review needed",IF(OR(N342="Draft",N342="Approved",N342="Void"),"OK","Status required")))))))</x:f>
      </x:c>
    </x:row>
    <x:row r="343" ht="23" customHeight="1">
      <x:c r="A343" s="36"/>
      <x:c r="B343" s="40"/>
      <x:c r="C343" s="36"/>
      <x:c r="D343" s="41"/>
      <x:c r="E343" s="36"/>
      <x:c r="F343" s="36"/>
      <x:c r="G343" s="36"/>
      <x:c r="H343" s="36"/>
      <x:c r="I343" s="36"/>
      <x:c r="J343" s="36"/>
      <x:c r="K343" s="36"/>
      <x:c r="L343" s="36"/>
      <x:c r="M343" s="36"/>
      <x:c r="N343" s="36"/>
      <x:c r="O343" s="42" t="str">
        <x:f>IF(A343="","",IF(COUNTIFS('Event Guide'!$A$6:$A$29,C343)=1,VLOOKUP(C343,'Event Guide'!$A$6:$C$29,2,FALSE),"Unknown event"))</x:f>
      </x:c>
      <x:c r="P343" s="42" t="str">
        <x:f>IF(A343="","",IF(COUNTIFS('Event Guide'!$A$6:$A$29,C343)=1,VLOOKUP(C343,'Event Guide'!$A$6:$C$29,3,FALSE),"Unknown event"))</x:f>
      </x:c>
      <x:c r="Q343" s="42" t="str">
        <x:f>IF(A343="","",IF(O343="PAY",E343,IF(O343="OTHER",F343,IF(O343="CAPITAL","Capital - "&amp;G343,IF(O343="DUE","Due to - "&amp;G343,IF(O343="DRAW","Drawings - "&amp;G343,O343))))))</x:f>
      </x:c>
      <x:c r="R343" s="42" t="str">
        <x:f>IF(A343="","",IF(P343="PAY",E343,IF(P343="OTHER",F343,IF(P343="CAPITAL","Capital - "&amp;G343,IF(P343="DUE","Due to - "&amp;G343,IF(P343="DRAW","Drawings - "&amp;G343,P343))))))</x:f>
      </x:c>
      <x:c r="S343" s="37" t="n">
        <x:f>IF(AND(N343="Approved",T343="OK"),D343,0)</x:f>
        <x:v>0</x:v>
      </x:c>
      <x:c r="T343" s="42" t="str">
        <x:f>IF(A343="","",IF(COUNTIFS($A$6:$A$505,A343)&lt;&gt;1,"Duplicate ID",IF(OR(NOT(ISNUMBER(B343)),D343&lt;=0,NOT(ISNUMBER(D343)),I343="",J343="",L343=""),"Missing date/amount/ref/details",IF(OR(COUNTIFS('Accounts'!$A$6:$A$105,Q343)&lt;&gt;1,COUNTIFS('Accounts'!$A$6:$A$105,R343)&lt;&gt;1,Q343=R343),"Check accounts/event",IF(AND(OR(Q343="Trade payables",R343="Trade payables",Q343="Customer receivables",R343="Customer receivables",Q343="Courier receivables",R343="Courier receivables",Q343="Supplier advances",R343="Supplier advances"),H343=""),"Contact ID required",IF(AND(N343="Approved",OR(M343="",M343=L343)),"Independent review needed",IF(OR(N343="Draft",N343="Approved",N343="Void"),"OK","Status required")))))))</x:f>
      </x:c>
    </x:row>
    <x:row r="344" ht="23" customHeight="1">
      <x:c r="A344" s="36"/>
      <x:c r="B344" s="40"/>
      <x:c r="C344" s="36"/>
      <x:c r="D344" s="41"/>
      <x:c r="E344" s="36"/>
      <x:c r="F344" s="36"/>
      <x:c r="G344" s="36"/>
      <x:c r="H344" s="36"/>
      <x:c r="I344" s="36"/>
      <x:c r="J344" s="36"/>
      <x:c r="K344" s="36"/>
      <x:c r="L344" s="36"/>
      <x:c r="M344" s="36"/>
      <x:c r="N344" s="36"/>
      <x:c r="O344" s="42" t="str">
        <x:f>IF(A344="","",IF(COUNTIFS('Event Guide'!$A$6:$A$29,C344)=1,VLOOKUP(C344,'Event Guide'!$A$6:$C$29,2,FALSE),"Unknown event"))</x:f>
      </x:c>
      <x:c r="P344" s="42" t="str">
        <x:f>IF(A344="","",IF(COUNTIFS('Event Guide'!$A$6:$A$29,C344)=1,VLOOKUP(C344,'Event Guide'!$A$6:$C$29,3,FALSE),"Unknown event"))</x:f>
      </x:c>
      <x:c r="Q344" s="42" t="str">
        <x:f>IF(A344="","",IF(O344="PAY",E344,IF(O344="OTHER",F344,IF(O344="CAPITAL","Capital - "&amp;G344,IF(O344="DUE","Due to - "&amp;G344,IF(O344="DRAW","Drawings - "&amp;G344,O344))))))</x:f>
      </x:c>
      <x:c r="R344" s="42" t="str">
        <x:f>IF(A344="","",IF(P344="PAY",E344,IF(P344="OTHER",F344,IF(P344="CAPITAL","Capital - "&amp;G344,IF(P344="DUE","Due to - "&amp;G344,IF(P344="DRAW","Drawings - "&amp;G344,P344))))))</x:f>
      </x:c>
      <x:c r="S344" s="37" t="n">
        <x:f>IF(AND(N344="Approved",T344="OK"),D344,0)</x:f>
        <x:v>0</x:v>
      </x:c>
      <x:c r="T344" s="42" t="str">
        <x:f>IF(A344="","",IF(COUNTIFS($A$6:$A$505,A344)&lt;&gt;1,"Duplicate ID",IF(OR(NOT(ISNUMBER(B344)),D344&lt;=0,NOT(ISNUMBER(D344)),I344="",J344="",L344=""),"Missing date/amount/ref/details",IF(OR(COUNTIFS('Accounts'!$A$6:$A$105,Q344)&lt;&gt;1,COUNTIFS('Accounts'!$A$6:$A$105,R344)&lt;&gt;1,Q344=R344),"Check accounts/event",IF(AND(OR(Q344="Trade payables",R344="Trade payables",Q344="Customer receivables",R344="Customer receivables",Q344="Courier receivables",R344="Courier receivables",Q344="Supplier advances",R344="Supplier advances"),H344=""),"Contact ID required",IF(AND(N344="Approved",OR(M344="",M344=L344)),"Independent review needed",IF(OR(N344="Draft",N344="Approved",N344="Void"),"OK","Status required")))))))</x:f>
      </x:c>
    </x:row>
    <x:row r="345" ht="23" customHeight="1">
      <x:c r="A345" s="36"/>
      <x:c r="B345" s="40"/>
      <x:c r="C345" s="36"/>
      <x:c r="D345" s="41"/>
      <x:c r="E345" s="36"/>
      <x:c r="F345" s="36"/>
      <x:c r="G345" s="36"/>
      <x:c r="H345" s="36"/>
      <x:c r="I345" s="36"/>
      <x:c r="J345" s="36"/>
      <x:c r="K345" s="36"/>
      <x:c r="L345" s="36"/>
      <x:c r="M345" s="36"/>
      <x:c r="N345" s="36"/>
      <x:c r="O345" s="42" t="str">
        <x:f>IF(A345="","",IF(COUNTIFS('Event Guide'!$A$6:$A$29,C345)=1,VLOOKUP(C345,'Event Guide'!$A$6:$C$29,2,FALSE),"Unknown event"))</x:f>
      </x:c>
      <x:c r="P345" s="42" t="str">
        <x:f>IF(A345="","",IF(COUNTIFS('Event Guide'!$A$6:$A$29,C345)=1,VLOOKUP(C345,'Event Guide'!$A$6:$C$29,3,FALSE),"Unknown event"))</x:f>
      </x:c>
      <x:c r="Q345" s="42" t="str">
        <x:f>IF(A345="","",IF(O345="PAY",E345,IF(O345="OTHER",F345,IF(O345="CAPITAL","Capital - "&amp;G345,IF(O345="DUE","Due to - "&amp;G345,IF(O345="DRAW","Drawings - "&amp;G345,O345))))))</x:f>
      </x:c>
      <x:c r="R345" s="42" t="str">
        <x:f>IF(A345="","",IF(P345="PAY",E345,IF(P345="OTHER",F345,IF(P345="CAPITAL","Capital - "&amp;G345,IF(P345="DUE","Due to - "&amp;G345,IF(P345="DRAW","Drawings - "&amp;G345,P345))))))</x:f>
      </x:c>
      <x:c r="S345" s="37" t="n">
        <x:f>IF(AND(N345="Approved",T345="OK"),D345,0)</x:f>
        <x:v>0</x:v>
      </x:c>
      <x:c r="T345" s="42" t="str">
        <x:f>IF(A345="","",IF(COUNTIFS($A$6:$A$505,A345)&lt;&gt;1,"Duplicate ID",IF(OR(NOT(ISNUMBER(B345)),D345&lt;=0,NOT(ISNUMBER(D345)),I345="",J345="",L345=""),"Missing date/amount/ref/details",IF(OR(COUNTIFS('Accounts'!$A$6:$A$105,Q345)&lt;&gt;1,COUNTIFS('Accounts'!$A$6:$A$105,R345)&lt;&gt;1,Q345=R345),"Check accounts/event",IF(AND(OR(Q345="Trade payables",R345="Trade payables",Q345="Customer receivables",R345="Customer receivables",Q345="Courier receivables",R345="Courier receivables",Q345="Supplier advances",R345="Supplier advances"),H345=""),"Contact ID required",IF(AND(N345="Approved",OR(M345="",M345=L345)),"Independent review needed",IF(OR(N345="Draft",N345="Approved",N345="Void"),"OK","Status required")))))))</x:f>
      </x:c>
    </x:row>
    <x:row r="346" ht="23" customHeight="1">
      <x:c r="A346" s="36"/>
      <x:c r="B346" s="40"/>
      <x:c r="C346" s="36"/>
      <x:c r="D346" s="41"/>
      <x:c r="E346" s="36"/>
      <x:c r="F346" s="36"/>
      <x:c r="G346" s="36"/>
      <x:c r="H346" s="36"/>
      <x:c r="I346" s="36"/>
      <x:c r="J346" s="36"/>
      <x:c r="K346" s="36"/>
      <x:c r="L346" s="36"/>
      <x:c r="M346" s="36"/>
      <x:c r="N346" s="36"/>
      <x:c r="O346" s="42" t="str">
        <x:f>IF(A346="","",IF(COUNTIFS('Event Guide'!$A$6:$A$29,C346)=1,VLOOKUP(C346,'Event Guide'!$A$6:$C$29,2,FALSE),"Unknown event"))</x:f>
      </x:c>
      <x:c r="P346" s="42" t="str">
        <x:f>IF(A346="","",IF(COUNTIFS('Event Guide'!$A$6:$A$29,C346)=1,VLOOKUP(C346,'Event Guide'!$A$6:$C$29,3,FALSE),"Unknown event"))</x:f>
      </x:c>
      <x:c r="Q346" s="42" t="str">
        <x:f>IF(A346="","",IF(O346="PAY",E346,IF(O346="OTHER",F346,IF(O346="CAPITAL","Capital - "&amp;G346,IF(O346="DUE","Due to - "&amp;G346,IF(O346="DRAW","Drawings - "&amp;G346,O346))))))</x:f>
      </x:c>
      <x:c r="R346" s="42" t="str">
        <x:f>IF(A346="","",IF(P346="PAY",E346,IF(P346="OTHER",F346,IF(P346="CAPITAL","Capital - "&amp;G346,IF(P346="DUE","Due to - "&amp;G346,IF(P346="DRAW","Drawings - "&amp;G346,P346))))))</x:f>
      </x:c>
      <x:c r="S346" s="37" t="n">
        <x:f>IF(AND(N346="Approved",T346="OK"),D346,0)</x:f>
        <x:v>0</x:v>
      </x:c>
      <x:c r="T346" s="42" t="str">
        <x:f>IF(A346="","",IF(COUNTIFS($A$6:$A$505,A346)&lt;&gt;1,"Duplicate ID",IF(OR(NOT(ISNUMBER(B346)),D346&lt;=0,NOT(ISNUMBER(D346)),I346="",J346="",L346=""),"Missing date/amount/ref/details",IF(OR(COUNTIFS('Accounts'!$A$6:$A$105,Q346)&lt;&gt;1,COUNTIFS('Accounts'!$A$6:$A$105,R346)&lt;&gt;1,Q346=R346),"Check accounts/event",IF(AND(OR(Q346="Trade payables",R346="Trade payables",Q346="Customer receivables",R346="Customer receivables",Q346="Courier receivables",R346="Courier receivables",Q346="Supplier advances",R346="Supplier advances"),H346=""),"Contact ID required",IF(AND(N346="Approved",OR(M346="",M346=L346)),"Independent review needed",IF(OR(N346="Draft",N346="Approved",N346="Void"),"OK","Status required")))))))</x:f>
      </x:c>
    </x:row>
    <x:row r="347" ht="23" customHeight="1">
      <x:c r="A347" s="36"/>
      <x:c r="B347" s="40"/>
      <x:c r="C347" s="36"/>
      <x:c r="D347" s="41"/>
      <x:c r="E347" s="36"/>
      <x:c r="F347" s="36"/>
      <x:c r="G347" s="36"/>
      <x:c r="H347" s="36"/>
      <x:c r="I347" s="36"/>
      <x:c r="J347" s="36"/>
      <x:c r="K347" s="36"/>
      <x:c r="L347" s="36"/>
      <x:c r="M347" s="36"/>
      <x:c r="N347" s="36"/>
      <x:c r="O347" s="42" t="str">
        <x:f>IF(A347="","",IF(COUNTIFS('Event Guide'!$A$6:$A$29,C347)=1,VLOOKUP(C347,'Event Guide'!$A$6:$C$29,2,FALSE),"Unknown event"))</x:f>
      </x:c>
      <x:c r="P347" s="42" t="str">
        <x:f>IF(A347="","",IF(COUNTIFS('Event Guide'!$A$6:$A$29,C347)=1,VLOOKUP(C347,'Event Guide'!$A$6:$C$29,3,FALSE),"Unknown event"))</x:f>
      </x:c>
      <x:c r="Q347" s="42" t="str">
        <x:f>IF(A347="","",IF(O347="PAY",E347,IF(O347="OTHER",F347,IF(O347="CAPITAL","Capital - "&amp;G347,IF(O347="DUE","Due to - "&amp;G347,IF(O347="DRAW","Drawings - "&amp;G347,O347))))))</x:f>
      </x:c>
      <x:c r="R347" s="42" t="str">
        <x:f>IF(A347="","",IF(P347="PAY",E347,IF(P347="OTHER",F347,IF(P347="CAPITAL","Capital - "&amp;G347,IF(P347="DUE","Due to - "&amp;G347,IF(P347="DRAW","Drawings - "&amp;G347,P347))))))</x:f>
      </x:c>
      <x:c r="S347" s="37" t="n">
        <x:f>IF(AND(N347="Approved",T347="OK"),D347,0)</x:f>
        <x:v>0</x:v>
      </x:c>
      <x:c r="T347" s="42" t="str">
        <x:f>IF(A347="","",IF(COUNTIFS($A$6:$A$505,A347)&lt;&gt;1,"Duplicate ID",IF(OR(NOT(ISNUMBER(B347)),D347&lt;=0,NOT(ISNUMBER(D347)),I347="",J347="",L347=""),"Missing date/amount/ref/details",IF(OR(COUNTIFS('Accounts'!$A$6:$A$105,Q347)&lt;&gt;1,COUNTIFS('Accounts'!$A$6:$A$105,R347)&lt;&gt;1,Q347=R347),"Check accounts/event",IF(AND(OR(Q347="Trade payables",R347="Trade payables",Q347="Customer receivables",R347="Customer receivables",Q347="Courier receivables",R347="Courier receivables",Q347="Supplier advances",R347="Supplier advances"),H347=""),"Contact ID required",IF(AND(N347="Approved",OR(M347="",M347=L347)),"Independent review needed",IF(OR(N347="Draft",N347="Approved",N347="Void"),"OK","Status required")))))))</x:f>
      </x:c>
    </x:row>
    <x:row r="348" ht="23" customHeight="1">
      <x:c r="A348" s="36"/>
      <x:c r="B348" s="40"/>
      <x:c r="C348" s="36"/>
      <x:c r="D348" s="41"/>
      <x:c r="E348" s="36"/>
      <x:c r="F348" s="36"/>
      <x:c r="G348" s="36"/>
      <x:c r="H348" s="36"/>
      <x:c r="I348" s="36"/>
      <x:c r="J348" s="36"/>
      <x:c r="K348" s="36"/>
      <x:c r="L348" s="36"/>
      <x:c r="M348" s="36"/>
      <x:c r="N348" s="36"/>
      <x:c r="O348" s="42" t="str">
        <x:f>IF(A348="","",IF(COUNTIFS('Event Guide'!$A$6:$A$29,C348)=1,VLOOKUP(C348,'Event Guide'!$A$6:$C$29,2,FALSE),"Unknown event"))</x:f>
      </x:c>
      <x:c r="P348" s="42" t="str">
        <x:f>IF(A348="","",IF(COUNTIFS('Event Guide'!$A$6:$A$29,C348)=1,VLOOKUP(C348,'Event Guide'!$A$6:$C$29,3,FALSE),"Unknown event"))</x:f>
      </x:c>
      <x:c r="Q348" s="42" t="str">
        <x:f>IF(A348="","",IF(O348="PAY",E348,IF(O348="OTHER",F348,IF(O348="CAPITAL","Capital - "&amp;G348,IF(O348="DUE","Due to - "&amp;G348,IF(O348="DRAW","Drawings - "&amp;G348,O348))))))</x:f>
      </x:c>
      <x:c r="R348" s="42" t="str">
        <x:f>IF(A348="","",IF(P348="PAY",E348,IF(P348="OTHER",F348,IF(P348="CAPITAL","Capital - "&amp;G348,IF(P348="DUE","Due to - "&amp;G348,IF(P348="DRAW","Drawings - "&amp;G348,P348))))))</x:f>
      </x:c>
      <x:c r="S348" s="37" t="n">
        <x:f>IF(AND(N348="Approved",T348="OK"),D348,0)</x:f>
        <x:v>0</x:v>
      </x:c>
      <x:c r="T348" s="42" t="str">
        <x:f>IF(A348="","",IF(COUNTIFS($A$6:$A$505,A348)&lt;&gt;1,"Duplicate ID",IF(OR(NOT(ISNUMBER(B348)),D348&lt;=0,NOT(ISNUMBER(D348)),I348="",J348="",L348=""),"Missing date/amount/ref/details",IF(OR(COUNTIFS('Accounts'!$A$6:$A$105,Q348)&lt;&gt;1,COUNTIFS('Accounts'!$A$6:$A$105,R348)&lt;&gt;1,Q348=R348),"Check accounts/event",IF(AND(OR(Q348="Trade payables",R348="Trade payables",Q348="Customer receivables",R348="Customer receivables",Q348="Courier receivables",R348="Courier receivables",Q348="Supplier advances",R348="Supplier advances"),H348=""),"Contact ID required",IF(AND(N348="Approved",OR(M348="",M348=L348)),"Independent review needed",IF(OR(N348="Draft",N348="Approved",N348="Void"),"OK","Status required")))))))</x:f>
      </x:c>
    </x:row>
    <x:row r="349" ht="23" customHeight="1">
      <x:c r="A349" s="36"/>
      <x:c r="B349" s="40"/>
      <x:c r="C349" s="36"/>
      <x:c r="D349" s="41"/>
      <x:c r="E349" s="36"/>
      <x:c r="F349" s="36"/>
      <x:c r="G349" s="36"/>
      <x:c r="H349" s="36"/>
      <x:c r="I349" s="36"/>
      <x:c r="J349" s="36"/>
      <x:c r="K349" s="36"/>
      <x:c r="L349" s="36"/>
      <x:c r="M349" s="36"/>
      <x:c r="N349" s="36"/>
      <x:c r="O349" s="42" t="str">
        <x:f>IF(A349="","",IF(COUNTIFS('Event Guide'!$A$6:$A$29,C349)=1,VLOOKUP(C349,'Event Guide'!$A$6:$C$29,2,FALSE),"Unknown event"))</x:f>
      </x:c>
      <x:c r="P349" s="42" t="str">
        <x:f>IF(A349="","",IF(COUNTIFS('Event Guide'!$A$6:$A$29,C349)=1,VLOOKUP(C349,'Event Guide'!$A$6:$C$29,3,FALSE),"Unknown event"))</x:f>
      </x:c>
      <x:c r="Q349" s="42" t="str">
        <x:f>IF(A349="","",IF(O349="PAY",E349,IF(O349="OTHER",F349,IF(O349="CAPITAL","Capital - "&amp;G349,IF(O349="DUE","Due to - "&amp;G349,IF(O349="DRAW","Drawings - "&amp;G349,O349))))))</x:f>
      </x:c>
      <x:c r="R349" s="42" t="str">
        <x:f>IF(A349="","",IF(P349="PAY",E349,IF(P349="OTHER",F349,IF(P349="CAPITAL","Capital - "&amp;G349,IF(P349="DUE","Due to - "&amp;G349,IF(P349="DRAW","Drawings - "&amp;G349,P349))))))</x:f>
      </x:c>
      <x:c r="S349" s="37" t="n">
        <x:f>IF(AND(N349="Approved",T349="OK"),D349,0)</x:f>
        <x:v>0</x:v>
      </x:c>
      <x:c r="T349" s="42" t="str">
        <x:f>IF(A349="","",IF(COUNTIFS($A$6:$A$505,A349)&lt;&gt;1,"Duplicate ID",IF(OR(NOT(ISNUMBER(B349)),D349&lt;=0,NOT(ISNUMBER(D349)),I349="",J349="",L349=""),"Missing date/amount/ref/details",IF(OR(COUNTIFS('Accounts'!$A$6:$A$105,Q349)&lt;&gt;1,COUNTIFS('Accounts'!$A$6:$A$105,R349)&lt;&gt;1,Q349=R349),"Check accounts/event",IF(AND(OR(Q349="Trade payables",R349="Trade payables",Q349="Customer receivables",R349="Customer receivables",Q349="Courier receivables",R349="Courier receivables",Q349="Supplier advances",R349="Supplier advances"),H349=""),"Contact ID required",IF(AND(N349="Approved",OR(M349="",M349=L349)),"Independent review needed",IF(OR(N349="Draft",N349="Approved",N349="Void"),"OK","Status required")))))))</x:f>
      </x:c>
    </x:row>
    <x:row r="350" ht="23" customHeight="1">
      <x:c r="A350" s="36"/>
      <x:c r="B350" s="40"/>
      <x:c r="C350" s="36"/>
      <x:c r="D350" s="41"/>
      <x:c r="E350" s="36"/>
      <x:c r="F350" s="36"/>
      <x:c r="G350" s="36"/>
      <x:c r="H350" s="36"/>
      <x:c r="I350" s="36"/>
      <x:c r="J350" s="36"/>
      <x:c r="K350" s="36"/>
      <x:c r="L350" s="36"/>
      <x:c r="M350" s="36"/>
      <x:c r="N350" s="36"/>
      <x:c r="O350" s="42" t="str">
        <x:f>IF(A350="","",IF(COUNTIFS('Event Guide'!$A$6:$A$29,C350)=1,VLOOKUP(C350,'Event Guide'!$A$6:$C$29,2,FALSE),"Unknown event"))</x:f>
      </x:c>
      <x:c r="P350" s="42" t="str">
        <x:f>IF(A350="","",IF(COUNTIFS('Event Guide'!$A$6:$A$29,C350)=1,VLOOKUP(C350,'Event Guide'!$A$6:$C$29,3,FALSE),"Unknown event"))</x:f>
      </x:c>
      <x:c r="Q350" s="42" t="str">
        <x:f>IF(A350="","",IF(O350="PAY",E350,IF(O350="OTHER",F350,IF(O350="CAPITAL","Capital - "&amp;G350,IF(O350="DUE","Due to - "&amp;G350,IF(O350="DRAW","Drawings - "&amp;G350,O350))))))</x:f>
      </x:c>
      <x:c r="R350" s="42" t="str">
        <x:f>IF(A350="","",IF(P350="PAY",E350,IF(P350="OTHER",F350,IF(P350="CAPITAL","Capital - "&amp;G350,IF(P350="DUE","Due to - "&amp;G350,IF(P350="DRAW","Drawings - "&amp;G350,P350))))))</x:f>
      </x:c>
      <x:c r="S350" s="37" t="n">
        <x:f>IF(AND(N350="Approved",T350="OK"),D350,0)</x:f>
        <x:v>0</x:v>
      </x:c>
      <x:c r="T350" s="42" t="str">
        <x:f>IF(A350="","",IF(COUNTIFS($A$6:$A$505,A350)&lt;&gt;1,"Duplicate ID",IF(OR(NOT(ISNUMBER(B350)),D350&lt;=0,NOT(ISNUMBER(D350)),I350="",J350="",L350=""),"Missing date/amount/ref/details",IF(OR(COUNTIFS('Accounts'!$A$6:$A$105,Q350)&lt;&gt;1,COUNTIFS('Accounts'!$A$6:$A$105,R350)&lt;&gt;1,Q350=R350),"Check accounts/event",IF(AND(OR(Q350="Trade payables",R350="Trade payables",Q350="Customer receivables",R350="Customer receivables",Q350="Courier receivables",R350="Courier receivables",Q350="Supplier advances",R350="Supplier advances"),H350=""),"Contact ID required",IF(AND(N350="Approved",OR(M350="",M350=L350)),"Independent review needed",IF(OR(N350="Draft",N350="Approved",N350="Void"),"OK","Status required")))))))</x:f>
      </x:c>
    </x:row>
    <x:row r="351" ht="23" customHeight="1">
      <x:c r="A351" s="36"/>
      <x:c r="B351" s="40"/>
      <x:c r="C351" s="36"/>
      <x:c r="D351" s="41"/>
      <x:c r="E351" s="36"/>
      <x:c r="F351" s="36"/>
      <x:c r="G351" s="36"/>
      <x:c r="H351" s="36"/>
      <x:c r="I351" s="36"/>
      <x:c r="J351" s="36"/>
      <x:c r="K351" s="36"/>
      <x:c r="L351" s="36"/>
      <x:c r="M351" s="36"/>
      <x:c r="N351" s="36"/>
      <x:c r="O351" s="42" t="str">
        <x:f>IF(A351="","",IF(COUNTIFS('Event Guide'!$A$6:$A$29,C351)=1,VLOOKUP(C351,'Event Guide'!$A$6:$C$29,2,FALSE),"Unknown event"))</x:f>
      </x:c>
      <x:c r="P351" s="42" t="str">
        <x:f>IF(A351="","",IF(COUNTIFS('Event Guide'!$A$6:$A$29,C351)=1,VLOOKUP(C351,'Event Guide'!$A$6:$C$29,3,FALSE),"Unknown event"))</x:f>
      </x:c>
      <x:c r="Q351" s="42" t="str">
        <x:f>IF(A351="","",IF(O351="PAY",E351,IF(O351="OTHER",F351,IF(O351="CAPITAL","Capital - "&amp;G351,IF(O351="DUE","Due to - "&amp;G351,IF(O351="DRAW","Drawings - "&amp;G351,O351))))))</x:f>
      </x:c>
      <x:c r="R351" s="42" t="str">
        <x:f>IF(A351="","",IF(P351="PAY",E351,IF(P351="OTHER",F351,IF(P351="CAPITAL","Capital - "&amp;G351,IF(P351="DUE","Due to - "&amp;G351,IF(P351="DRAW","Drawings - "&amp;G351,P351))))))</x:f>
      </x:c>
      <x:c r="S351" s="37" t="n">
        <x:f>IF(AND(N351="Approved",T351="OK"),D351,0)</x:f>
        <x:v>0</x:v>
      </x:c>
      <x:c r="T351" s="42" t="str">
        <x:f>IF(A351="","",IF(COUNTIFS($A$6:$A$505,A351)&lt;&gt;1,"Duplicate ID",IF(OR(NOT(ISNUMBER(B351)),D351&lt;=0,NOT(ISNUMBER(D351)),I351="",J351="",L351=""),"Missing date/amount/ref/details",IF(OR(COUNTIFS('Accounts'!$A$6:$A$105,Q351)&lt;&gt;1,COUNTIFS('Accounts'!$A$6:$A$105,R351)&lt;&gt;1,Q351=R351),"Check accounts/event",IF(AND(OR(Q351="Trade payables",R351="Trade payables",Q351="Customer receivables",R351="Customer receivables",Q351="Courier receivables",R351="Courier receivables",Q351="Supplier advances",R351="Supplier advances"),H351=""),"Contact ID required",IF(AND(N351="Approved",OR(M351="",M351=L351)),"Independent review needed",IF(OR(N351="Draft",N351="Approved",N351="Void"),"OK","Status required")))))))</x:f>
      </x:c>
    </x:row>
    <x:row r="352" ht="23" customHeight="1">
      <x:c r="A352" s="36"/>
      <x:c r="B352" s="40"/>
      <x:c r="C352" s="36"/>
      <x:c r="D352" s="41"/>
      <x:c r="E352" s="36"/>
      <x:c r="F352" s="36"/>
      <x:c r="G352" s="36"/>
      <x:c r="H352" s="36"/>
      <x:c r="I352" s="36"/>
      <x:c r="J352" s="36"/>
      <x:c r="K352" s="36"/>
      <x:c r="L352" s="36"/>
      <x:c r="M352" s="36"/>
      <x:c r="N352" s="36"/>
      <x:c r="O352" s="42" t="str">
        <x:f>IF(A352="","",IF(COUNTIFS('Event Guide'!$A$6:$A$29,C352)=1,VLOOKUP(C352,'Event Guide'!$A$6:$C$29,2,FALSE),"Unknown event"))</x:f>
      </x:c>
      <x:c r="P352" s="42" t="str">
        <x:f>IF(A352="","",IF(COUNTIFS('Event Guide'!$A$6:$A$29,C352)=1,VLOOKUP(C352,'Event Guide'!$A$6:$C$29,3,FALSE),"Unknown event"))</x:f>
      </x:c>
      <x:c r="Q352" s="42" t="str">
        <x:f>IF(A352="","",IF(O352="PAY",E352,IF(O352="OTHER",F352,IF(O352="CAPITAL","Capital - "&amp;G352,IF(O352="DUE","Due to - "&amp;G352,IF(O352="DRAW","Drawings - "&amp;G352,O352))))))</x:f>
      </x:c>
      <x:c r="R352" s="42" t="str">
        <x:f>IF(A352="","",IF(P352="PAY",E352,IF(P352="OTHER",F352,IF(P352="CAPITAL","Capital - "&amp;G352,IF(P352="DUE","Due to - "&amp;G352,IF(P352="DRAW","Drawings - "&amp;G352,P352))))))</x:f>
      </x:c>
      <x:c r="S352" s="37" t="n">
        <x:f>IF(AND(N352="Approved",T352="OK"),D352,0)</x:f>
        <x:v>0</x:v>
      </x:c>
      <x:c r="T352" s="42" t="str">
        <x:f>IF(A352="","",IF(COUNTIFS($A$6:$A$505,A352)&lt;&gt;1,"Duplicate ID",IF(OR(NOT(ISNUMBER(B352)),D352&lt;=0,NOT(ISNUMBER(D352)),I352="",J352="",L352=""),"Missing date/amount/ref/details",IF(OR(COUNTIFS('Accounts'!$A$6:$A$105,Q352)&lt;&gt;1,COUNTIFS('Accounts'!$A$6:$A$105,R352)&lt;&gt;1,Q352=R352),"Check accounts/event",IF(AND(OR(Q352="Trade payables",R352="Trade payables",Q352="Customer receivables",R352="Customer receivables",Q352="Courier receivables",R352="Courier receivables",Q352="Supplier advances",R352="Supplier advances"),H352=""),"Contact ID required",IF(AND(N352="Approved",OR(M352="",M352=L352)),"Independent review needed",IF(OR(N352="Draft",N352="Approved",N352="Void"),"OK","Status required")))))))</x:f>
      </x:c>
    </x:row>
    <x:row r="353" ht="23" customHeight="1">
      <x:c r="A353" s="36"/>
      <x:c r="B353" s="40"/>
      <x:c r="C353" s="36"/>
      <x:c r="D353" s="41"/>
      <x:c r="E353" s="36"/>
      <x:c r="F353" s="36"/>
      <x:c r="G353" s="36"/>
      <x:c r="H353" s="36"/>
      <x:c r="I353" s="36"/>
      <x:c r="J353" s="36"/>
      <x:c r="K353" s="36"/>
      <x:c r="L353" s="36"/>
      <x:c r="M353" s="36"/>
      <x:c r="N353" s="36"/>
      <x:c r="O353" s="42" t="str">
        <x:f>IF(A353="","",IF(COUNTIFS('Event Guide'!$A$6:$A$29,C353)=1,VLOOKUP(C353,'Event Guide'!$A$6:$C$29,2,FALSE),"Unknown event"))</x:f>
      </x:c>
      <x:c r="P353" s="42" t="str">
        <x:f>IF(A353="","",IF(COUNTIFS('Event Guide'!$A$6:$A$29,C353)=1,VLOOKUP(C353,'Event Guide'!$A$6:$C$29,3,FALSE),"Unknown event"))</x:f>
      </x:c>
      <x:c r="Q353" s="42" t="str">
        <x:f>IF(A353="","",IF(O353="PAY",E353,IF(O353="OTHER",F353,IF(O353="CAPITAL","Capital - "&amp;G353,IF(O353="DUE","Due to - "&amp;G353,IF(O353="DRAW","Drawings - "&amp;G353,O353))))))</x:f>
      </x:c>
      <x:c r="R353" s="42" t="str">
        <x:f>IF(A353="","",IF(P353="PAY",E353,IF(P353="OTHER",F353,IF(P353="CAPITAL","Capital - "&amp;G353,IF(P353="DUE","Due to - "&amp;G353,IF(P353="DRAW","Drawings - "&amp;G353,P353))))))</x:f>
      </x:c>
      <x:c r="S353" s="37" t="n">
        <x:f>IF(AND(N353="Approved",T353="OK"),D353,0)</x:f>
        <x:v>0</x:v>
      </x:c>
      <x:c r="T353" s="42" t="str">
        <x:f>IF(A353="","",IF(COUNTIFS($A$6:$A$505,A353)&lt;&gt;1,"Duplicate ID",IF(OR(NOT(ISNUMBER(B353)),D353&lt;=0,NOT(ISNUMBER(D353)),I353="",J353="",L353=""),"Missing date/amount/ref/details",IF(OR(COUNTIFS('Accounts'!$A$6:$A$105,Q353)&lt;&gt;1,COUNTIFS('Accounts'!$A$6:$A$105,R353)&lt;&gt;1,Q353=R353),"Check accounts/event",IF(AND(OR(Q353="Trade payables",R353="Trade payables",Q353="Customer receivables",R353="Customer receivables",Q353="Courier receivables",R353="Courier receivables",Q353="Supplier advances",R353="Supplier advances"),H353=""),"Contact ID required",IF(AND(N353="Approved",OR(M353="",M353=L353)),"Independent review needed",IF(OR(N353="Draft",N353="Approved",N353="Void"),"OK","Status required")))))))</x:f>
      </x:c>
    </x:row>
    <x:row r="354" ht="23" customHeight="1">
      <x:c r="A354" s="36"/>
      <x:c r="B354" s="40"/>
      <x:c r="C354" s="36"/>
      <x:c r="D354" s="41"/>
      <x:c r="E354" s="36"/>
      <x:c r="F354" s="36"/>
      <x:c r="G354" s="36"/>
      <x:c r="H354" s="36"/>
      <x:c r="I354" s="36"/>
      <x:c r="J354" s="36"/>
      <x:c r="K354" s="36"/>
      <x:c r="L354" s="36"/>
      <x:c r="M354" s="36"/>
      <x:c r="N354" s="36"/>
      <x:c r="O354" s="42" t="str">
        <x:f>IF(A354="","",IF(COUNTIFS('Event Guide'!$A$6:$A$29,C354)=1,VLOOKUP(C354,'Event Guide'!$A$6:$C$29,2,FALSE),"Unknown event"))</x:f>
      </x:c>
      <x:c r="P354" s="42" t="str">
        <x:f>IF(A354="","",IF(COUNTIFS('Event Guide'!$A$6:$A$29,C354)=1,VLOOKUP(C354,'Event Guide'!$A$6:$C$29,3,FALSE),"Unknown event"))</x:f>
      </x:c>
      <x:c r="Q354" s="42" t="str">
        <x:f>IF(A354="","",IF(O354="PAY",E354,IF(O354="OTHER",F354,IF(O354="CAPITAL","Capital - "&amp;G354,IF(O354="DUE","Due to - "&amp;G354,IF(O354="DRAW","Drawings - "&amp;G354,O354))))))</x:f>
      </x:c>
      <x:c r="R354" s="42" t="str">
        <x:f>IF(A354="","",IF(P354="PAY",E354,IF(P354="OTHER",F354,IF(P354="CAPITAL","Capital - "&amp;G354,IF(P354="DUE","Due to - "&amp;G354,IF(P354="DRAW","Drawings - "&amp;G354,P354))))))</x:f>
      </x:c>
      <x:c r="S354" s="37" t="n">
        <x:f>IF(AND(N354="Approved",T354="OK"),D354,0)</x:f>
        <x:v>0</x:v>
      </x:c>
      <x:c r="T354" s="42" t="str">
        <x:f>IF(A354="","",IF(COUNTIFS($A$6:$A$505,A354)&lt;&gt;1,"Duplicate ID",IF(OR(NOT(ISNUMBER(B354)),D354&lt;=0,NOT(ISNUMBER(D354)),I354="",J354="",L354=""),"Missing date/amount/ref/details",IF(OR(COUNTIFS('Accounts'!$A$6:$A$105,Q354)&lt;&gt;1,COUNTIFS('Accounts'!$A$6:$A$105,R354)&lt;&gt;1,Q354=R354),"Check accounts/event",IF(AND(OR(Q354="Trade payables",R354="Trade payables",Q354="Customer receivables",R354="Customer receivables",Q354="Courier receivables",R354="Courier receivables",Q354="Supplier advances",R354="Supplier advances"),H354=""),"Contact ID required",IF(AND(N354="Approved",OR(M354="",M354=L354)),"Independent review needed",IF(OR(N354="Draft",N354="Approved",N354="Void"),"OK","Status required")))))))</x:f>
      </x:c>
    </x:row>
    <x:row r="355" ht="23" customHeight="1">
      <x:c r="A355" s="36"/>
      <x:c r="B355" s="40"/>
      <x:c r="C355" s="36"/>
      <x:c r="D355" s="41"/>
      <x:c r="E355" s="36"/>
      <x:c r="F355" s="36"/>
      <x:c r="G355" s="36"/>
      <x:c r="H355" s="36"/>
      <x:c r="I355" s="36"/>
      <x:c r="J355" s="36"/>
      <x:c r="K355" s="36"/>
      <x:c r="L355" s="36"/>
      <x:c r="M355" s="36"/>
      <x:c r="N355" s="36"/>
      <x:c r="O355" s="42" t="str">
        <x:f>IF(A355="","",IF(COUNTIFS('Event Guide'!$A$6:$A$29,C355)=1,VLOOKUP(C355,'Event Guide'!$A$6:$C$29,2,FALSE),"Unknown event"))</x:f>
      </x:c>
      <x:c r="P355" s="42" t="str">
        <x:f>IF(A355="","",IF(COUNTIFS('Event Guide'!$A$6:$A$29,C355)=1,VLOOKUP(C355,'Event Guide'!$A$6:$C$29,3,FALSE),"Unknown event"))</x:f>
      </x:c>
      <x:c r="Q355" s="42" t="str">
        <x:f>IF(A355="","",IF(O355="PAY",E355,IF(O355="OTHER",F355,IF(O355="CAPITAL","Capital - "&amp;G355,IF(O355="DUE","Due to - "&amp;G355,IF(O355="DRAW","Drawings - "&amp;G355,O355))))))</x:f>
      </x:c>
      <x:c r="R355" s="42" t="str">
        <x:f>IF(A355="","",IF(P355="PAY",E355,IF(P355="OTHER",F355,IF(P355="CAPITAL","Capital - "&amp;G355,IF(P355="DUE","Due to - "&amp;G355,IF(P355="DRAW","Drawings - "&amp;G355,P355))))))</x:f>
      </x:c>
      <x:c r="S355" s="37" t="n">
        <x:f>IF(AND(N355="Approved",T355="OK"),D355,0)</x:f>
        <x:v>0</x:v>
      </x:c>
      <x:c r="T355" s="42" t="str">
        <x:f>IF(A355="","",IF(COUNTIFS($A$6:$A$505,A355)&lt;&gt;1,"Duplicate ID",IF(OR(NOT(ISNUMBER(B355)),D355&lt;=0,NOT(ISNUMBER(D355)),I355="",J355="",L355=""),"Missing date/amount/ref/details",IF(OR(COUNTIFS('Accounts'!$A$6:$A$105,Q355)&lt;&gt;1,COUNTIFS('Accounts'!$A$6:$A$105,R355)&lt;&gt;1,Q355=R355),"Check accounts/event",IF(AND(OR(Q355="Trade payables",R355="Trade payables",Q355="Customer receivables",R355="Customer receivables",Q355="Courier receivables",R355="Courier receivables",Q355="Supplier advances",R355="Supplier advances"),H355=""),"Contact ID required",IF(AND(N355="Approved",OR(M355="",M355=L355)),"Independent review needed",IF(OR(N355="Draft",N355="Approved",N355="Void"),"OK","Status required")))))))</x:f>
      </x:c>
    </x:row>
    <x:row r="356" ht="23" customHeight="1">
      <x:c r="A356" s="36"/>
      <x:c r="B356" s="40"/>
      <x:c r="C356" s="36"/>
      <x:c r="D356" s="41"/>
      <x:c r="E356" s="36"/>
      <x:c r="F356" s="36"/>
      <x:c r="G356" s="36"/>
      <x:c r="H356" s="36"/>
      <x:c r="I356" s="36"/>
      <x:c r="J356" s="36"/>
      <x:c r="K356" s="36"/>
      <x:c r="L356" s="36"/>
      <x:c r="M356" s="36"/>
      <x:c r="N356" s="36"/>
      <x:c r="O356" s="42" t="str">
        <x:f>IF(A356="","",IF(COUNTIFS('Event Guide'!$A$6:$A$29,C356)=1,VLOOKUP(C356,'Event Guide'!$A$6:$C$29,2,FALSE),"Unknown event"))</x:f>
      </x:c>
      <x:c r="P356" s="42" t="str">
        <x:f>IF(A356="","",IF(COUNTIFS('Event Guide'!$A$6:$A$29,C356)=1,VLOOKUP(C356,'Event Guide'!$A$6:$C$29,3,FALSE),"Unknown event"))</x:f>
      </x:c>
      <x:c r="Q356" s="42" t="str">
        <x:f>IF(A356="","",IF(O356="PAY",E356,IF(O356="OTHER",F356,IF(O356="CAPITAL","Capital - "&amp;G356,IF(O356="DUE","Due to - "&amp;G356,IF(O356="DRAW","Drawings - "&amp;G356,O356))))))</x:f>
      </x:c>
      <x:c r="R356" s="42" t="str">
        <x:f>IF(A356="","",IF(P356="PAY",E356,IF(P356="OTHER",F356,IF(P356="CAPITAL","Capital - "&amp;G356,IF(P356="DUE","Due to - "&amp;G356,IF(P356="DRAW","Drawings - "&amp;G356,P356))))))</x:f>
      </x:c>
      <x:c r="S356" s="37" t="n">
        <x:f>IF(AND(N356="Approved",T356="OK"),D356,0)</x:f>
        <x:v>0</x:v>
      </x:c>
      <x:c r="T356" s="42" t="str">
        <x:f>IF(A356="","",IF(COUNTIFS($A$6:$A$505,A356)&lt;&gt;1,"Duplicate ID",IF(OR(NOT(ISNUMBER(B356)),D356&lt;=0,NOT(ISNUMBER(D356)),I356="",J356="",L356=""),"Missing date/amount/ref/details",IF(OR(COUNTIFS('Accounts'!$A$6:$A$105,Q356)&lt;&gt;1,COUNTIFS('Accounts'!$A$6:$A$105,R356)&lt;&gt;1,Q356=R356),"Check accounts/event",IF(AND(OR(Q356="Trade payables",R356="Trade payables",Q356="Customer receivables",R356="Customer receivables",Q356="Courier receivables",R356="Courier receivables",Q356="Supplier advances",R356="Supplier advances"),H356=""),"Contact ID required",IF(AND(N356="Approved",OR(M356="",M356=L356)),"Independent review needed",IF(OR(N356="Draft",N356="Approved",N356="Void"),"OK","Status required")))))))</x:f>
      </x:c>
    </x:row>
    <x:row r="357" ht="23" customHeight="1">
      <x:c r="A357" s="36"/>
      <x:c r="B357" s="40"/>
      <x:c r="C357" s="36"/>
      <x:c r="D357" s="41"/>
      <x:c r="E357" s="36"/>
      <x:c r="F357" s="36"/>
      <x:c r="G357" s="36"/>
      <x:c r="H357" s="36"/>
      <x:c r="I357" s="36"/>
      <x:c r="J357" s="36"/>
      <x:c r="K357" s="36"/>
      <x:c r="L357" s="36"/>
      <x:c r="M357" s="36"/>
      <x:c r="N357" s="36"/>
      <x:c r="O357" s="42" t="str">
        <x:f>IF(A357="","",IF(COUNTIFS('Event Guide'!$A$6:$A$29,C357)=1,VLOOKUP(C357,'Event Guide'!$A$6:$C$29,2,FALSE),"Unknown event"))</x:f>
      </x:c>
      <x:c r="P357" s="42" t="str">
        <x:f>IF(A357="","",IF(COUNTIFS('Event Guide'!$A$6:$A$29,C357)=1,VLOOKUP(C357,'Event Guide'!$A$6:$C$29,3,FALSE),"Unknown event"))</x:f>
      </x:c>
      <x:c r="Q357" s="42" t="str">
        <x:f>IF(A357="","",IF(O357="PAY",E357,IF(O357="OTHER",F357,IF(O357="CAPITAL","Capital - "&amp;G357,IF(O357="DUE","Due to - "&amp;G357,IF(O357="DRAW","Drawings - "&amp;G357,O357))))))</x:f>
      </x:c>
      <x:c r="R357" s="42" t="str">
        <x:f>IF(A357="","",IF(P357="PAY",E357,IF(P357="OTHER",F357,IF(P357="CAPITAL","Capital - "&amp;G357,IF(P357="DUE","Due to - "&amp;G357,IF(P357="DRAW","Drawings - "&amp;G357,P357))))))</x:f>
      </x:c>
      <x:c r="S357" s="37" t="n">
        <x:f>IF(AND(N357="Approved",T357="OK"),D357,0)</x:f>
        <x:v>0</x:v>
      </x:c>
      <x:c r="T357" s="42" t="str">
        <x:f>IF(A357="","",IF(COUNTIFS($A$6:$A$505,A357)&lt;&gt;1,"Duplicate ID",IF(OR(NOT(ISNUMBER(B357)),D357&lt;=0,NOT(ISNUMBER(D357)),I357="",J357="",L357=""),"Missing date/amount/ref/details",IF(OR(COUNTIFS('Accounts'!$A$6:$A$105,Q357)&lt;&gt;1,COUNTIFS('Accounts'!$A$6:$A$105,R357)&lt;&gt;1,Q357=R357),"Check accounts/event",IF(AND(OR(Q357="Trade payables",R357="Trade payables",Q357="Customer receivables",R357="Customer receivables",Q357="Courier receivables",R357="Courier receivables",Q357="Supplier advances",R357="Supplier advances"),H357=""),"Contact ID required",IF(AND(N357="Approved",OR(M357="",M357=L357)),"Independent review needed",IF(OR(N357="Draft",N357="Approved",N357="Void"),"OK","Status required")))))))</x:f>
      </x:c>
    </x:row>
    <x:row r="358" ht="23" customHeight="1">
      <x:c r="A358" s="36"/>
      <x:c r="B358" s="40"/>
      <x:c r="C358" s="36"/>
      <x:c r="D358" s="41"/>
      <x:c r="E358" s="36"/>
      <x:c r="F358" s="36"/>
      <x:c r="G358" s="36"/>
      <x:c r="H358" s="36"/>
      <x:c r="I358" s="36"/>
      <x:c r="J358" s="36"/>
      <x:c r="K358" s="36"/>
      <x:c r="L358" s="36"/>
      <x:c r="M358" s="36"/>
      <x:c r="N358" s="36"/>
      <x:c r="O358" s="42" t="str">
        <x:f>IF(A358="","",IF(COUNTIFS('Event Guide'!$A$6:$A$29,C358)=1,VLOOKUP(C358,'Event Guide'!$A$6:$C$29,2,FALSE),"Unknown event"))</x:f>
      </x:c>
      <x:c r="P358" s="42" t="str">
        <x:f>IF(A358="","",IF(COUNTIFS('Event Guide'!$A$6:$A$29,C358)=1,VLOOKUP(C358,'Event Guide'!$A$6:$C$29,3,FALSE),"Unknown event"))</x:f>
      </x:c>
      <x:c r="Q358" s="42" t="str">
        <x:f>IF(A358="","",IF(O358="PAY",E358,IF(O358="OTHER",F358,IF(O358="CAPITAL","Capital - "&amp;G358,IF(O358="DUE","Due to - "&amp;G358,IF(O358="DRAW","Drawings - "&amp;G358,O358))))))</x:f>
      </x:c>
      <x:c r="R358" s="42" t="str">
        <x:f>IF(A358="","",IF(P358="PAY",E358,IF(P358="OTHER",F358,IF(P358="CAPITAL","Capital - "&amp;G358,IF(P358="DUE","Due to - "&amp;G358,IF(P358="DRAW","Drawings - "&amp;G358,P358))))))</x:f>
      </x:c>
      <x:c r="S358" s="37" t="n">
        <x:f>IF(AND(N358="Approved",T358="OK"),D358,0)</x:f>
        <x:v>0</x:v>
      </x:c>
      <x:c r="T358" s="42" t="str">
        <x:f>IF(A358="","",IF(COUNTIFS($A$6:$A$505,A358)&lt;&gt;1,"Duplicate ID",IF(OR(NOT(ISNUMBER(B358)),D358&lt;=0,NOT(ISNUMBER(D358)),I358="",J358="",L358=""),"Missing date/amount/ref/details",IF(OR(COUNTIFS('Accounts'!$A$6:$A$105,Q358)&lt;&gt;1,COUNTIFS('Accounts'!$A$6:$A$105,R358)&lt;&gt;1,Q358=R358),"Check accounts/event",IF(AND(OR(Q358="Trade payables",R358="Trade payables",Q358="Customer receivables",R358="Customer receivables",Q358="Courier receivables",R358="Courier receivables",Q358="Supplier advances",R358="Supplier advances"),H358=""),"Contact ID required",IF(AND(N358="Approved",OR(M358="",M358=L358)),"Independent review needed",IF(OR(N358="Draft",N358="Approved",N358="Void"),"OK","Status required")))))))</x:f>
      </x:c>
    </x:row>
    <x:row r="359" ht="23" customHeight="1">
      <x:c r="A359" s="36"/>
      <x:c r="B359" s="40"/>
      <x:c r="C359" s="36"/>
      <x:c r="D359" s="41"/>
      <x:c r="E359" s="36"/>
      <x:c r="F359" s="36"/>
      <x:c r="G359" s="36"/>
      <x:c r="H359" s="36"/>
      <x:c r="I359" s="36"/>
      <x:c r="J359" s="36"/>
      <x:c r="K359" s="36"/>
      <x:c r="L359" s="36"/>
      <x:c r="M359" s="36"/>
      <x:c r="N359" s="36"/>
      <x:c r="O359" s="42" t="str">
        <x:f>IF(A359="","",IF(COUNTIFS('Event Guide'!$A$6:$A$29,C359)=1,VLOOKUP(C359,'Event Guide'!$A$6:$C$29,2,FALSE),"Unknown event"))</x:f>
      </x:c>
      <x:c r="P359" s="42" t="str">
        <x:f>IF(A359="","",IF(COUNTIFS('Event Guide'!$A$6:$A$29,C359)=1,VLOOKUP(C359,'Event Guide'!$A$6:$C$29,3,FALSE),"Unknown event"))</x:f>
      </x:c>
      <x:c r="Q359" s="42" t="str">
        <x:f>IF(A359="","",IF(O359="PAY",E359,IF(O359="OTHER",F359,IF(O359="CAPITAL","Capital - "&amp;G359,IF(O359="DUE","Due to - "&amp;G359,IF(O359="DRAW","Drawings - "&amp;G359,O359))))))</x:f>
      </x:c>
      <x:c r="R359" s="42" t="str">
        <x:f>IF(A359="","",IF(P359="PAY",E359,IF(P359="OTHER",F359,IF(P359="CAPITAL","Capital - "&amp;G359,IF(P359="DUE","Due to - "&amp;G359,IF(P359="DRAW","Drawings - "&amp;G359,P359))))))</x:f>
      </x:c>
      <x:c r="S359" s="37" t="n">
        <x:f>IF(AND(N359="Approved",T359="OK"),D359,0)</x:f>
        <x:v>0</x:v>
      </x:c>
      <x:c r="T359" s="42" t="str">
        <x:f>IF(A359="","",IF(COUNTIFS($A$6:$A$505,A359)&lt;&gt;1,"Duplicate ID",IF(OR(NOT(ISNUMBER(B359)),D359&lt;=0,NOT(ISNUMBER(D359)),I359="",J359="",L359=""),"Missing date/amount/ref/details",IF(OR(COUNTIFS('Accounts'!$A$6:$A$105,Q359)&lt;&gt;1,COUNTIFS('Accounts'!$A$6:$A$105,R359)&lt;&gt;1,Q359=R359),"Check accounts/event",IF(AND(OR(Q359="Trade payables",R359="Trade payables",Q359="Customer receivables",R359="Customer receivables",Q359="Courier receivables",R359="Courier receivables",Q359="Supplier advances",R359="Supplier advances"),H359=""),"Contact ID required",IF(AND(N359="Approved",OR(M359="",M359=L359)),"Independent review needed",IF(OR(N359="Draft",N359="Approved",N359="Void"),"OK","Status required")))))))</x:f>
      </x:c>
    </x:row>
    <x:row r="360" ht="23" customHeight="1">
      <x:c r="A360" s="36"/>
      <x:c r="B360" s="40"/>
      <x:c r="C360" s="36"/>
      <x:c r="D360" s="41"/>
      <x:c r="E360" s="36"/>
      <x:c r="F360" s="36"/>
      <x:c r="G360" s="36"/>
      <x:c r="H360" s="36"/>
      <x:c r="I360" s="36"/>
      <x:c r="J360" s="36"/>
      <x:c r="K360" s="36"/>
      <x:c r="L360" s="36"/>
      <x:c r="M360" s="36"/>
      <x:c r="N360" s="36"/>
      <x:c r="O360" s="42" t="str">
        <x:f>IF(A360="","",IF(COUNTIFS('Event Guide'!$A$6:$A$29,C360)=1,VLOOKUP(C360,'Event Guide'!$A$6:$C$29,2,FALSE),"Unknown event"))</x:f>
      </x:c>
      <x:c r="P360" s="42" t="str">
        <x:f>IF(A360="","",IF(COUNTIFS('Event Guide'!$A$6:$A$29,C360)=1,VLOOKUP(C360,'Event Guide'!$A$6:$C$29,3,FALSE),"Unknown event"))</x:f>
      </x:c>
      <x:c r="Q360" s="42" t="str">
        <x:f>IF(A360="","",IF(O360="PAY",E360,IF(O360="OTHER",F360,IF(O360="CAPITAL","Capital - "&amp;G360,IF(O360="DUE","Due to - "&amp;G360,IF(O360="DRAW","Drawings - "&amp;G360,O360))))))</x:f>
      </x:c>
      <x:c r="R360" s="42" t="str">
        <x:f>IF(A360="","",IF(P360="PAY",E360,IF(P360="OTHER",F360,IF(P360="CAPITAL","Capital - "&amp;G360,IF(P360="DUE","Due to - "&amp;G360,IF(P360="DRAW","Drawings - "&amp;G360,P360))))))</x:f>
      </x:c>
      <x:c r="S360" s="37" t="n">
        <x:f>IF(AND(N360="Approved",T360="OK"),D360,0)</x:f>
        <x:v>0</x:v>
      </x:c>
      <x:c r="T360" s="42" t="str">
        <x:f>IF(A360="","",IF(COUNTIFS($A$6:$A$505,A360)&lt;&gt;1,"Duplicate ID",IF(OR(NOT(ISNUMBER(B360)),D360&lt;=0,NOT(ISNUMBER(D360)),I360="",J360="",L360=""),"Missing date/amount/ref/details",IF(OR(COUNTIFS('Accounts'!$A$6:$A$105,Q360)&lt;&gt;1,COUNTIFS('Accounts'!$A$6:$A$105,R360)&lt;&gt;1,Q360=R360),"Check accounts/event",IF(AND(OR(Q360="Trade payables",R360="Trade payables",Q360="Customer receivables",R360="Customer receivables",Q360="Courier receivables",R360="Courier receivables",Q360="Supplier advances",R360="Supplier advances"),H360=""),"Contact ID required",IF(AND(N360="Approved",OR(M360="",M360=L360)),"Independent review needed",IF(OR(N360="Draft",N360="Approved",N360="Void"),"OK","Status required")))))))</x:f>
      </x:c>
    </x:row>
    <x:row r="361" ht="23" customHeight="1">
      <x:c r="A361" s="36"/>
      <x:c r="B361" s="40"/>
      <x:c r="C361" s="36"/>
      <x:c r="D361" s="41"/>
      <x:c r="E361" s="36"/>
      <x:c r="F361" s="36"/>
      <x:c r="G361" s="36"/>
      <x:c r="H361" s="36"/>
      <x:c r="I361" s="36"/>
      <x:c r="J361" s="36"/>
      <x:c r="K361" s="36"/>
      <x:c r="L361" s="36"/>
      <x:c r="M361" s="36"/>
      <x:c r="N361" s="36"/>
      <x:c r="O361" s="42" t="str">
        <x:f>IF(A361="","",IF(COUNTIFS('Event Guide'!$A$6:$A$29,C361)=1,VLOOKUP(C361,'Event Guide'!$A$6:$C$29,2,FALSE),"Unknown event"))</x:f>
      </x:c>
      <x:c r="P361" s="42" t="str">
        <x:f>IF(A361="","",IF(COUNTIFS('Event Guide'!$A$6:$A$29,C361)=1,VLOOKUP(C361,'Event Guide'!$A$6:$C$29,3,FALSE),"Unknown event"))</x:f>
      </x:c>
      <x:c r="Q361" s="42" t="str">
        <x:f>IF(A361="","",IF(O361="PAY",E361,IF(O361="OTHER",F361,IF(O361="CAPITAL","Capital - "&amp;G361,IF(O361="DUE","Due to - "&amp;G361,IF(O361="DRAW","Drawings - "&amp;G361,O361))))))</x:f>
      </x:c>
      <x:c r="R361" s="42" t="str">
        <x:f>IF(A361="","",IF(P361="PAY",E361,IF(P361="OTHER",F361,IF(P361="CAPITAL","Capital - "&amp;G361,IF(P361="DUE","Due to - "&amp;G361,IF(P361="DRAW","Drawings - "&amp;G361,P361))))))</x:f>
      </x:c>
      <x:c r="S361" s="37" t="n">
        <x:f>IF(AND(N361="Approved",T361="OK"),D361,0)</x:f>
        <x:v>0</x:v>
      </x:c>
      <x:c r="T361" s="42" t="str">
        <x:f>IF(A361="","",IF(COUNTIFS($A$6:$A$505,A361)&lt;&gt;1,"Duplicate ID",IF(OR(NOT(ISNUMBER(B361)),D361&lt;=0,NOT(ISNUMBER(D361)),I361="",J361="",L361=""),"Missing date/amount/ref/details",IF(OR(COUNTIFS('Accounts'!$A$6:$A$105,Q361)&lt;&gt;1,COUNTIFS('Accounts'!$A$6:$A$105,R361)&lt;&gt;1,Q361=R361),"Check accounts/event",IF(AND(OR(Q361="Trade payables",R361="Trade payables",Q361="Customer receivables",R361="Customer receivables",Q361="Courier receivables",R361="Courier receivables",Q361="Supplier advances",R361="Supplier advances"),H361=""),"Contact ID required",IF(AND(N361="Approved",OR(M361="",M361=L361)),"Independent review needed",IF(OR(N361="Draft",N361="Approved",N361="Void"),"OK","Status required")))))))</x:f>
      </x:c>
    </x:row>
    <x:row r="362" ht="23" customHeight="1">
      <x:c r="A362" s="36"/>
      <x:c r="B362" s="40"/>
      <x:c r="C362" s="36"/>
      <x:c r="D362" s="41"/>
      <x:c r="E362" s="36"/>
      <x:c r="F362" s="36"/>
      <x:c r="G362" s="36"/>
      <x:c r="H362" s="36"/>
      <x:c r="I362" s="36"/>
      <x:c r="J362" s="36"/>
      <x:c r="K362" s="36"/>
      <x:c r="L362" s="36"/>
      <x:c r="M362" s="36"/>
      <x:c r="N362" s="36"/>
      <x:c r="O362" s="42" t="str">
        <x:f>IF(A362="","",IF(COUNTIFS('Event Guide'!$A$6:$A$29,C362)=1,VLOOKUP(C362,'Event Guide'!$A$6:$C$29,2,FALSE),"Unknown event"))</x:f>
      </x:c>
      <x:c r="P362" s="42" t="str">
        <x:f>IF(A362="","",IF(COUNTIFS('Event Guide'!$A$6:$A$29,C362)=1,VLOOKUP(C362,'Event Guide'!$A$6:$C$29,3,FALSE),"Unknown event"))</x:f>
      </x:c>
      <x:c r="Q362" s="42" t="str">
        <x:f>IF(A362="","",IF(O362="PAY",E362,IF(O362="OTHER",F362,IF(O362="CAPITAL","Capital - "&amp;G362,IF(O362="DUE","Due to - "&amp;G362,IF(O362="DRAW","Drawings - "&amp;G362,O362))))))</x:f>
      </x:c>
      <x:c r="R362" s="42" t="str">
        <x:f>IF(A362="","",IF(P362="PAY",E362,IF(P362="OTHER",F362,IF(P362="CAPITAL","Capital - "&amp;G362,IF(P362="DUE","Due to - "&amp;G362,IF(P362="DRAW","Drawings - "&amp;G362,P362))))))</x:f>
      </x:c>
      <x:c r="S362" s="37" t="n">
        <x:f>IF(AND(N362="Approved",T362="OK"),D362,0)</x:f>
        <x:v>0</x:v>
      </x:c>
      <x:c r="T362" s="42" t="str">
        <x:f>IF(A362="","",IF(COUNTIFS($A$6:$A$505,A362)&lt;&gt;1,"Duplicate ID",IF(OR(NOT(ISNUMBER(B362)),D362&lt;=0,NOT(ISNUMBER(D362)),I362="",J362="",L362=""),"Missing date/amount/ref/details",IF(OR(COUNTIFS('Accounts'!$A$6:$A$105,Q362)&lt;&gt;1,COUNTIFS('Accounts'!$A$6:$A$105,R362)&lt;&gt;1,Q362=R362),"Check accounts/event",IF(AND(OR(Q362="Trade payables",R362="Trade payables",Q362="Customer receivables",R362="Customer receivables",Q362="Courier receivables",R362="Courier receivables",Q362="Supplier advances",R362="Supplier advances"),H362=""),"Contact ID required",IF(AND(N362="Approved",OR(M362="",M362=L362)),"Independent review needed",IF(OR(N362="Draft",N362="Approved",N362="Void"),"OK","Status required")))))))</x:f>
      </x:c>
    </x:row>
    <x:row r="363" ht="23" customHeight="1">
      <x:c r="A363" s="36"/>
      <x:c r="B363" s="40"/>
      <x:c r="C363" s="36"/>
      <x:c r="D363" s="41"/>
      <x:c r="E363" s="36"/>
      <x:c r="F363" s="36"/>
      <x:c r="G363" s="36"/>
      <x:c r="H363" s="36"/>
      <x:c r="I363" s="36"/>
      <x:c r="J363" s="36"/>
      <x:c r="K363" s="36"/>
      <x:c r="L363" s="36"/>
      <x:c r="M363" s="36"/>
      <x:c r="N363" s="36"/>
      <x:c r="O363" s="42" t="str">
        <x:f>IF(A363="","",IF(COUNTIFS('Event Guide'!$A$6:$A$29,C363)=1,VLOOKUP(C363,'Event Guide'!$A$6:$C$29,2,FALSE),"Unknown event"))</x:f>
      </x:c>
      <x:c r="P363" s="42" t="str">
        <x:f>IF(A363="","",IF(COUNTIFS('Event Guide'!$A$6:$A$29,C363)=1,VLOOKUP(C363,'Event Guide'!$A$6:$C$29,3,FALSE),"Unknown event"))</x:f>
      </x:c>
      <x:c r="Q363" s="42" t="str">
        <x:f>IF(A363="","",IF(O363="PAY",E363,IF(O363="OTHER",F363,IF(O363="CAPITAL","Capital - "&amp;G363,IF(O363="DUE","Due to - "&amp;G363,IF(O363="DRAW","Drawings - "&amp;G363,O363))))))</x:f>
      </x:c>
      <x:c r="R363" s="42" t="str">
        <x:f>IF(A363="","",IF(P363="PAY",E363,IF(P363="OTHER",F363,IF(P363="CAPITAL","Capital - "&amp;G363,IF(P363="DUE","Due to - "&amp;G363,IF(P363="DRAW","Drawings - "&amp;G363,P363))))))</x:f>
      </x:c>
      <x:c r="S363" s="37" t="n">
        <x:f>IF(AND(N363="Approved",T363="OK"),D363,0)</x:f>
        <x:v>0</x:v>
      </x:c>
      <x:c r="T363" s="42" t="str">
        <x:f>IF(A363="","",IF(COUNTIFS($A$6:$A$505,A363)&lt;&gt;1,"Duplicate ID",IF(OR(NOT(ISNUMBER(B363)),D363&lt;=0,NOT(ISNUMBER(D363)),I363="",J363="",L363=""),"Missing date/amount/ref/details",IF(OR(COUNTIFS('Accounts'!$A$6:$A$105,Q363)&lt;&gt;1,COUNTIFS('Accounts'!$A$6:$A$105,R363)&lt;&gt;1,Q363=R363),"Check accounts/event",IF(AND(OR(Q363="Trade payables",R363="Trade payables",Q363="Customer receivables",R363="Customer receivables",Q363="Courier receivables",R363="Courier receivables",Q363="Supplier advances",R363="Supplier advances"),H363=""),"Contact ID required",IF(AND(N363="Approved",OR(M363="",M363=L363)),"Independent review needed",IF(OR(N363="Draft",N363="Approved",N363="Void"),"OK","Status required")))))))</x:f>
      </x:c>
    </x:row>
    <x:row r="364" ht="23" customHeight="1">
      <x:c r="A364" s="36"/>
      <x:c r="B364" s="40"/>
      <x:c r="C364" s="36"/>
      <x:c r="D364" s="41"/>
      <x:c r="E364" s="36"/>
      <x:c r="F364" s="36"/>
      <x:c r="G364" s="36"/>
      <x:c r="H364" s="36"/>
      <x:c r="I364" s="36"/>
      <x:c r="J364" s="36"/>
      <x:c r="K364" s="36"/>
      <x:c r="L364" s="36"/>
      <x:c r="M364" s="36"/>
      <x:c r="N364" s="36"/>
      <x:c r="O364" s="42" t="str">
        <x:f>IF(A364="","",IF(COUNTIFS('Event Guide'!$A$6:$A$29,C364)=1,VLOOKUP(C364,'Event Guide'!$A$6:$C$29,2,FALSE),"Unknown event"))</x:f>
      </x:c>
      <x:c r="P364" s="42" t="str">
        <x:f>IF(A364="","",IF(COUNTIFS('Event Guide'!$A$6:$A$29,C364)=1,VLOOKUP(C364,'Event Guide'!$A$6:$C$29,3,FALSE),"Unknown event"))</x:f>
      </x:c>
      <x:c r="Q364" s="42" t="str">
        <x:f>IF(A364="","",IF(O364="PAY",E364,IF(O364="OTHER",F364,IF(O364="CAPITAL","Capital - "&amp;G364,IF(O364="DUE","Due to - "&amp;G364,IF(O364="DRAW","Drawings - "&amp;G364,O364))))))</x:f>
      </x:c>
      <x:c r="R364" s="42" t="str">
        <x:f>IF(A364="","",IF(P364="PAY",E364,IF(P364="OTHER",F364,IF(P364="CAPITAL","Capital - "&amp;G364,IF(P364="DUE","Due to - "&amp;G364,IF(P364="DRAW","Drawings - "&amp;G364,P364))))))</x:f>
      </x:c>
      <x:c r="S364" s="37" t="n">
        <x:f>IF(AND(N364="Approved",T364="OK"),D364,0)</x:f>
        <x:v>0</x:v>
      </x:c>
      <x:c r="T364" s="42" t="str">
        <x:f>IF(A364="","",IF(COUNTIFS($A$6:$A$505,A364)&lt;&gt;1,"Duplicate ID",IF(OR(NOT(ISNUMBER(B364)),D364&lt;=0,NOT(ISNUMBER(D364)),I364="",J364="",L364=""),"Missing date/amount/ref/details",IF(OR(COUNTIFS('Accounts'!$A$6:$A$105,Q364)&lt;&gt;1,COUNTIFS('Accounts'!$A$6:$A$105,R364)&lt;&gt;1,Q364=R364),"Check accounts/event",IF(AND(OR(Q364="Trade payables",R364="Trade payables",Q364="Customer receivables",R364="Customer receivables",Q364="Courier receivables",R364="Courier receivables",Q364="Supplier advances",R364="Supplier advances"),H364=""),"Contact ID required",IF(AND(N364="Approved",OR(M364="",M364=L364)),"Independent review needed",IF(OR(N364="Draft",N364="Approved",N364="Void"),"OK","Status required")))))))</x:f>
      </x:c>
    </x:row>
    <x:row r="365" ht="23" customHeight="1">
      <x:c r="A365" s="36"/>
      <x:c r="B365" s="40"/>
      <x:c r="C365" s="36"/>
      <x:c r="D365" s="41"/>
      <x:c r="E365" s="36"/>
      <x:c r="F365" s="36"/>
      <x:c r="G365" s="36"/>
      <x:c r="H365" s="36"/>
      <x:c r="I365" s="36"/>
      <x:c r="J365" s="36"/>
      <x:c r="K365" s="36"/>
      <x:c r="L365" s="36"/>
      <x:c r="M365" s="36"/>
      <x:c r="N365" s="36"/>
      <x:c r="O365" s="42" t="str">
        <x:f>IF(A365="","",IF(COUNTIFS('Event Guide'!$A$6:$A$29,C365)=1,VLOOKUP(C365,'Event Guide'!$A$6:$C$29,2,FALSE),"Unknown event"))</x:f>
      </x:c>
      <x:c r="P365" s="42" t="str">
        <x:f>IF(A365="","",IF(COUNTIFS('Event Guide'!$A$6:$A$29,C365)=1,VLOOKUP(C365,'Event Guide'!$A$6:$C$29,3,FALSE),"Unknown event"))</x:f>
      </x:c>
      <x:c r="Q365" s="42" t="str">
        <x:f>IF(A365="","",IF(O365="PAY",E365,IF(O365="OTHER",F365,IF(O365="CAPITAL","Capital - "&amp;G365,IF(O365="DUE","Due to - "&amp;G365,IF(O365="DRAW","Drawings - "&amp;G365,O365))))))</x:f>
      </x:c>
      <x:c r="R365" s="42" t="str">
        <x:f>IF(A365="","",IF(P365="PAY",E365,IF(P365="OTHER",F365,IF(P365="CAPITAL","Capital - "&amp;G365,IF(P365="DUE","Due to - "&amp;G365,IF(P365="DRAW","Drawings - "&amp;G365,P365))))))</x:f>
      </x:c>
      <x:c r="S365" s="37" t="n">
        <x:f>IF(AND(N365="Approved",T365="OK"),D365,0)</x:f>
        <x:v>0</x:v>
      </x:c>
      <x:c r="T365" s="42" t="str">
        <x:f>IF(A365="","",IF(COUNTIFS($A$6:$A$505,A365)&lt;&gt;1,"Duplicate ID",IF(OR(NOT(ISNUMBER(B365)),D365&lt;=0,NOT(ISNUMBER(D365)),I365="",J365="",L365=""),"Missing date/amount/ref/details",IF(OR(COUNTIFS('Accounts'!$A$6:$A$105,Q365)&lt;&gt;1,COUNTIFS('Accounts'!$A$6:$A$105,R365)&lt;&gt;1,Q365=R365),"Check accounts/event",IF(AND(OR(Q365="Trade payables",R365="Trade payables",Q365="Customer receivables",R365="Customer receivables",Q365="Courier receivables",R365="Courier receivables",Q365="Supplier advances",R365="Supplier advances"),H365=""),"Contact ID required",IF(AND(N365="Approved",OR(M365="",M365=L365)),"Independent review needed",IF(OR(N365="Draft",N365="Approved",N365="Void"),"OK","Status required")))))))</x:f>
      </x:c>
    </x:row>
    <x:row r="366" ht="23" customHeight="1">
      <x:c r="A366" s="36"/>
      <x:c r="B366" s="40"/>
      <x:c r="C366" s="36"/>
      <x:c r="D366" s="41"/>
      <x:c r="E366" s="36"/>
      <x:c r="F366" s="36"/>
      <x:c r="G366" s="36"/>
      <x:c r="H366" s="36"/>
      <x:c r="I366" s="36"/>
      <x:c r="J366" s="36"/>
      <x:c r="K366" s="36"/>
      <x:c r="L366" s="36"/>
      <x:c r="M366" s="36"/>
      <x:c r="N366" s="36"/>
      <x:c r="O366" s="42" t="str">
        <x:f>IF(A366="","",IF(COUNTIFS('Event Guide'!$A$6:$A$29,C366)=1,VLOOKUP(C366,'Event Guide'!$A$6:$C$29,2,FALSE),"Unknown event"))</x:f>
      </x:c>
      <x:c r="P366" s="42" t="str">
        <x:f>IF(A366="","",IF(COUNTIFS('Event Guide'!$A$6:$A$29,C366)=1,VLOOKUP(C366,'Event Guide'!$A$6:$C$29,3,FALSE),"Unknown event"))</x:f>
      </x:c>
      <x:c r="Q366" s="42" t="str">
        <x:f>IF(A366="","",IF(O366="PAY",E366,IF(O366="OTHER",F366,IF(O366="CAPITAL","Capital - "&amp;G366,IF(O366="DUE","Due to - "&amp;G366,IF(O366="DRAW","Drawings - "&amp;G366,O366))))))</x:f>
      </x:c>
      <x:c r="R366" s="42" t="str">
        <x:f>IF(A366="","",IF(P366="PAY",E366,IF(P366="OTHER",F366,IF(P366="CAPITAL","Capital - "&amp;G366,IF(P366="DUE","Due to - "&amp;G366,IF(P366="DRAW","Drawings - "&amp;G366,P366))))))</x:f>
      </x:c>
      <x:c r="S366" s="37" t="n">
        <x:f>IF(AND(N366="Approved",T366="OK"),D366,0)</x:f>
        <x:v>0</x:v>
      </x:c>
      <x:c r="T366" s="42" t="str">
        <x:f>IF(A366="","",IF(COUNTIFS($A$6:$A$505,A366)&lt;&gt;1,"Duplicate ID",IF(OR(NOT(ISNUMBER(B366)),D366&lt;=0,NOT(ISNUMBER(D366)),I366="",J366="",L366=""),"Missing date/amount/ref/details",IF(OR(COUNTIFS('Accounts'!$A$6:$A$105,Q366)&lt;&gt;1,COUNTIFS('Accounts'!$A$6:$A$105,R366)&lt;&gt;1,Q366=R366),"Check accounts/event",IF(AND(OR(Q366="Trade payables",R366="Trade payables",Q366="Customer receivables",R366="Customer receivables",Q366="Courier receivables",R366="Courier receivables",Q366="Supplier advances",R366="Supplier advances"),H366=""),"Contact ID required",IF(AND(N366="Approved",OR(M366="",M366=L366)),"Independent review needed",IF(OR(N366="Draft",N366="Approved",N366="Void"),"OK","Status required")))))))</x:f>
      </x:c>
    </x:row>
    <x:row r="367" ht="23" customHeight="1">
      <x:c r="A367" s="36"/>
      <x:c r="B367" s="40"/>
      <x:c r="C367" s="36"/>
      <x:c r="D367" s="41"/>
      <x:c r="E367" s="36"/>
      <x:c r="F367" s="36"/>
      <x:c r="G367" s="36"/>
      <x:c r="H367" s="36"/>
      <x:c r="I367" s="36"/>
      <x:c r="J367" s="36"/>
      <x:c r="K367" s="36"/>
      <x:c r="L367" s="36"/>
      <x:c r="M367" s="36"/>
      <x:c r="N367" s="36"/>
      <x:c r="O367" s="42" t="str">
        <x:f>IF(A367="","",IF(COUNTIFS('Event Guide'!$A$6:$A$29,C367)=1,VLOOKUP(C367,'Event Guide'!$A$6:$C$29,2,FALSE),"Unknown event"))</x:f>
      </x:c>
      <x:c r="P367" s="42" t="str">
        <x:f>IF(A367="","",IF(COUNTIFS('Event Guide'!$A$6:$A$29,C367)=1,VLOOKUP(C367,'Event Guide'!$A$6:$C$29,3,FALSE),"Unknown event"))</x:f>
      </x:c>
      <x:c r="Q367" s="42" t="str">
        <x:f>IF(A367="","",IF(O367="PAY",E367,IF(O367="OTHER",F367,IF(O367="CAPITAL","Capital - "&amp;G367,IF(O367="DUE","Due to - "&amp;G367,IF(O367="DRAW","Drawings - "&amp;G367,O367))))))</x:f>
      </x:c>
      <x:c r="R367" s="42" t="str">
        <x:f>IF(A367="","",IF(P367="PAY",E367,IF(P367="OTHER",F367,IF(P367="CAPITAL","Capital - "&amp;G367,IF(P367="DUE","Due to - "&amp;G367,IF(P367="DRAW","Drawings - "&amp;G367,P367))))))</x:f>
      </x:c>
      <x:c r="S367" s="37" t="n">
        <x:f>IF(AND(N367="Approved",T367="OK"),D367,0)</x:f>
        <x:v>0</x:v>
      </x:c>
      <x:c r="T367" s="42" t="str">
        <x:f>IF(A367="","",IF(COUNTIFS($A$6:$A$505,A367)&lt;&gt;1,"Duplicate ID",IF(OR(NOT(ISNUMBER(B367)),D367&lt;=0,NOT(ISNUMBER(D367)),I367="",J367="",L367=""),"Missing date/amount/ref/details",IF(OR(COUNTIFS('Accounts'!$A$6:$A$105,Q367)&lt;&gt;1,COUNTIFS('Accounts'!$A$6:$A$105,R367)&lt;&gt;1,Q367=R367),"Check accounts/event",IF(AND(OR(Q367="Trade payables",R367="Trade payables",Q367="Customer receivables",R367="Customer receivables",Q367="Courier receivables",R367="Courier receivables",Q367="Supplier advances",R367="Supplier advances"),H367=""),"Contact ID required",IF(AND(N367="Approved",OR(M367="",M367=L367)),"Independent review needed",IF(OR(N367="Draft",N367="Approved",N367="Void"),"OK","Status required")))))))</x:f>
      </x:c>
    </x:row>
    <x:row r="368" ht="23" customHeight="1">
      <x:c r="A368" s="36"/>
      <x:c r="B368" s="40"/>
      <x:c r="C368" s="36"/>
      <x:c r="D368" s="41"/>
      <x:c r="E368" s="36"/>
      <x:c r="F368" s="36"/>
      <x:c r="G368" s="36"/>
      <x:c r="H368" s="36"/>
      <x:c r="I368" s="36"/>
      <x:c r="J368" s="36"/>
      <x:c r="K368" s="36"/>
      <x:c r="L368" s="36"/>
      <x:c r="M368" s="36"/>
      <x:c r="N368" s="36"/>
      <x:c r="O368" s="42" t="str">
        <x:f>IF(A368="","",IF(COUNTIFS('Event Guide'!$A$6:$A$29,C368)=1,VLOOKUP(C368,'Event Guide'!$A$6:$C$29,2,FALSE),"Unknown event"))</x:f>
      </x:c>
      <x:c r="P368" s="42" t="str">
        <x:f>IF(A368="","",IF(COUNTIFS('Event Guide'!$A$6:$A$29,C368)=1,VLOOKUP(C368,'Event Guide'!$A$6:$C$29,3,FALSE),"Unknown event"))</x:f>
      </x:c>
      <x:c r="Q368" s="42" t="str">
        <x:f>IF(A368="","",IF(O368="PAY",E368,IF(O368="OTHER",F368,IF(O368="CAPITAL","Capital - "&amp;G368,IF(O368="DUE","Due to - "&amp;G368,IF(O368="DRAW","Drawings - "&amp;G368,O368))))))</x:f>
      </x:c>
      <x:c r="R368" s="42" t="str">
        <x:f>IF(A368="","",IF(P368="PAY",E368,IF(P368="OTHER",F368,IF(P368="CAPITAL","Capital - "&amp;G368,IF(P368="DUE","Due to - "&amp;G368,IF(P368="DRAW","Drawings - "&amp;G368,P368))))))</x:f>
      </x:c>
      <x:c r="S368" s="37" t="n">
        <x:f>IF(AND(N368="Approved",T368="OK"),D368,0)</x:f>
        <x:v>0</x:v>
      </x:c>
      <x:c r="T368" s="42" t="str">
        <x:f>IF(A368="","",IF(COUNTIFS($A$6:$A$505,A368)&lt;&gt;1,"Duplicate ID",IF(OR(NOT(ISNUMBER(B368)),D368&lt;=0,NOT(ISNUMBER(D368)),I368="",J368="",L368=""),"Missing date/amount/ref/details",IF(OR(COUNTIFS('Accounts'!$A$6:$A$105,Q368)&lt;&gt;1,COUNTIFS('Accounts'!$A$6:$A$105,R368)&lt;&gt;1,Q368=R368),"Check accounts/event",IF(AND(OR(Q368="Trade payables",R368="Trade payables",Q368="Customer receivables",R368="Customer receivables",Q368="Courier receivables",R368="Courier receivables",Q368="Supplier advances",R368="Supplier advances"),H368=""),"Contact ID required",IF(AND(N368="Approved",OR(M368="",M368=L368)),"Independent review needed",IF(OR(N368="Draft",N368="Approved",N368="Void"),"OK","Status required")))))))</x:f>
      </x:c>
    </x:row>
    <x:row r="369" ht="23" customHeight="1">
      <x:c r="A369" s="36"/>
      <x:c r="B369" s="40"/>
      <x:c r="C369" s="36"/>
      <x:c r="D369" s="41"/>
      <x:c r="E369" s="36"/>
      <x:c r="F369" s="36"/>
      <x:c r="G369" s="36"/>
      <x:c r="H369" s="36"/>
      <x:c r="I369" s="36"/>
      <x:c r="J369" s="36"/>
      <x:c r="K369" s="36"/>
      <x:c r="L369" s="36"/>
      <x:c r="M369" s="36"/>
      <x:c r="N369" s="36"/>
      <x:c r="O369" s="42" t="str">
        <x:f>IF(A369="","",IF(COUNTIFS('Event Guide'!$A$6:$A$29,C369)=1,VLOOKUP(C369,'Event Guide'!$A$6:$C$29,2,FALSE),"Unknown event"))</x:f>
      </x:c>
      <x:c r="P369" s="42" t="str">
        <x:f>IF(A369="","",IF(COUNTIFS('Event Guide'!$A$6:$A$29,C369)=1,VLOOKUP(C369,'Event Guide'!$A$6:$C$29,3,FALSE),"Unknown event"))</x:f>
      </x:c>
      <x:c r="Q369" s="42" t="str">
        <x:f>IF(A369="","",IF(O369="PAY",E369,IF(O369="OTHER",F369,IF(O369="CAPITAL","Capital - "&amp;G369,IF(O369="DUE","Due to - "&amp;G369,IF(O369="DRAW","Drawings - "&amp;G369,O369))))))</x:f>
      </x:c>
      <x:c r="R369" s="42" t="str">
        <x:f>IF(A369="","",IF(P369="PAY",E369,IF(P369="OTHER",F369,IF(P369="CAPITAL","Capital - "&amp;G369,IF(P369="DUE","Due to - "&amp;G369,IF(P369="DRAW","Drawings - "&amp;G369,P369))))))</x:f>
      </x:c>
      <x:c r="S369" s="37" t="n">
        <x:f>IF(AND(N369="Approved",T369="OK"),D369,0)</x:f>
        <x:v>0</x:v>
      </x:c>
      <x:c r="T369" s="42" t="str">
        <x:f>IF(A369="","",IF(COUNTIFS($A$6:$A$505,A369)&lt;&gt;1,"Duplicate ID",IF(OR(NOT(ISNUMBER(B369)),D369&lt;=0,NOT(ISNUMBER(D369)),I369="",J369="",L369=""),"Missing date/amount/ref/details",IF(OR(COUNTIFS('Accounts'!$A$6:$A$105,Q369)&lt;&gt;1,COUNTIFS('Accounts'!$A$6:$A$105,R369)&lt;&gt;1,Q369=R369),"Check accounts/event",IF(AND(OR(Q369="Trade payables",R369="Trade payables",Q369="Customer receivables",R369="Customer receivables",Q369="Courier receivables",R369="Courier receivables",Q369="Supplier advances",R369="Supplier advances"),H369=""),"Contact ID required",IF(AND(N369="Approved",OR(M369="",M369=L369)),"Independent review needed",IF(OR(N369="Draft",N369="Approved",N369="Void"),"OK","Status required")))))))</x:f>
      </x:c>
    </x:row>
    <x:row r="370" ht="23" customHeight="1">
      <x:c r="A370" s="36"/>
      <x:c r="B370" s="40"/>
      <x:c r="C370" s="36"/>
      <x:c r="D370" s="41"/>
      <x:c r="E370" s="36"/>
      <x:c r="F370" s="36"/>
      <x:c r="G370" s="36"/>
      <x:c r="H370" s="36"/>
      <x:c r="I370" s="36"/>
      <x:c r="J370" s="36"/>
      <x:c r="K370" s="36"/>
      <x:c r="L370" s="36"/>
      <x:c r="M370" s="36"/>
      <x:c r="N370" s="36"/>
      <x:c r="O370" s="42" t="str">
        <x:f>IF(A370="","",IF(COUNTIFS('Event Guide'!$A$6:$A$29,C370)=1,VLOOKUP(C370,'Event Guide'!$A$6:$C$29,2,FALSE),"Unknown event"))</x:f>
      </x:c>
      <x:c r="P370" s="42" t="str">
        <x:f>IF(A370="","",IF(COUNTIFS('Event Guide'!$A$6:$A$29,C370)=1,VLOOKUP(C370,'Event Guide'!$A$6:$C$29,3,FALSE),"Unknown event"))</x:f>
      </x:c>
      <x:c r="Q370" s="42" t="str">
        <x:f>IF(A370="","",IF(O370="PAY",E370,IF(O370="OTHER",F370,IF(O370="CAPITAL","Capital - "&amp;G370,IF(O370="DUE","Due to - "&amp;G370,IF(O370="DRAW","Drawings - "&amp;G370,O370))))))</x:f>
      </x:c>
      <x:c r="R370" s="42" t="str">
        <x:f>IF(A370="","",IF(P370="PAY",E370,IF(P370="OTHER",F370,IF(P370="CAPITAL","Capital - "&amp;G370,IF(P370="DUE","Due to - "&amp;G370,IF(P370="DRAW","Drawings - "&amp;G370,P370))))))</x:f>
      </x:c>
      <x:c r="S370" s="37" t="n">
        <x:f>IF(AND(N370="Approved",T370="OK"),D370,0)</x:f>
        <x:v>0</x:v>
      </x:c>
      <x:c r="T370" s="42" t="str">
        <x:f>IF(A370="","",IF(COUNTIFS($A$6:$A$505,A370)&lt;&gt;1,"Duplicate ID",IF(OR(NOT(ISNUMBER(B370)),D370&lt;=0,NOT(ISNUMBER(D370)),I370="",J370="",L370=""),"Missing date/amount/ref/details",IF(OR(COUNTIFS('Accounts'!$A$6:$A$105,Q370)&lt;&gt;1,COUNTIFS('Accounts'!$A$6:$A$105,R370)&lt;&gt;1,Q370=R370),"Check accounts/event",IF(AND(OR(Q370="Trade payables",R370="Trade payables",Q370="Customer receivables",R370="Customer receivables",Q370="Courier receivables",R370="Courier receivables",Q370="Supplier advances",R370="Supplier advances"),H370=""),"Contact ID required",IF(AND(N370="Approved",OR(M370="",M370=L370)),"Independent review needed",IF(OR(N370="Draft",N370="Approved",N370="Void"),"OK","Status required")))))))</x:f>
      </x:c>
    </x:row>
    <x:row r="371" ht="23" customHeight="1">
      <x:c r="A371" s="36"/>
      <x:c r="B371" s="40"/>
      <x:c r="C371" s="36"/>
      <x:c r="D371" s="41"/>
      <x:c r="E371" s="36"/>
      <x:c r="F371" s="36"/>
      <x:c r="G371" s="36"/>
      <x:c r="H371" s="36"/>
      <x:c r="I371" s="36"/>
      <x:c r="J371" s="36"/>
      <x:c r="K371" s="36"/>
      <x:c r="L371" s="36"/>
      <x:c r="M371" s="36"/>
      <x:c r="N371" s="36"/>
      <x:c r="O371" s="42" t="str">
        <x:f>IF(A371="","",IF(COUNTIFS('Event Guide'!$A$6:$A$29,C371)=1,VLOOKUP(C371,'Event Guide'!$A$6:$C$29,2,FALSE),"Unknown event"))</x:f>
      </x:c>
      <x:c r="P371" s="42" t="str">
        <x:f>IF(A371="","",IF(COUNTIFS('Event Guide'!$A$6:$A$29,C371)=1,VLOOKUP(C371,'Event Guide'!$A$6:$C$29,3,FALSE),"Unknown event"))</x:f>
      </x:c>
      <x:c r="Q371" s="42" t="str">
        <x:f>IF(A371="","",IF(O371="PAY",E371,IF(O371="OTHER",F371,IF(O371="CAPITAL","Capital - "&amp;G371,IF(O371="DUE","Due to - "&amp;G371,IF(O371="DRAW","Drawings - "&amp;G371,O371))))))</x:f>
      </x:c>
      <x:c r="R371" s="42" t="str">
        <x:f>IF(A371="","",IF(P371="PAY",E371,IF(P371="OTHER",F371,IF(P371="CAPITAL","Capital - "&amp;G371,IF(P371="DUE","Due to - "&amp;G371,IF(P371="DRAW","Drawings - "&amp;G371,P371))))))</x:f>
      </x:c>
      <x:c r="S371" s="37" t="n">
        <x:f>IF(AND(N371="Approved",T371="OK"),D371,0)</x:f>
        <x:v>0</x:v>
      </x:c>
      <x:c r="T371" s="42" t="str">
        <x:f>IF(A371="","",IF(COUNTIFS($A$6:$A$505,A371)&lt;&gt;1,"Duplicate ID",IF(OR(NOT(ISNUMBER(B371)),D371&lt;=0,NOT(ISNUMBER(D371)),I371="",J371="",L371=""),"Missing date/amount/ref/details",IF(OR(COUNTIFS('Accounts'!$A$6:$A$105,Q371)&lt;&gt;1,COUNTIFS('Accounts'!$A$6:$A$105,R371)&lt;&gt;1,Q371=R371),"Check accounts/event",IF(AND(OR(Q371="Trade payables",R371="Trade payables",Q371="Customer receivables",R371="Customer receivables",Q371="Courier receivables",R371="Courier receivables",Q371="Supplier advances",R371="Supplier advances"),H371=""),"Contact ID required",IF(AND(N371="Approved",OR(M371="",M371=L371)),"Independent review needed",IF(OR(N371="Draft",N371="Approved",N371="Void"),"OK","Status required")))))))</x:f>
      </x:c>
    </x:row>
    <x:row r="372" ht="23" customHeight="1">
      <x:c r="A372" s="36"/>
      <x:c r="B372" s="40"/>
      <x:c r="C372" s="36"/>
      <x:c r="D372" s="41"/>
      <x:c r="E372" s="36"/>
      <x:c r="F372" s="36"/>
      <x:c r="G372" s="36"/>
      <x:c r="H372" s="36"/>
      <x:c r="I372" s="36"/>
      <x:c r="J372" s="36"/>
      <x:c r="K372" s="36"/>
      <x:c r="L372" s="36"/>
      <x:c r="M372" s="36"/>
      <x:c r="N372" s="36"/>
      <x:c r="O372" s="42" t="str">
        <x:f>IF(A372="","",IF(COUNTIFS('Event Guide'!$A$6:$A$29,C372)=1,VLOOKUP(C372,'Event Guide'!$A$6:$C$29,2,FALSE),"Unknown event"))</x:f>
      </x:c>
      <x:c r="P372" s="42" t="str">
        <x:f>IF(A372="","",IF(COUNTIFS('Event Guide'!$A$6:$A$29,C372)=1,VLOOKUP(C372,'Event Guide'!$A$6:$C$29,3,FALSE),"Unknown event"))</x:f>
      </x:c>
      <x:c r="Q372" s="42" t="str">
        <x:f>IF(A372="","",IF(O372="PAY",E372,IF(O372="OTHER",F372,IF(O372="CAPITAL","Capital - "&amp;G372,IF(O372="DUE","Due to - "&amp;G372,IF(O372="DRAW","Drawings - "&amp;G372,O372))))))</x:f>
      </x:c>
      <x:c r="R372" s="42" t="str">
        <x:f>IF(A372="","",IF(P372="PAY",E372,IF(P372="OTHER",F372,IF(P372="CAPITAL","Capital - "&amp;G372,IF(P372="DUE","Due to - "&amp;G372,IF(P372="DRAW","Drawings - "&amp;G372,P372))))))</x:f>
      </x:c>
      <x:c r="S372" s="37" t="n">
        <x:f>IF(AND(N372="Approved",T372="OK"),D372,0)</x:f>
        <x:v>0</x:v>
      </x:c>
      <x:c r="T372" s="42" t="str">
        <x:f>IF(A372="","",IF(COUNTIFS($A$6:$A$505,A372)&lt;&gt;1,"Duplicate ID",IF(OR(NOT(ISNUMBER(B372)),D372&lt;=0,NOT(ISNUMBER(D372)),I372="",J372="",L372=""),"Missing date/amount/ref/details",IF(OR(COUNTIFS('Accounts'!$A$6:$A$105,Q372)&lt;&gt;1,COUNTIFS('Accounts'!$A$6:$A$105,R372)&lt;&gt;1,Q372=R372),"Check accounts/event",IF(AND(OR(Q372="Trade payables",R372="Trade payables",Q372="Customer receivables",R372="Customer receivables",Q372="Courier receivables",R372="Courier receivables",Q372="Supplier advances",R372="Supplier advances"),H372=""),"Contact ID required",IF(AND(N372="Approved",OR(M372="",M372=L372)),"Independent review needed",IF(OR(N372="Draft",N372="Approved",N372="Void"),"OK","Status required")))))))</x:f>
      </x:c>
    </x:row>
    <x:row r="373" ht="23" customHeight="1">
      <x:c r="A373" s="36"/>
      <x:c r="B373" s="40"/>
      <x:c r="C373" s="36"/>
      <x:c r="D373" s="41"/>
      <x:c r="E373" s="36"/>
      <x:c r="F373" s="36"/>
      <x:c r="G373" s="36"/>
      <x:c r="H373" s="36"/>
      <x:c r="I373" s="36"/>
      <x:c r="J373" s="36"/>
      <x:c r="K373" s="36"/>
      <x:c r="L373" s="36"/>
      <x:c r="M373" s="36"/>
      <x:c r="N373" s="36"/>
      <x:c r="O373" s="42" t="str">
        <x:f>IF(A373="","",IF(COUNTIFS('Event Guide'!$A$6:$A$29,C373)=1,VLOOKUP(C373,'Event Guide'!$A$6:$C$29,2,FALSE),"Unknown event"))</x:f>
      </x:c>
      <x:c r="P373" s="42" t="str">
        <x:f>IF(A373="","",IF(COUNTIFS('Event Guide'!$A$6:$A$29,C373)=1,VLOOKUP(C373,'Event Guide'!$A$6:$C$29,3,FALSE),"Unknown event"))</x:f>
      </x:c>
      <x:c r="Q373" s="42" t="str">
        <x:f>IF(A373="","",IF(O373="PAY",E373,IF(O373="OTHER",F373,IF(O373="CAPITAL","Capital - "&amp;G373,IF(O373="DUE","Due to - "&amp;G373,IF(O373="DRAW","Drawings - "&amp;G373,O373))))))</x:f>
      </x:c>
      <x:c r="R373" s="42" t="str">
        <x:f>IF(A373="","",IF(P373="PAY",E373,IF(P373="OTHER",F373,IF(P373="CAPITAL","Capital - "&amp;G373,IF(P373="DUE","Due to - "&amp;G373,IF(P373="DRAW","Drawings - "&amp;G373,P373))))))</x:f>
      </x:c>
      <x:c r="S373" s="37" t="n">
        <x:f>IF(AND(N373="Approved",T373="OK"),D373,0)</x:f>
        <x:v>0</x:v>
      </x:c>
      <x:c r="T373" s="42" t="str">
        <x:f>IF(A373="","",IF(COUNTIFS($A$6:$A$505,A373)&lt;&gt;1,"Duplicate ID",IF(OR(NOT(ISNUMBER(B373)),D373&lt;=0,NOT(ISNUMBER(D373)),I373="",J373="",L373=""),"Missing date/amount/ref/details",IF(OR(COUNTIFS('Accounts'!$A$6:$A$105,Q373)&lt;&gt;1,COUNTIFS('Accounts'!$A$6:$A$105,R373)&lt;&gt;1,Q373=R373),"Check accounts/event",IF(AND(OR(Q373="Trade payables",R373="Trade payables",Q373="Customer receivables",R373="Customer receivables",Q373="Courier receivables",R373="Courier receivables",Q373="Supplier advances",R373="Supplier advances"),H373=""),"Contact ID required",IF(AND(N373="Approved",OR(M373="",M373=L373)),"Independent review needed",IF(OR(N373="Draft",N373="Approved",N373="Void"),"OK","Status required")))))))</x:f>
      </x:c>
    </x:row>
    <x:row r="374" ht="23" customHeight="1">
      <x:c r="A374" s="36"/>
      <x:c r="B374" s="40"/>
      <x:c r="C374" s="36"/>
      <x:c r="D374" s="41"/>
      <x:c r="E374" s="36"/>
      <x:c r="F374" s="36"/>
      <x:c r="G374" s="36"/>
      <x:c r="H374" s="36"/>
      <x:c r="I374" s="36"/>
      <x:c r="J374" s="36"/>
      <x:c r="K374" s="36"/>
      <x:c r="L374" s="36"/>
      <x:c r="M374" s="36"/>
      <x:c r="N374" s="36"/>
      <x:c r="O374" s="42" t="str">
        <x:f>IF(A374="","",IF(COUNTIFS('Event Guide'!$A$6:$A$29,C374)=1,VLOOKUP(C374,'Event Guide'!$A$6:$C$29,2,FALSE),"Unknown event"))</x:f>
      </x:c>
      <x:c r="P374" s="42" t="str">
        <x:f>IF(A374="","",IF(COUNTIFS('Event Guide'!$A$6:$A$29,C374)=1,VLOOKUP(C374,'Event Guide'!$A$6:$C$29,3,FALSE),"Unknown event"))</x:f>
      </x:c>
      <x:c r="Q374" s="42" t="str">
        <x:f>IF(A374="","",IF(O374="PAY",E374,IF(O374="OTHER",F374,IF(O374="CAPITAL","Capital - "&amp;G374,IF(O374="DUE","Due to - "&amp;G374,IF(O374="DRAW","Drawings - "&amp;G374,O374))))))</x:f>
      </x:c>
      <x:c r="R374" s="42" t="str">
        <x:f>IF(A374="","",IF(P374="PAY",E374,IF(P374="OTHER",F374,IF(P374="CAPITAL","Capital - "&amp;G374,IF(P374="DUE","Due to - "&amp;G374,IF(P374="DRAW","Drawings - "&amp;G374,P374))))))</x:f>
      </x:c>
      <x:c r="S374" s="37" t="n">
        <x:f>IF(AND(N374="Approved",T374="OK"),D374,0)</x:f>
        <x:v>0</x:v>
      </x:c>
      <x:c r="T374" s="42" t="str">
        <x:f>IF(A374="","",IF(COUNTIFS($A$6:$A$505,A374)&lt;&gt;1,"Duplicate ID",IF(OR(NOT(ISNUMBER(B374)),D374&lt;=0,NOT(ISNUMBER(D374)),I374="",J374="",L374=""),"Missing date/amount/ref/details",IF(OR(COUNTIFS('Accounts'!$A$6:$A$105,Q374)&lt;&gt;1,COUNTIFS('Accounts'!$A$6:$A$105,R374)&lt;&gt;1,Q374=R374),"Check accounts/event",IF(AND(OR(Q374="Trade payables",R374="Trade payables",Q374="Customer receivables",R374="Customer receivables",Q374="Courier receivables",R374="Courier receivables",Q374="Supplier advances",R374="Supplier advances"),H374=""),"Contact ID required",IF(AND(N374="Approved",OR(M374="",M374=L374)),"Independent review needed",IF(OR(N374="Draft",N374="Approved",N374="Void"),"OK","Status required")))))))</x:f>
      </x:c>
    </x:row>
    <x:row r="375" ht="23" customHeight="1">
      <x:c r="A375" s="36"/>
      <x:c r="B375" s="40"/>
      <x:c r="C375" s="36"/>
      <x:c r="D375" s="41"/>
      <x:c r="E375" s="36"/>
      <x:c r="F375" s="36"/>
      <x:c r="G375" s="36"/>
      <x:c r="H375" s="36"/>
      <x:c r="I375" s="36"/>
      <x:c r="J375" s="36"/>
      <x:c r="K375" s="36"/>
      <x:c r="L375" s="36"/>
      <x:c r="M375" s="36"/>
      <x:c r="N375" s="36"/>
      <x:c r="O375" s="42" t="str">
        <x:f>IF(A375="","",IF(COUNTIFS('Event Guide'!$A$6:$A$29,C375)=1,VLOOKUP(C375,'Event Guide'!$A$6:$C$29,2,FALSE),"Unknown event"))</x:f>
      </x:c>
      <x:c r="P375" s="42" t="str">
        <x:f>IF(A375="","",IF(COUNTIFS('Event Guide'!$A$6:$A$29,C375)=1,VLOOKUP(C375,'Event Guide'!$A$6:$C$29,3,FALSE),"Unknown event"))</x:f>
      </x:c>
      <x:c r="Q375" s="42" t="str">
        <x:f>IF(A375="","",IF(O375="PAY",E375,IF(O375="OTHER",F375,IF(O375="CAPITAL","Capital - "&amp;G375,IF(O375="DUE","Due to - "&amp;G375,IF(O375="DRAW","Drawings - "&amp;G375,O375))))))</x:f>
      </x:c>
      <x:c r="R375" s="42" t="str">
        <x:f>IF(A375="","",IF(P375="PAY",E375,IF(P375="OTHER",F375,IF(P375="CAPITAL","Capital - "&amp;G375,IF(P375="DUE","Due to - "&amp;G375,IF(P375="DRAW","Drawings - "&amp;G375,P375))))))</x:f>
      </x:c>
      <x:c r="S375" s="37" t="n">
        <x:f>IF(AND(N375="Approved",T375="OK"),D375,0)</x:f>
        <x:v>0</x:v>
      </x:c>
      <x:c r="T375" s="42" t="str">
        <x:f>IF(A375="","",IF(COUNTIFS($A$6:$A$505,A375)&lt;&gt;1,"Duplicate ID",IF(OR(NOT(ISNUMBER(B375)),D375&lt;=0,NOT(ISNUMBER(D375)),I375="",J375="",L375=""),"Missing date/amount/ref/details",IF(OR(COUNTIFS('Accounts'!$A$6:$A$105,Q375)&lt;&gt;1,COUNTIFS('Accounts'!$A$6:$A$105,R375)&lt;&gt;1,Q375=R375),"Check accounts/event",IF(AND(OR(Q375="Trade payables",R375="Trade payables",Q375="Customer receivables",R375="Customer receivables",Q375="Courier receivables",R375="Courier receivables",Q375="Supplier advances",R375="Supplier advances"),H375=""),"Contact ID required",IF(AND(N375="Approved",OR(M375="",M375=L375)),"Independent review needed",IF(OR(N375="Draft",N375="Approved",N375="Void"),"OK","Status required")))))))</x:f>
      </x:c>
    </x:row>
    <x:row r="376" ht="23" customHeight="1">
      <x:c r="A376" s="36"/>
      <x:c r="B376" s="40"/>
      <x:c r="C376" s="36"/>
      <x:c r="D376" s="41"/>
      <x:c r="E376" s="36"/>
      <x:c r="F376" s="36"/>
      <x:c r="G376" s="36"/>
      <x:c r="H376" s="36"/>
      <x:c r="I376" s="36"/>
      <x:c r="J376" s="36"/>
      <x:c r="K376" s="36"/>
      <x:c r="L376" s="36"/>
      <x:c r="M376" s="36"/>
      <x:c r="N376" s="36"/>
      <x:c r="O376" s="42" t="str">
        <x:f>IF(A376="","",IF(COUNTIFS('Event Guide'!$A$6:$A$29,C376)=1,VLOOKUP(C376,'Event Guide'!$A$6:$C$29,2,FALSE),"Unknown event"))</x:f>
      </x:c>
      <x:c r="P376" s="42" t="str">
        <x:f>IF(A376="","",IF(COUNTIFS('Event Guide'!$A$6:$A$29,C376)=1,VLOOKUP(C376,'Event Guide'!$A$6:$C$29,3,FALSE),"Unknown event"))</x:f>
      </x:c>
      <x:c r="Q376" s="42" t="str">
        <x:f>IF(A376="","",IF(O376="PAY",E376,IF(O376="OTHER",F376,IF(O376="CAPITAL","Capital - "&amp;G376,IF(O376="DUE","Due to - "&amp;G376,IF(O376="DRAW","Drawings - "&amp;G376,O376))))))</x:f>
      </x:c>
      <x:c r="R376" s="42" t="str">
        <x:f>IF(A376="","",IF(P376="PAY",E376,IF(P376="OTHER",F376,IF(P376="CAPITAL","Capital - "&amp;G376,IF(P376="DUE","Due to - "&amp;G376,IF(P376="DRAW","Drawings - "&amp;G376,P376))))))</x:f>
      </x:c>
      <x:c r="S376" s="37" t="n">
        <x:f>IF(AND(N376="Approved",T376="OK"),D376,0)</x:f>
        <x:v>0</x:v>
      </x:c>
      <x:c r="T376" s="42" t="str">
        <x:f>IF(A376="","",IF(COUNTIFS($A$6:$A$505,A376)&lt;&gt;1,"Duplicate ID",IF(OR(NOT(ISNUMBER(B376)),D376&lt;=0,NOT(ISNUMBER(D376)),I376="",J376="",L376=""),"Missing date/amount/ref/details",IF(OR(COUNTIFS('Accounts'!$A$6:$A$105,Q376)&lt;&gt;1,COUNTIFS('Accounts'!$A$6:$A$105,R376)&lt;&gt;1,Q376=R376),"Check accounts/event",IF(AND(OR(Q376="Trade payables",R376="Trade payables",Q376="Customer receivables",R376="Customer receivables",Q376="Courier receivables",R376="Courier receivables",Q376="Supplier advances",R376="Supplier advances"),H376=""),"Contact ID required",IF(AND(N376="Approved",OR(M376="",M376=L376)),"Independent review needed",IF(OR(N376="Draft",N376="Approved",N376="Void"),"OK","Status required")))))))</x:f>
      </x:c>
    </x:row>
    <x:row r="377" ht="23" customHeight="1">
      <x:c r="A377" s="36"/>
      <x:c r="B377" s="40"/>
      <x:c r="C377" s="36"/>
      <x:c r="D377" s="41"/>
      <x:c r="E377" s="36"/>
      <x:c r="F377" s="36"/>
      <x:c r="G377" s="36"/>
      <x:c r="H377" s="36"/>
      <x:c r="I377" s="36"/>
      <x:c r="J377" s="36"/>
      <x:c r="K377" s="36"/>
      <x:c r="L377" s="36"/>
      <x:c r="M377" s="36"/>
      <x:c r="N377" s="36"/>
      <x:c r="O377" s="42" t="str">
        <x:f>IF(A377="","",IF(COUNTIFS('Event Guide'!$A$6:$A$29,C377)=1,VLOOKUP(C377,'Event Guide'!$A$6:$C$29,2,FALSE),"Unknown event"))</x:f>
      </x:c>
      <x:c r="P377" s="42" t="str">
        <x:f>IF(A377="","",IF(COUNTIFS('Event Guide'!$A$6:$A$29,C377)=1,VLOOKUP(C377,'Event Guide'!$A$6:$C$29,3,FALSE),"Unknown event"))</x:f>
      </x:c>
      <x:c r="Q377" s="42" t="str">
        <x:f>IF(A377="","",IF(O377="PAY",E377,IF(O377="OTHER",F377,IF(O377="CAPITAL","Capital - "&amp;G377,IF(O377="DUE","Due to - "&amp;G377,IF(O377="DRAW","Drawings - "&amp;G377,O377))))))</x:f>
      </x:c>
      <x:c r="R377" s="42" t="str">
        <x:f>IF(A377="","",IF(P377="PAY",E377,IF(P377="OTHER",F377,IF(P377="CAPITAL","Capital - "&amp;G377,IF(P377="DUE","Due to - "&amp;G377,IF(P377="DRAW","Drawings - "&amp;G377,P377))))))</x:f>
      </x:c>
      <x:c r="S377" s="37" t="n">
        <x:f>IF(AND(N377="Approved",T377="OK"),D377,0)</x:f>
        <x:v>0</x:v>
      </x:c>
      <x:c r="T377" s="42" t="str">
        <x:f>IF(A377="","",IF(COUNTIFS($A$6:$A$505,A377)&lt;&gt;1,"Duplicate ID",IF(OR(NOT(ISNUMBER(B377)),D377&lt;=0,NOT(ISNUMBER(D377)),I377="",J377="",L377=""),"Missing date/amount/ref/details",IF(OR(COUNTIFS('Accounts'!$A$6:$A$105,Q377)&lt;&gt;1,COUNTIFS('Accounts'!$A$6:$A$105,R377)&lt;&gt;1,Q377=R377),"Check accounts/event",IF(AND(OR(Q377="Trade payables",R377="Trade payables",Q377="Customer receivables",R377="Customer receivables",Q377="Courier receivables",R377="Courier receivables",Q377="Supplier advances",R377="Supplier advances"),H377=""),"Contact ID required",IF(AND(N377="Approved",OR(M377="",M377=L377)),"Independent review needed",IF(OR(N377="Draft",N377="Approved",N377="Void"),"OK","Status required")))))))</x:f>
      </x:c>
    </x:row>
    <x:row r="378" ht="23" customHeight="1">
      <x:c r="A378" s="36"/>
      <x:c r="B378" s="40"/>
      <x:c r="C378" s="36"/>
      <x:c r="D378" s="41"/>
      <x:c r="E378" s="36"/>
      <x:c r="F378" s="36"/>
      <x:c r="G378" s="36"/>
      <x:c r="H378" s="36"/>
      <x:c r="I378" s="36"/>
      <x:c r="J378" s="36"/>
      <x:c r="K378" s="36"/>
      <x:c r="L378" s="36"/>
      <x:c r="M378" s="36"/>
      <x:c r="N378" s="36"/>
      <x:c r="O378" s="42" t="str">
        <x:f>IF(A378="","",IF(COUNTIFS('Event Guide'!$A$6:$A$29,C378)=1,VLOOKUP(C378,'Event Guide'!$A$6:$C$29,2,FALSE),"Unknown event"))</x:f>
      </x:c>
      <x:c r="P378" s="42" t="str">
        <x:f>IF(A378="","",IF(COUNTIFS('Event Guide'!$A$6:$A$29,C378)=1,VLOOKUP(C378,'Event Guide'!$A$6:$C$29,3,FALSE),"Unknown event"))</x:f>
      </x:c>
      <x:c r="Q378" s="42" t="str">
        <x:f>IF(A378="","",IF(O378="PAY",E378,IF(O378="OTHER",F378,IF(O378="CAPITAL","Capital - "&amp;G378,IF(O378="DUE","Due to - "&amp;G378,IF(O378="DRAW","Drawings - "&amp;G378,O378))))))</x:f>
      </x:c>
      <x:c r="R378" s="42" t="str">
        <x:f>IF(A378="","",IF(P378="PAY",E378,IF(P378="OTHER",F378,IF(P378="CAPITAL","Capital - "&amp;G378,IF(P378="DUE","Due to - "&amp;G378,IF(P378="DRAW","Drawings - "&amp;G378,P378))))))</x:f>
      </x:c>
      <x:c r="S378" s="37" t="n">
        <x:f>IF(AND(N378="Approved",T378="OK"),D378,0)</x:f>
        <x:v>0</x:v>
      </x:c>
      <x:c r="T378" s="42" t="str">
        <x:f>IF(A378="","",IF(COUNTIFS($A$6:$A$505,A378)&lt;&gt;1,"Duplicate ID",IF(OR(NOT(ISNUMBER(B378)),D378&lt;=0,NOT(ISNUMBER(D378)),I378="",J378="",L378=""),"Missing date/amount/ref/details",IF(OR(COUNTIFS('Accounts'!$A$6:$A$105,Q378)&lt;&gt;1,COUNTIFS('Accounts'!$A$6:$A$105,R378)&lt;&gt;1,Q378=R378),"Check accounts/event",IF(AND(OR(Q378="Trade payables",R378="Trade payables",Q378="Customer receivables",R378="Customer receivables",Q378="Courier receivables",R378="Courier receivables",Q378="Supplier advances",R378="Supplier advances"),H378=""),"Contact ID required",IF(AND(N378="Approved",OR(M378="",M378=L378)),"Independent review needed",IF(OR(N378="Draft",N378="Approved",N378="Void"),"OK","Status required")))))))</x:f>
      </x:c>
    </x:row>
    <x:row r="379" ht="23" customHeight="1">
      <x:c r="A379" s="36"/>
      <x:c r="B379" s="40"/>
      <x:c r="C379" s="36"/>
      <x:c r="D379" s="41"/>
      <x:c r="E379" s="36"/>
      <x:c r="F379" s="36"/>
      <x:c r="G379" s="36"/>
      <x:c r="H379" s="36"/>
      <x:c r="I379" s="36"/>
      <x:c r="J379" s="36"/>
      <x:c r="K379" s="36"/>
      <x:c r="L379" s="36"/>
      <x:c r="M379" s="36"/>
      <x:c r="N379" s="36"/>
      <x:c r="O379" s="42" t="str">
        <x:f>IF(A379="","",IF(COUNTIFS('Event Guide'!$A$6:$A$29,C379)=1,VLOOKUP(C379,'Event Guide'!$A$6:$C$29,2,FALSE),"Unknown event"))</x:f>
      </x:c>
      <x:c r="P379" s="42" t="str">
        <x:f>IF(A379="","",IF(COUNTIFS('Event Guide'!$A$6:$A$29,C379)=1,VLOOKUP(C379,'Event Guide'!$A$6:$C$29,3,FALSE),"Unknown event"))</x:f>
      </x:c>
      <x:c r="Q379" s="42" t="str">
        <x:f>IF(A379="","",IF(O379="PAY",E379,IF(O379="OTHER",F379,IF(O379="CAPITAL","Capital - "&amp;G379,IF(O379="DUE","Due to - "&amp;G379,IF(O379="DRAW","Drawings - "&amp;G379,O379))))))</x:f>
      </x:c>
      <x:c r="R379" s="42" t="str">
        <x:f>IF(A379="","",IF(P379="PAY",E379,IF(P379="OTHER",F379,IF(P379="CAPITAL","Capital - "&amp;G379,IF(P379="DUE","Due to - "&amp;G379,IF(P379="DRAW","Drawings - "&amp;G379,P379))))))</x:f>
      </x:c>
      <x:c r="S379" s="37" t="n">
        <x:f>IF(AND(N379="Approved",T379="OK"),D379,0)</x:f>
        <x:v>0</x:v>
      </x:c>
      <x:c r="T379" s="42" t="str">
        <x:f>IF(A379="","",IF(COUNTIFS($A$6:$A$505,A379)&lt;&gt;1,"Duplicate ID",IF(OR(NOT(ISNUMBER(B379)),D379&lt;=0,NOT(ISNUMBER(D379)),I379="",J379="",L379=""),"Missing date/amount/ref/details",IF(OR(COUNTIFS('Accounts'!$A$6:$A$105,Q379)&lt;&gt;1,COUNTIFS('Accounts'!$A$6:$A$105,R379)&lt;&gt;1,Q379=R379),"Check accounts/event",IF(AND(OR(Q379="Trade payables",R379="Trade payables",Q379="Customer receivables",R379="Customer receivables",Q379="Courier receivables",R379="Courier receivables",Q379="Supplier advances",R379="Supplier advances"),H379=""),"Contact ID required",IF(AND(N379="Approved",OR(M379="",M379=L379)),"Independent review needed",IF(OR(N379="Draft",N379="Approved",N379="Void"),"OK","Status required")))))))</x:f>
      </x:c>
    </x:row>
    <x:row r="380" ht="23" customHeight="1">
      <x:c r="A380" s="36"/>
      <x:c r="B380" s="40"/>
      <x:c r="C380" s="36"/>
      <x:c r="D380" s="41"/>
      <x:c r="E380" s="36"/>
      <x:c r="F380" s="36"/>
      <x:c r="G380" s="36"/>
      <x:c r="H380" s="36"/>
      <x:c r="I380" s="36"/>
      <x:c r="J380" s="36"/>
      <x:c r="K380" s="36"/>
      <x:c r="L380" s="36"/>
      <x:c r="M380" s="36"/>
      <x:c r="N380" s="36"/>
      <x:c r="O380" s="42" t="str">
        <x:f>IF(A380="","",IF(COUNTIFS('Event Guide'!$A$6:$A$29,C380)=1,VLOOKUP(C380,'Event Guide'!$A$6:$C$29,2,FALSE),"Unknown event"))</x:f>
      </x:c>
      <x:c r="P380" s="42" t="str">
        <x:f>IF(A380="","",IF(COUNTIFS('Event Guide'!$A$6:$A$29,C380)=1,VLOOKUP(C380,'Event Guide'!$A$6:$C$29,3,FALSE),"Unknown event"))</x:f>
      </x:c>
      <x:c r="Q380" s="42" t="str">
        <x:f>IF(A380="","",IF(O380="PAY",E380,IF(O380="OTHER",F380,IF(O380="CAPITAL","Capital - "&amp;G380,IF(O380="DUE","Due to - "&amp;G380,IF(O380="DRAW","Drawings - "&amp;G380,O380))))))</x:f>
      </x:c>
      <x:c r="R380" s="42" t="str">
        <x:f>IF(A380="","",IF(P380="PAY",E380,IF(P380="OTHER",F380,IF(P380="CAPITAL","Capital - "&amp;G380,IF(P380="DUE","Due to - "&amp;G380,IF(P380="DRAW","Drawings - "&amp;G380,P380))))))</x:f>
      </x:c>
      <x:c r="S380" s="37" t="n">
        <x:f>IF(AND(N380="Approved",T380="OK"),D380,0)</x:f>
        <x:v>0</x:v>
      </x:c>
      <x:c r="T380" s="42" t="str">
        <x:f>IF(A380="","",IF(COUNTIFS($A$6:$A$505,A380)&lt;&gt;1,"Duplicate ID",IF(OR(NOT(ISNUMBER(B380)),D380&lt;=0,NOT(ISNUMBER(D380)),I380="",J380="",L380=""),"Missing date/amount/ref/details",IF(OR(COUNTIFS('Accounts'!$A$6:$A$105,Q380)&lt;&gt;1,COUNTIFS('Accounts'!$A$6:$A$105,R380)&lt;&gt;1,Q380=R380),"Check accounts/event",IF(AND(OR(Q380="Trade payables",R380="Trade payables",Q380="Customer receivables",R380="Customer receivables",Q380="Courier receivables",R380="Courier receivables",Q380="Supplier advances",R380="Supplier advances"),H380=""),"Contact ID required",IF(AND(N380="Approved",OR(M380="",M380=L380)),"Independent review needed",IF(OR(N380="Draft",N380="Approved",N380="Void"),"OK","Status required")))))))</x:f>
      </x:c>
    </x:row>
    <x:row r="381" ht="23" customHeight="1">
      <x:c r="A381" s="36"/>
      <x:c r="B381" s="40"/>
      <x:c r="C381" s="36"/>
      <x:c r="D381" s="41"/>
      <x:c r="E381" s="36"/>
      <x:c r="F381" s="36"/>
      <x:c r="G381" s="36"/>
      <x:c r="H381" s="36"/>
      <x:c r="I381" s="36"/>
      <x:c r="J381" s="36"/>
      <x:c r="K381" s="36"/>
      <x:c r="L381" s="36"/>
      <x:c r="M381" s="36"/>
      <x:c r="N381" s="36"/>
      <x:c r="O381" s="42" t="str">
        <x:f>IF(A381="","",IF(COUNTIFS('Event Guide'!$A$6:$A$29,C381)=1,VLOOKUP(C381,'Event Guide'!$A$6:$C$29,2,FALSE),"Unknown event"))</x:f>
      </x:c>
      <x:c r="P381" s="42" t="str">
        <x:f>IF(A381="","",IF(COUNTIFS('Event Guide'!$A$6:$A$29,C381)=1,VLOOKUP(C381,'Event Guide'!$A$6:$C$29,3,FALSE),"Unknown event"))</x:f>
      </x:c>
      <x:c r="Q381" s="42" t="str">
        <x:f>IF(A381="","",IF(O381="PAY",E381,IF(O381="OTHER",F381,IF(O381="CAPITAL","Capital - "&amp;G381,IF(O381="DUE","Due to - "&amp;G381,IF(O381="DRAW","Drawings - "&amp;G381,O381))))))</x:f>
      </x:c>
      <x:c r="R381" s="42" t="str">
        <x:f>IF(A381="","",IF(P381="PAY",E381,IF(P381="OTHER",F381,IF(P381="CAPITAL","Capital - "&amp;G381,IF(P381="DUE","Due to - "&amp;G381,IF(P381="DRAW","Drawings - "&amp;G381,P381))))))</x:f>
      </x:c>
      <x:c r="S381" s="37" t="n">
        <x:f>IF(AND(N381="Approved",T381="OK"),D381,0)</x:f>
        <x:v>0</x:v>
      </x:c>
      <x:c r="T381" s="42" t="str">
        <x:f>IF(A381="","",IF(COUNTIFS($A$6:$A$505,A381)&lt;&gt;1,"Duplicate ID",IF(OR(NOT(ISNUMBER(B381)),D381&lt;=0,NOT(ISNUMBER(D381)),I381="",J381="",L381=""),"Missing date/amount/ref/details",IF(OR(COUNTIFS('Accounts'!$A$6:$A$105,Q381)&lt;&gt;1,COUNTIFS('Accounts'!$A$6:$A$105,R381)&lt;&gt;1,Q381=R381),"Check accounts/event",IF(AND(OR(Q381="Trade payables",R381="Trade payables",Q381="Customer receivables",R381="Customer receivables",Q381="Courier receivables",R381="Courier receivables",Q381="Supplier advances",R381="Supplier advances"),H381=""),"Contact ID required",IF(AND(N381="Approved",OR(M381="",M381=L381)),"Independent review needed",IF(OR(N381="Draft",N381="Approved",N381="Void"),"OK","Status required")))))))</x:f>
      </x:c>
    </x:row>
    <x:row r="382" ht="23" customHeight="1">
      <x:c r="A382" s="36"/>
      <x:c r="B382" s="40"/>
      <x:c r="C382" s="36"/>
      <x:c r="D382" s="41"/>
      <x:c r="E382" s="36"/>
      <x:c r="F382" s="36"/>
      <x:c r="G382" s="36"/>
      <x:c r="H382" s="36"/>
      <x:c r="I382" s="36"/>
      <x:c r="J382" s="36"/>
      <x:c r="K382" s="36"/>
      <x:c r="L382" s="36"/>
      <x:c r="M382" s="36"/>
      <x:c r="N382" s="36"/>
      <x:c r="O382" s="42" t="str">
        <x:f>IF(A382="","",IF(COUNTIFS('Event Guide'!$A$6:$A$29,C382)=1,VLOOKUP(C382,'Event Guide'!$A$6:$C$29,2,FALSE),"Unknown event"))</x:f>
      </x:c>
      <x:c r="P382" s="42" t="str">
        <x:f>IF(A382="","",IF(COUNTIFS('Event Guide'!$A$6:$A$29,C382)=1,VLOOKUP(C382,'Event Guide'!$A$6:$C$29,3,FALSE),"Unknown event"))</x:f>
      </x:c>
      <x:c r="Q382" s="42" t="str">
        <x:f>IF(A382="","",IF(O382="PAY",E382,IF(O382="OTHER",F382,IF(O382="CAPITAL","Capital - "&amp;G382,IF(O382="DUE","Due to - "&amp;G382,IF(O382="DRAW","Drawings - "&amp;G382,O382))))))</x:f>
      </x:c>
      <x:c r="R382" s="42" t="str">
        <x:f>IF(A382="","",IF(P382="PAY",E382,IF(P382="OTHER",F382,IF(P382="CAPITAL","Capital - "&amp;G382,IF(P382="DUE","Due to - "&amp;G382,IF(P382="DRAW","Drawings - "&amp;G382,P382))))))</x:f>
      </x:c>
      <x:c r="S382" s="37" t="n">
        <x:f>IF(AND(N382="Approved",T382="OK"),D382,0)</x:f>
        <x:v>0</x:v>
      </x:c>
      <x:c r="T382" s="42" t="str">
        <x:f>IF(A382="","",IF(COUNTIFS($A$6:$A$505,A382)&lt;&gt;1,"Duplicate ID",IF(OR(NOT(ISNUMBER(B382)),D382&lt;=0,NOT(ISNUMBER(D382)),I382="",J382="",L382=""),"Missing date/amount/ref/details",IF(OR(COUNTIFS('Accounts'!$A$6:$A$105,Q382)&lt;&gt;1,COUNTIFS('Accounts'!$A$6:$A$105,R382)&lt;&gt;1,Q382=R382),"Check accounts/event",IF(AND(OR(Q382="Trade payables",R382="Trade payables",Q382="Customer receivables",R382="Customer receivables",Q382="Courier receivables",R382="Courier receivables",Q382="Supplier advances",R382="Supplier advances"),H382=""),"Contact ID required",IF(AND(N382="Approved",OR(M382="",M382=L382)),"Independent review needed",IF(OR(N382="Draft",N382="Approved",N382="Void"),"OK","Status required")))))))</x:f>
      </x:c>
    </x:row>
    <x:row r="383" ht="23" customHeight="1">
      <x:c r="A383" s="36"/>
      <x:c r="B383" s="40"/>
      <x:c r="C383" s="36"/>
      <x:c r="D383" s="41"/>
      <x:c r="E383" s="36"/>
      <x:c r="F383" s="36"/>
      <x:c r="G383" s="36"/>
      <x:c r="H383" s="36"/>
      <x:c r="I383" s="36"/>
      <x:c r="J383" s="36"/>
      <x:c r="K383" s="36"/>
      <x:c r="L383" s="36"/>
      <x:c r="M383" s="36"/>
      <x:c r="N383" s="36"/>
      <x:c r="O383" s="42" t="str">
        <x:f>IF(A383="","",IF(COUNTIFS('Event Guide'!$A$6:$A$29,C383)=1,VLOOKUP(C383,'Event Guide'!$A$6:$C$29,2,FALSE),"Unknown event"))</x:f>
      </x:c>
      <x:c r="P383" s="42" t="str">
        <x:f>IF(A383="","",IF(COUNTIFS('Event Guide'!$A$6:$A$29,C383)=1,VLOOKUP(C383,'Event Guide'!$A$6:$C$29,3,FALSE),"Unknown event"))</x:f>
      </x:c>
      <x:c r="Q383" s="42" t="str">
        <x:f>IF(A383="","",IF(O383="PAY",E383,IF(O383="OTHER",F383,IF(O383="CAPITAL","Capital - "&amp;G383,IF(O383="DUE","Due to - "&amp;G383,IF(O383="DRAW","Drawings - "&amp;G383,O383))))))</x:f>
      </x:c>
      <x:c r="R383" s="42" t="str">
        <x:f>IF(A383="","",IF(P383="PAY",E383,IF(P383="OTHER",F383,IF(P383="CAPITAL","Capital - "&amp;G383,IF(P383="DUE","Due to - "&amp;G383,IF(P383="DRAW","Drawings - "&amp;G383,P383))))))</x:f>
      </x:c>
      <x:c r="S383" s="37" t="n">
        <x:f>IF(AND(N383="Approved",T383="OK"),D383,0)</x:f>
        <x:v>0</x:v>
      </x:c>
      <x:c r="T383" s="42" t="str">
        <x:f>IF(A383="","",IF(COUNTIFS($A$6:$A$505,A383)&lt;&gt;1,"Duplicate ID",IF(OR(NOT(ISNUMBER(B383)),D383&lt;=0,NOT(ISNUMBER(D383)),I383="",J383="",L383=""),"Missing date/amount/ref/details",IF(OR(COUNTIFS('Accounts'!$A$6:$A$105,Q383)&lt;&gt;1,COUNTIFS('Accounts'!$A$6:$A$105,R383)&lt;&gt;1,Q383=R383),"Check accounts/event",IF(AND(OR(Q383="Trade payables",R383="Trade payables",Q383="Customer receivables",R383="Customer receivables",Q383="Courier receivables",R383="Courier receivables",Q383="Supplier advances",R383="Supplier advances"),H383=""),"Contact ID required",IF(AND(N383="Approved",OR(M383="",M383=L383)),"Independent review needed",IF(OR(N383="Draft",N383="Approved",N383="Void"),"OK","Status required")))))))</x:f>
      </x:c>
    </x:row>
    <x:row r="384" ht="23" customHeight="1">
      <x:c r="A384" s="36"/>
      <x:c r="B384" s="40"/>
      <x:c r="C384" s="36"/>
      <x:c r="D384" s="41"/>
      <x:c r="E384" s="36"/>
      <x:c r="F384" s="36"/>
      <x:c r="G384" s="36"/>
      <x:c r="H384" s="36"/>
      <x:c r="I384" s="36"/>
      <x:c r="J384" s="36"/>
      <x:c r="K384" s="36"/>
      <x:c r="L384" s="36"/>
      <x:c r="M384" s="36"/>
      <x:c r="N384" s="36"/>
      <x:c r="O384" s="42" t="str">
        <x:f>IF(A384="","",IF(COUNTIFS('Event Guide'!$A$6:$A$29,C384)=1,VLOOKUP(C384,'Event Guide'!$A$6:$C$29,2,FALSE),"Unknown event"))</x:f>
      </x:c>
      <x:c r="P384" s="42" t="str">
        <x:f>IF(A384="","",IF(COUNTIFS('Event Guide'!$A$6:$A$29,C384)=1,VLOOKUP(C384,'Event Guide'!$A$6:$C$29,3,FALSE),"Unknown event"))</x:f>
      </x:c>
      <x:c r="Q384" s="42" t="str">
        <x:f>IF(A384="","",IF(O384="PAY",E384,IF(O384="OTHER",F384,IF(O384="CAPITAL","Capital - "&amp;G384,IF(O384="DUE","Due to - "&amp;G384,IF(O384="DRAW","Drawings - "&amp;G384,O384))))))</x:f>
      </x:c>
      <x:c r="R384" s="42" t="str">
        <x:f>IF(A384="","",IF(P384="PAY",E384,IF(P384="OTHER",F384,IF(P384="CAPITAL","Capital - "&amp;G384,IF(P384="DUE","Due to - "&amp;G384,IF(P384="DRAW","Drawings - "&amp;G384,P384))))))</x:f>
      </x:c>
      <x:c r="S384" s="37" t="n">
        <x:f>IF(AND(N384="Approved",T384="OK"),D384,0)</x:f>
        <x:v>0</x:v>
      </x:c>
      <x:c r="T384" s="42" t="str">
        <x:f>IF(A384="","",IF(COUNTIFS($A$6:$A$505,A384)&lt;&gt;1,"Duplicate ID",IF(OR(NOT(ISNUMBER(B384)),D384&lt;=0,NOT(ISNUMBER(D384)),I384="",J384="",L384=""),"Missing date/amount/ref/details",IF(OR(COUNTIFS('Accounts'!$A$6:$A$105,Q384)&lt;&gt;1,COUNTIFS('Accounts'!$A$6:$A$105,R384)&lt;&gt;1,Q384=R384),"Check accounts/event",IF(AND(OR(Q384="Trade payables",R384="Trade payables",Q384="Customer receivables",R384="Customer receivables",Q384="Courier receivables",R384="Courier receivables",Q384="Supplier advances",R384="Supplier advances"),H384=""),"Contact ID required",IF(AND(N384="Approved",OR(M384="",M384=L384)),"Independent review needed",IF(OR(N384="Draft",N384="Approved",N384="Void"),"OK","Status required")))))))</x:f>
      </x:c>
    </x:row>
    <x:row r="385" ht="23" customHeight="1">
      <x:c r="A385" s="36"/>
      <x:c r="B385" s="40"/>
      <x:c r="C385" s="36"/>
      <x:c r="D385" s="41"/>
      <x:c r="E385" s="36"/>
      <x:c r="F385" s="36"/>
      <x:c r="G385" s="36"/>
      <x:c r="H385" s="36"/>
      <x:c r="I385" s="36"/>
      <x:c r="J385" s="36"/>
      <x:c r="K385" s="36"/>
      <x:c r="L385" s="36"/>
      <x:c r="M385" s="36"/>
      <x:c r="N385" s="36"/>
      <x:c r="O385" s="42" t="str">
        <x:f>IF(A385="","",IF(COUNTIFS('Event Guide'!$A$6:$A$29,C385)=1,VLOOKUP(C385,'Event Guide'!$A$6:$C$29,2,FALSE),"Unknown event"))</x:f>
      </x:c>
      <x:c r="P385" s="42" t="str">
        <x:f>IF(A385="","",IF(COUNTIFS('Event Guide'!$A$6:$A$29,C385)=1,VLOOKUP(C385,'Event Guide'!$A$6:$C$29,3,FALSE),"Unknown event"))</x:f>
      </x:c>
      <x:c r="Q385" s="42" t="str">
        <x:f>IF(A385="","",IF(O385="PAY",E385,IF(O385="OTHER",F385,IF(O385="CAPITAL","Capital - "&amp;G385,IF(O385="DUE","Due to - "&amp;G385,IF(O385="DRAW","Drawings - "&amp;G385,O385))))))</x:f>
      </x:c>
      <x:c r="R385" s="42" t="str">
        <x:f>IF(A385="","",IF(P385="PAY",E385,IF(P385="OTHER",F385,IF(P385="CAPITAL","Capital - "&amp;G385,IF(P385="DUE","Due to - "&amp;G385,IF(P385="DRAW","Drawings - "&amp;G385,P385))))))</x:f>
      </x:c>
      <x:c r="S385" s="37" t="n">
        <x:f>IF(AND(N385="Approved",T385="OK"),D385,0)</x:f>
        <x:v>0</x:v>
      </x:c>
      <x:c r="T385" s="42" t="str">
        <x:f>IF(A385="","",IF(COUNTIFS($A$6:$A$505,A385)&lt;&gt;1,"Duplicate ID",IF(OR(NOT(ISNUMBER(B385)),D385&lt;=0,NOT(ISNUMBER(D385)),I385="",J385="",L385=""),"Missing date/amount/ref/details",IF(OR(COUNTIFS('Accounts'!$A$6:$A$105,Q385)&lt;&gt;1,COUNTIFS('Accounts'!$A$6:$A$105,R385)&lt;&gt;1,Q385=R385),"Check accounts/event",IF(AND(OR(Q385="Trade payables",R385="Trade payables",Q385="Customer receivables",R385="Customer receivables",Q385="Courier receivables",R385="Courier receivables",Q385="Supplier advances",R385="Supplier advances"),H385=""),"Contact ID required",IF(AND(N385="Approved",OR(M385="",M385=L385)),"Independent review needed",IF(OR(N385="Draft",N385="Approved",N385="Void"),"OK","Status required")))))))</x:f>
      </x:c>
    </x:row>
    <x:row r="386" ht="23" customHeight="1">
      <x:c r="A386" s="36"/>
      <x:c r="B386" s="40"/>
      <x:c r="C386" s="36"/>
      <x:c r="D386" s="41"/>
      <x:c r="E386" s="36"/>
      <x:c r="F386" s="36"/>
      <x:c r="G386" s="36"/>
      <x:c r="H386" s="36"/>
      <x:c r="I386" s="36"/>
      <x:c r="J386" s="36"/>
      <x:c r="K386" s="36"/>
      <x:c r="L386" s="36"/>
      <x:c r="M386" s="36"/>
      <x:c r="N386" s="36"/>
      <x:c r="O386" s="42" t="str">
        <x:f>IF(A386="","",IF(COUNTIFS('Event Guide'!$A$6:$A$29,C386)=1,VLOOKUP(C386,'Event Guide'!$A$6:$C$29,2,FALSE),"Unknown event"))</x:f>
      </x:c>
      <x:c r="P386" s="42" t="str">
        <x:f>IF(A386="","",IF(COUNTIFS('Event Guide'!$A$6:$A$29,C386)=1,VLOOKUP(C386,'Event Guide'!$A$6:$C$29,3,FALSE),"Unknown event"))</x:f>
      </x:c>
      <x:c r="Q386" s="42" t="str">
        <x:f>IF(A386="","",IF(O386="PAY",E386,IF(O386="OTHER",F386,IF(O386="CAPITAL","Capital - "&amp;G386,IF(O386="DUE","Due to - "&amp;G386,IF(O386="DRAW","Drawings - "&amp;G386,O386))))))</x:f>
      </x:c>
      <x:c r="R386" s="42" t="str">
        <x:f>IF(A386="","",IF(P386="PAY",E386,IF(P386="OTHER",F386,IF(P386="CAPITAL","Capital - "&amp;G386,IF(P386="DUE","Due to - "&amp;G386,IF(P386="DRAW","Drawings - "&amp;G386,P386))))))</x:f>
      </x:c>
      <x:c r="S386" s="37" t="n">
        <x:f>IF(AND(N386="Approved",T386="OK"),D386,0)</x:f>
        <x:v>0</x:v>
      </x:c>
      <x:c r="T386" s="42" t="str">
        <x:f>IF(A386="","",IF(COUNTIFS($A$6:$A$505,A386)&lt;&gt;1,"Duplicate ID",IF(OR(NOT(ISNUMBER(B386)),D386&lt;=0,NOT(ISNUMBER(D386)),I386="",J386="",L386=""),"Missing date/amount/ref/details",IF(OR(COUNTIFS('Accounts'!$A$6:$A$105,Q386)&lt;&gt;1,COUNTIFS('Accounts'!$A$6:$A$105,R386)&lt;&gt;1,Q386=R386),"Check accounts/event",IF(AND(OR(Q386="Trade payables",R386="Trade payables",Q386="Customer receivables",R386="Customer receivables",Q386="Courier receivables",R386="Courier receivables",Q386="Supplier advances",R386="Supplier advances"),H386=""),"Contact ID required",IF(AND(N386="Approved",OR(M386="",M386=L386)),"Independent review needed",IF(OR(N386="Draft",N386="Approved",N386="Void"),"OK","Status required")))))))</x:f>
      </x:c>
    </x:row>
    <x:row r="387" ht="23" customHeight="1">
      <x:c r="A387" s="36"/>
      <x:c r="B387" s="40"/>
      <x:c r="C387" s="36"/>
      <x:c r="D387" s="41"/>
      <x:c r="E387" s="36"/>
      <x:c r="F387" s="36"/>
      <x:c r="G387" s="36"/>
      <x:c r="H387" s="36"/>
      <x:c r="I387" s="36"/>
      <x:c r="J387" s="36"/>
      <x:c r="K387" s="36"/>
      <x:c r="L387" s="36"/>
      <x:c r="M387" s="36"/>
      <x:c r="N387" s="36"/>
      <x:c r="O387" s="42" t="str">
        <x:f>IF(A387="","",IF(COUNTIFS('Event Guide'!$A$6:$A$29,C387)=1,VLOOKUP(C387,'Event Guide'!$A$6:$C$29,2,FALSE),"Unknown event"))</x:f>
      </x:c>
      <x:c r="P387" s="42" t="str">
        <x:f>IF(A387="","",IF(COUNTIFS('Event Guide'!$A$6:$A$29,C387)=1,VLOOKUP(C387,'Event Guide'!$A$6:$C$29,3,FALSE),"Unknown event"))</x:f>
      </x:c>
      <x:c r="Q387" s="42" t="str">
        <x:f>IF(A387="","",IF(O387="PAY",E387,IF(O387="OTHER",F387,IF(O387="CAPITAL","Capital - "&amp;G387,IF(O387="DUE","Due to - "&amp;G387,IF(O387="DRAW","Drawings - "&amp;G387,O387))))))</x:f>
      </x:c>
      <x:c r="R387" s="42" t="str">
        <x:f>IF(A387="","",IF(P387="PAY",E387,IF(P387="OTHER",F387,IF(P387="CAPITAL","Capital - "&amp;G387,IF(P387="DUE","Due to - "&amp;G387,IF(P387="DRAW","Drawings - "&amp;G387,P387))))))</x:f>
      </x:c>
      <x:c r="S387" s="37" t="n">
        <x:f>IF(AND(N387="Approved",T387="OK"),D387,0)</x:f>
        <x:v>0</x:v>
      </x:c>
      <x:c r="T387" s="42" t="str">
        <x:f>IF(A387="","",IF(COUNTIFS($A$6:$A$505,A387)&lt;&gt;1,"Duplicate ID",IF(OR(NOT(ISNUMBER(B387)),D387&lt;=0,NOT(ISNUMBER(D387)),I387="",J387="",L387=""),"Missing date/amount/ref/details",IF(OR(COUNTIFS('Accounts'!$A$6:$A$105,Q387)&lt;&gt;1,COUNTIFS('Accounts'!$A$6:$A$105,R387)&lt;&gt;1,Q387=R387),"Check accounts/event",IF(AND(OR(Q387="Trade payables",R387="Trade payables",Q387="Customer receivables",R387="Customer receivables",Q387="Courier receivables",R387="Courier receivables",Q387="Supplier advances",R387="Supplier advances"),H387=""),"Contact ID required",IF(AND(N387="Approved",OR(M387="",M387=L387)),"Independent review needed",IF(OR(N387="Draft",N387="Approved",N387="Void"),"OK","Status required")))))))</x:f>
      </x:c>
    </x:row>
    <x:row r="388" ht="23" customHeight="1">
      <x:c r="A388" s="36"/>
      <x:c r="B388" s="40"/>
      <x:c r="C388" s="36"/>
      <x:c r="D388" s="41"/>
      <x:c r="E388" s="36"/>
      <x:c r="F388" s="36"/>
      <x:c r="G388" s="36"/>
      <x:c r="H388" s="36"/>
      <x:c r="I388" s="36"/>
      <x:c r="J388" s="36"/>
      <x:c r="K388" s="36"/>
      <x:c r="L388" s="36"/>
      <x:c r="M388" s="36"/>
      <x:c r="N388" s="36"/>
      <x:c r="O388" s="42" t="str">
        <x:f>IF(A388="","",IF(COUNTIFS('Event Guide'!$A$6:$A$29,C388)=1,VLOOKUP(C388,'Event Guide'!$A$6:$C$29,2,FALSE),"Unknown event"))</x:f>
      </x:c>
      <x:c r="P388" s="42" t="str">
        <x:f>IF(A388="","",IF(COUNTIFS('Event Guide'!$A$6:$A$29,C388)=1,VLOOKUP(C388,'Event Guide'!$A$6:$C$29,3,FALSE),"Unknown event"))</x:f>
      </x:c>
      <x:c r="Q388" s="42" t="str">
        <x:f>IF(A388="","",IF(O388="PAY",E388,IF(O388="OTHER",F388,IF(O388="CAPITAL","Capital - "&amp;G388,IF(O388="DUE","Due to - "&amp;G388,IF(O388="DRAW","Drawings - "&amp;G388,O388))))))</x:f>
      </x:c>
      <x:c r="R388" s="42" t="str">
        <x:f>IF(A388="","",IF(P388="PAY",E388,IF(P388="OTHER",F388,IF(P388="CAPITAL","Capital - "&amp;G388,IF(P388="DUE","Due to - "&amp;G388,IF(P388="DRAW","Drawings - "&amp;G388,P388))))))</x:f>
      </x:c>
      <x:c r="S388" s="37" t="n">
        <x:f>IF(AND(N388="Approved",T388="OK"),D388,0)</x:f>
        <x:v>0</x:v>
      </x:c>
      <x:c r="T388" s="42" t="str">
        <x:f>IF(A388="","",IF(COUNTIFS($A$6:$A$505,A388)&lt;&gt;1,"Duplicate ID",IF(OR(NOT(ISNUMBER(B388)),D388&lt;=0,NOT(ISNUMBER(D388)),I388="",J388="",L388=""),"Missing date/amount/ref/details",IF(OR(COUNTIFS('Accounts'!$A$6:$A$105,Q388)&lt;&gt;1,COUNTIFS('Accounts'!$A$6:$A$105,R388)&lt;&gt;1,Q388=R388),"Check accounts/event",IF(AND(OR(Q388="Trade payables",R388="Trade payables",Q388="Customer receivables",R388="Customer receivables",Q388="Courier receivables",R388="Courier receivables",Q388="Supplier advances",R388="Supplier advances"),H388=""),"Contact ID required",IF(AND(N388="Approved",OR(M388="",M388=L388)),"Independent review needed",IF(OR(N388="Draft",N388="Approved",N388="Void"),"OK","Status required")))))))</x:f>
      </x:c>
    </x:row>
    <x:row r="389" ht="23" customHeight="1">
      <x:c r="A389" s="36"/>
      <x:c r="B389" s="40"/>
      <x:c r="C389" s="36"/>
      <x:c r="D389" s="41"/>
      <x:c r="E389" s="36"/>
      <x:c r="F389" s="36"/>
      <x:c r="G389" s="36"/>
      <x:c r="H389" s="36"/>
      <x:c r="I389" s="36"/>
      <x:c r="J389" s="36"/>
      <x:c r="K389" s="36"/>
      <x:c r="L389" s="36"/>
      <x:c r="M389" s="36"/>
      <x:c r="N389" s="36"/>
      <x:c r="O389" s="42" t="str">
        <x:f>IF(A389="","",IF(COUNTIFS('Event Guide'!$A$6:$A$29,C389)=1,VLOOKUP(C389,'Event Guide'!$A$6:$C$29,2,FALSE),"Unknown event"))</x:f>
      </x:c>
      <x:c r="P389" s="42" t="str">
        <x:f>IF(A389="","",IF(COUNTIFS('Event Guide'!$A$6:$A$29,C389)=1,VLOOKUP(C389,'Event Guide'!$A$6:$C$29,3,FALSE),"Unknown event"))</x:f>
      </x:c>
      <x:c r="Q389" s="42" t="str">
        <x:f>IF(A389="","",IF(O389="PAY",E389,IF(O389="OTHER",F389,IF(O389="CAPITAL","Capital - "&amp;G389,IF(O389="DUE","Due to - "&amp;G389,IF(O389="DRAW","Drawings - "&amp;G389,O389))))))</x:f>
      </x:c>
      <x:c r="R389" s="42" t="str">
        <x:f>IF(A389="","",IF(P389="PAY",E389,IF(P389="OTHER",F389,IF(P389="CAPITAL","Capital - "&amp;G389,IF(P389="DUE","Due to - "&amp;G389,IF(P389="DRAW","Drawings - "&amp;G389,P389))))))</x:f>
      </x:c>
      <x:c r="S389" s="37" t="n">
        <x:f>IF(AND(N389="Approved",T389="OK"),D389,0)</x:f>
        <x:v>0</x:v>
      </x:c>
      <x:c r="T389" s="42" t="str">
        <x:f>IF(A389="","",IF(COUNTIFS($A$6:$A$505,A389)&lt;&gt;1,"Duplicate ID",IF(OR(NOT(ISNUMBER(B389)),D389&lt;=0,NOT(ISNUMBER(D389)),I389="",J389="",L389=""),"Missing date/amount/ref/details",IF(OR(COUNTIFS('Accounts'!$A$6:$A$105,Q389)&lt;&gt;1,COUNTIFS('Accounts'!$A$6:$A$105,R389)&lt;&gt;1,Q389=R389),"Check accounts/event",IF(AND(OR(Q389="Trade payables",R389="Trade payables",Q389="Customer receivables",R389="Customer receivables",Q389="Courier receivables",R389="Courier receivables",Q389="Supplier advances",R389="Supplier advances"),H389=""),"Contact ID required",IF(AND(N389="Approved",OR(M389="",M389=L389)),"Independent review needed",IF(OR(N389="Draft",N389="Approved",N389="Void"),"OK","Status required")))))))</x:f>
      </x:c>
    </x:row>
    <x:row r="390" ht="23" customHeight="1">
      <x:c r="A390" s="36"/>
      <x:c r="B390" s="40"/>
      <x:c r="C390" s="36"/>
      <x:c r="D390" s="41"/>
      <x:c r="E390" s="36"/>
      <x:c r="F390" s="36"/>
      <x:c r="G390" s="36"/>
      <x:c r="H390" s="36"/>
      <x:c r="I390" s="36"/>
      <x:c r="J390" s="36"/>
      <x:c r="K390" s="36"/>
      <x:c r="L390" s="36"/>
      <x:c r="M390" s="36"/>
      <x:c r="N390" s="36"/>
      <x:c r="O390" s="42" t="str">
        <x:f>IF(A390="","",IF(COUNTIFS('Event Guide'!$A$6:$A$29,C390)=1,VLOOKUP(C390,'Event Guide'!$A$6:$C$29,2,FALSE),"Unknown event"))</x:f>
      </x:c>
      <x:c r="P390" s="42" t="str">
        <x:f>IF(A390="","",IF(COUNTIFS('Event Guide'!$A$6:$A$29,C390)=1,VLOOKUP(C390,'Event Guide'!$A$6:$C$29,3,FALSE),"Unknown event"))</x:f>
      </x:c>
      <x:c r="Q390" s="42" t="str">
        <x:f>IF(A390="","",IF(O390="PAY",E390,IF(O390="OTHER",F390,IF(O390="CAPITAL","Capital - "&amp;G390,IF(O390="DUE","Due to - "&amp;G390,IF(O390="DRAW","Drawings - "&amp;G390,O390))))))</x:f>
      </x:c>
      <x:c r="R390" s="42" t="str">
        <x:f>IF(A390="","",IF(P390="PAY",E390,IF(P390="OTHER",F390,IF(P390="CAPITAL","Capital - "&amp;G390,IF(P390="DUE","Due to - "&amp;G390,IF(P390="DRAW","Drawings - "&amp;G390,P390))))))</x:f>
      </x:c>
      <x:c r="S390" s="37" t="n">
        <x:f>IF(AND(N390="Approved",T390="OK"),D390,0)</x:f>
        <x:v>0</x:v>
      </x:c>
      <x:c r="T390" s="42" t="str">
        <x:f>IF(A390="","",IF(COUNTIFS($A$6:$A$505,A390)&lt;&gt;1,"Duplicate ID",IF(OR(NOT(ISNUMBER(B390)),D390&lt;=0,NOT(ISNUMBER(D390)),I390="",J390="",L390=""),"Missing date/amount/ref/details",IF(OR(COUNTIFS('Accounts'!$A$6:$A$105,Q390)&lt;&gt;1,COUNTIFS('Accounts'!$A$6:$A$105,R390)&lt;&gt;1,Q390=R390),"Check accounts/event",IF(AND(OR(Q390="Trade payables",R390="Trade payables",Q390="Customer receivables",R390="Customer receivables",Q390="Courier receivables",R390="Courier receivables",Q390="Supplier advances",R390="Supplier advances"),H390=""),"Contact ID required",IF(AND(N390="Approved",OR(M390="",M390=L390)),"Independent review needed",IF(OR(N390="Draft",N390="Approved",N390="Void"),"OK","Status required")))))))</x:f>
      </x:c>
    </x:row>
    <x:row r="391" ht="23" customHeight="1">
      <x:c r="A391" s="36"/>
      <x:c r="B391" s="40"/>
      <x:c r="C391" s="36"/>
      <x:c r="D391" s="41"/>
      <x:c r="E391" s="36"/>
      <x:c r="F391" s="36"/>
      <x:c r="G391" s="36"/>
      <x:c r="H391" s="36"/>
      <x:c r="I391" s="36"/>
      <x:c r="J391" s="36"/>
      <x:c r="K391" s="36"/>
      <x:c r="L391" s="36"/>
      <x:c r="M391" s="36"/>
      <x:c r="N391" s="36"/>
      <x:c r="O391" s="42" t="str">
        <x:f>IF(A391="","",IF(COUNTIFS('Event Guide'!$A$6:$A$29,C391)=1,VLOOKUP(C391,'Event Guide'!$A$6:$C$29,2,FALSE),"Unknown event"))</x:f>
      </x:c>
      <x:c r="P391" s="42" t="str">
        <x:f>IF(A391="","",IF(COUNTIFS('Event Guide'!$A$6:$A$29,C391)=1,VLOOKUP(C391,'Event Guide'!$A$6:$C$29,3,FALSE),"Unknown event"))</x:f>
      </x:c>
      <x:c r="Q391" s="42" t="str">
        <x:f>IF(A391="","",IF(O391="PAY",E391,IF(O391="OTHER",F391,IF(O391="CAPITAL","Capital - "&amp;G391,IF(O391="DUE","Due to - "&amp;G391,IF(O391="DRAW","Drawings - "&amp;G391,O391))))))</x:f>
      </x:c>
      <x:c r="R391" s="42" t="str">
        <x:f>IF(A391="","",IF(P391="PAY",E391,IF(P391="OTHER",F391,IF(P391="CAPITAL","Capital - "&amp;G391,IF(P391="DUE","Due to - "&amp;G391,IF(P391="DRAW","Drawings - "&amp;G391,P391))))))</x:f>
      </x:c>
      <x:c r="S391" s="37" t="n">
        <x:f>IF(AND(N391="Approved",T391="OK"),D391,0)</x:f>
        <x:v>0</x:v>
      </x:c>
      <x:c r="T391" s="42" t="str">
        <x:f>IF(A391="","",IF(COUNTIFS($A$6:$A$505,A391)&lt;&gt;1,"Duplicate ID",IF(OR(NOT(ISNUMBER(B391)),D391&lt;=0,NOT(ISNUMBER(D391)),I391="",J391="",L391=""),"Missing date/amount/ref/details",IF(OR(COUNTIFS('Accounts'!$A$6:$A$105,Q391)&lt;&gt;1,COUNTIFS('Accounts'!$A$6:$A$105,R391)&lt;&gt;1,Q391=R391),"Check accounts/event",IF(AND(OR(Q391="Trade payables",R391="Trade payables",Q391="Customer receivables",R391="Customer receivables",Q391="Courier receivables",R391="Courier receivables",Q391="Supplier advances",R391="Supplier advances"),H391=""),"Contact ID required",IF(AND(N391="Approved",OR(M391="",M391=L391)),"Independent review needed",IF(OR(N391="Draft",N391="Approved",N391="Void"),"OK","Status required")))))))</x:f>
      </x:c>
    </x:row>
    <x:row r="392" ht="23" customHeight="1">
      <x:c r="A392" s="36"/>
      <x:c r="B392" s="40"/>
      <x:c r="C392" s="36"/>
      <x:c r="D392" s="41"/>
      <x:c r="E392" s="36"/>
      <x:c r="F392" s="36"/>
      <x:c r="G392" s="36"/>
      <x:c r="H392" s="36"/>
      <x:c r="I392" s="36"/>
      <x:c r="J392" s="36"/>
      <x:c r="K392" s="36"/>
      <x:c r="L392" s="36"/>
      <x:c r="M392" s="36"/>
      <x:c r="N392" s="36"/>
      <x:c r="O392" s="42" t="str">
        <x:f>IF(A392="","",IF(COUNTIFS('Event Guide'!$A$6:$A$29,C392)=1,VLOOKUP(C392,'Event Guide'!$A$6:$C$29,2,FALSE),"Unknown event"))</x:f>
      </x:c>
      <x:c r="P392" s="42" t="str">
        <x:f>IF(A392="","",IF(COUNTIFS('Event Guide'!$A$6:$A$29,C392)=1,VLOOKUP(C392,'Event Guide'!$A$6:$C$29,3,FALSE),"Unknown event"))</x:f>
      </x:c>
      <x:c r="Q392" s="42" t="str">
        <x:f>IF(A392="","",IF(O392="PAY",E392,IF(O392="OTHER",F392,IF(O392="CAPITAL","Capital - "&amp;G392,IF(O392="DUE","Due to - "&amp;G392,IF(O392="DRAW","Drawings - "&amp;G392,O392))))))</x:f>
      </x:c>
      <x:c r="R392" s="42" t="str">
        <x:f>IF(A392="","",IF(P392="PAY",E392,IF(P392="OTHER",F392,IF(P392="CAPITAL","Capital - "&amp;G392,IF(P392="DUE","Due to - "&amp;G392,IF(P392="DRAW","Drawings - "&amp;G392,P392))))))</x:f>
      </x:c>
      <x:c r="S392" s="37" t="n">
        <x:f>IF(AND(N392="Approved",T392="OK"),D392,0)</x:f>
        <x:v>0</x:v>
      </x:c>
      <x:c r="T392" s="42" t="str">
        <x:f>IF(A392="","",IF(COUNTIFS($A$6:$A$505,A392)&lt;&gt;1,"Duplicate ID",IF(OR(NOT(ISNUMBER(B392)),D392&lt;=0,NOT(ISNUMBER(D392)),I392="",J392="",L392=""),"Missing date/amount/ref/details",IF(OR(COUNTIFS('Accounts'!$A$6:$A$105,Q392)&lt;&gt;1,COUNTIFS('Accounts'!$A$6:$A$105,R392)&lt;&gt;1,Q392=R392),"Check accounts/event",IF(AND(OR(Q392="Trade payables",R392="Trade payables",Q392="Customer receivables",R392="Customer receivables",Q392="Courier receivables",R392="Courier receivables",Q392="Supplier advances",R392="Supplier advances"),H392=""),"Contact ID required",IF(AND(N392="Approved",OR(M392="",M392=L392)),"Independent review needed",IF(OR(N392="Draft",N392="Approved",N392="Void"),"OK","Status required")))))))</x:f>
      </x:c>
    </x:row>
    <x:row r="393" ht="23" customHeight="1">
      <x:c r="A393" s="36"/>
      <x:c r="B393" s="40"/>
      <x:c r="C393" s="36"/>
      <x:c r="D393" s="41"/>
      <x:c r="E393" s="36"/>
      <x:c r="F393" s="36"/>
      <x:c r="G393" s="36"/>
      <x:c r="H393" s="36"/>
      <x:c r="I393" s="36"/>
      <x:c r="J393" s="36"/>
      <x:c r="K393" s="36"/>
      <x:c r="L393" s="36"/>
      <x:c r="M393" s="36"/>
      <x:c r="N393" s="36"/>
      <x:c r="O393" s="42" t="str">
        <x:f>IF(A393="","",IF(COUNTIFS('Event Guide'!$A$6:$A$29,C393)=1,VLOOKUP(C393,'Event Guide'!$A$6:$C$29,2,FALSE),"Unknown event"))</x:f>
      </x:c>
      <x:c r="P393" s="42" t="str">
        <x:f>IF(A393="","",IF(COUNTIFS('Event Guide'!$A$6:$A$29,C393)=1,VLOOKUP(C393,'Event Guide'!$A$6:$C$29,3,FALSE),"Unknown event"))</x:f>
      </x:c>
      <x:c r="Q393" s="42" t="str">
        <x:f>IF(A393="","",IF(O393="PAY",E393,IF(O393="OTHER",F393,IF(O393="CAPITAL","Capital - "&amp;G393,IF(O393="DUE","Due to - "&amp;G393,IF(O393="DRAW","Drawings - "&amp;G393,O393))))))</x:f>
      </x:c>
      <x:c r="R393" s="42" t="str">
        <x:f>IF(A393="","",IF(P393="PAY",E393,IF(P393="OTHER",F393,IF(P393="CAPITAL","Capital - "&amp;G393,IF(P393="DUE","Due to - "&amp;G393,IF(P393="DRAW","Drawings - "&amp;G393,P393))))))</x:f>
      </x:c>
      <x:c r="S393" s="37" t="n">
        <x:f>IF(AND(N393="Approved",T393="OK"),D393,0)</x:f>
        <x:v>0</x:v>
      </x:c>
      <x:c r="T393" s="42" t="str">
        <x:f>IF(A393="","",IF(COUNTIFS($A$6:$A$505,A393)&lt;&gt;1,"Duplicate ID",IF(OR(NOT(ISNUMBER(B393)),D393&lt;=0,NOT(ISNUMBER(D393)),I393="",J393="",L393=""),"Missing date/amount/ref/details",IF(OR(COUNTIFS('Accounts'!$A$6:$A$105,Q393)&lt;&gt;1,COUNTIFS('Accounts'!$A$6:$A$105,R393)&lt;&gt;1,Q393=R393),"Check accounts/event",IF(AND(OR(Q393="Trade payables",R393="Trade payables",Q393="Customer receivables",R393="Customer receivables",Q393="Courier receivables",R393="Courier receivables",Q393="Supplier advances",R393="Supplier advances"),H393=""),"Contact ID required",IF(AND(N393="Approved",OR(M393="",M393=L393)),"Independent review needed",IF(OR(N393="Draft",N393="Approved",N393="Void"),"OK","Status required")))))))</x:f>
      </x:c>
    </x:row>
    <x:row r="394" ht="23" customHeight="1">
      <x:c r="A394" s="36"/>
      <x:c r="B394" s="40"/>
      <x:c r="C394" s="36"/>
      <x:c r="D394" s="41"/>
      <x:c r="E394" s="36"/>
      <x:c r="F394" s="36"/>
      <x:c r="G394" s="36"/>
      <x:c r="H394" s="36"/>
      <x:c r="I394" s="36"/>
      <x:c r="J394" s="36"/>
      <x:c r="K394" s="36"/>
      <x:c r="L394" s="36"/>
      <x:c r="M394" s="36"/>
      <x:c r="N394" s="36"/>
      <x:c r="O394" s="42" t="str">
        <x:f>IF(A394="","",IF(COUNTIFS('Event Guide'!$A$6:$A$29,C394)=1,VLOOKUP(C394,'Event Guide'!$A$6:$C$29,2,FALSE),"Unknown event"))</x:f>
      </x:c>
      <x:c r="P394" s="42" t="str">
        <x:f>IF(A394="","",IF(COUNTIFS('Event Guide'!$A$6:$A$29,C394)=1,VLOOKUP(C394,'Event Guide'!$A$6:$C$29,3,FALSE),"Unknown event"))</x:f>
      </x:c>
      <x:c r="Q394" s="42" t="str">
        <x:f>IF(A394="","",IF(O394="PAY",E394,IF(O394="OTHER",F394,IF(O394="CAPITAL","Capital - "&amp;G394,IF(O394="DUE","Due to - "&amp;G394,IF(O394="DRAW","Drawings - "&amp;G394,O394))))))</x:f>
      </x:c>
      <x:c r="R394" s="42" t="str">
        <x:f>IF(A394="","",IF(P394="PAY",E394,IF(P394="OTHER",F394,IF(P394="CAPITAL","Capital - "&amp;G394,IF(P394="DUE","Due to - "&amp;G394,IF(P394="DRAW","Drawings - "&amp;G394,P394))))))</x:f>
      </x:c>
      <x:c r="S394" s="37" t="n">
        <x:f>IF(AND(N394="Approved",T394="OK"),D394,0)</x:f>
        <x:v>0</x:v>
      </x:c>
      <x:c r="T394" s="42" t="str">
        <x:f>IF(A394="","",IF(COUNTIFS($A$6:$A$505,A394)&lt;&gt;1,"Duplicate ID",IF(OR(NOT(ISNUMBER(B394)),D394&lt;=0,NOT(ISNUMBER(D394)),I394="",J394="",L394=""),"Missing date/amount/ref/details",IF(OR(COUNTIFS('Accounts'!$A$6:$A$105,Q394)&lt;&gt;1,COUNTIFS('Accounts'!$A$6:$A$105,R394)&lt;&gt;1,Q394=R394),"Check accounts/event",IF(AND(OR(Q394="Trade payables",R394="Trade payables",Q394="Customer receivables",R394="Customer receivables",Q394="Courier receivables",R394="Courier receivables",Q394="Supplier advances",R394="Supplier advances"),H394=""),"Contact ID required",IF(AND(N394="Approved",OR(M394="",M394=L394)),"Independent review needed",IF(OR(N394="Draft",N394="Approved",N394="Void"),"OK","Status required")))))))</x:f>
      </x:c>
    </x:row>
    <x:row r="395" ht="23" customHeight="1">
      <x:c r="A395" s="36"/>
      <x:c r="B395" s="40"/>
      <x:c r="C395" s="36"/>
      <x:c r="D395" s="41"/>
      <x:c r="E395" s="36"/>
      <x:c r="F395" s="36"/>
      <x:c r="G395" s="36"/>
      <x:c r="H395" s="36"/>
      <x:c r="I395" s="36"/>
      <x:c r="J395" s="36"/>
      <x:c r="K395" s="36"/>
      <x:c r="L395" s="36"/>
      <x:c r="M395" s="36"/>
      <x:c r="N395" s="36"/>
      <x:c r="O395" s="42" t="str">
        <x:f>IF(A395="","",IF(COUNTIFS('Event Guide'!$A$6:$A$29,C395)=1,VLOOKUP(C395,'Event Guide'!$A$6:$C$29,2,FALSE),"Unknown event"))</x:f>
      </x:c>
      <x:c r="P395" s="42" t="str">
        <x:f>IF(A395="","",IF(COUNTIFS('Event Guide'!$A$6:$A$29,C395)=1,VLOOKUP(C395,'Event Guide'!$A$6:$C$29,3,FALSE),"Unknown event"))</x:f>
      </x:c>
      <x:c r="Q395" s="42" t="str">
        <x:f>IF(A395="","",IF(O395="PAY",E395,IF(O395="OTHER",F395,IF(O395="CAPITAL","Capital - "&amp;G395,IF(O395="DUE","Due to - "&amp;G395,IF(O395="DRAW","Drawings - "&amp;G395,O395))))))</x:f>
      </x:c>
      <x:c r="R395" s="42" t="str">
        <x:f>IF(A395="","",IF(P395="PAY",E395,IF(P395="OTHER",F395,IF(P395="CAPITAL","Capital - "&amp;G395,IF(P395="DUE","Due to - "&amp;G395,IF(P395="DRAW","Drawings - "&amp;G395,P395))))))</x:f>
      </x:c>
      <x:c r="S395" s="37" t="n">
        <x:f>IF(AND(N395="Approved",T395="OK"),D395,0)</x:f>
        <x:v>0</x:v>
      </x:c>
      <x:c r="T395" s="42" t="str">
        <x:f>IF(A395="","",IF(COUNTIFS($A$6:$A$505,A395)&lt;&gt;1,"Duplicate ID",IF(OR(NOT(ISNUMBER(B395)),D395&lt;=0,NOT(ISNUMBER(D395)),I395="",J395="",L395=""),"Missing date/amount/ref/details",IF(OR(COUNTIFS('Accounts'!$A$6:$A$105,Q395)&lt;&gt;1,COUNTIFS('Accounts'!$A$6:$A$105,R395)&lt;&gt;1,Q395=R395),"Check accounts/event",IF(AND(OR(Q395="Trade payables",R395="Trade payables",Q395="Customer receivables",R395="Customer receivables",Q395="Courier receivables",R395="Courier receivables",Q395="Supplier advances",R395="Supplier advances"),H395=""),"Contact ID required",IF(AND(N395="Approved",OR(M395="",M395=L395)),"Independent review needed",IF(OR(N395="Draft",N395="Approved",N395="Void"),"OK","Status required")))))))</x:f>
      </x:c>
    </x:row>
    <x:row r="396" ht="23" customHeight="1">
      <x:c r="A396" s="36"/>
      <x:c r="B396" s="40"/>
      <x:c r="C396" s="36"/>
      <x:c r="D396" s="41"/>
      <x:c r="E396" s="36"/>
      <x:c r="F396" s="36"/>
      <x:c r="G396" s="36"/>
      <x:c r="H396" s="36"/>
      <x:c r="I396" s="36"/>
      <x:c r="J396" s="36"/>
      <x:c r="K396" s="36"/>
      <x:c r="L396" s="36"/>
      <x:c r="M396" s="36"/>
      <x:c r="N396" s="36"/>
      <x:c r="O396" s="42" t="str">
        <x:f>IF(A396="","",IF(COUNTIFS('Event Guide'!$A$6:$A$29,C396)=1,VLOOKUP(C396,'Event Guide'!$A$6:$C$29,2,FALSE),"Unknown event"))</x:f>
      </x:c>
      <x:c r="P396" s="42" t="str">
        <x:f>IF(A396="","",IF(COUNTIFS('Event Guide'!$A$6:$A$29,C396)=1,VLOOKUP(C396,'Event Guide'!$A$6:$C$29,3,FALSE),"Unknown event"))</x:f>
      </x:c>
      <x:c r="Q396" s="42" t="str">
        <x:f>IF(A396="","",IF(O396="PAY",E396,IF(O396="OTHER",F396,IF(O396="CAPITAL","Capital - "&amp;G396,IF(O396="DUE","Due to - "&amp;G396,IF(O396="DRAW","Drawings - "&amp;G396,O396))))))</x:f>
      </x:c>
      <x:c r="R396" s="42" t="str">
        <x:f>IF(A396="","",IF(P396="PAY",E396,IF(P396="OTHER",F396,IF(P396="CAPITAL","Capital - "&amp;G396,IF(P396="DUE","Due to - "&amp;G396,IF(P396="DRAW","Drawings - "&amp;G396,P396))))))</x:f>
      </x:c>
      <x:c r="S396" s="37" t="n">
        <x:f>IF(AND(N396="Approved",T396="OK"),D396,0)</x:f>
        <x:v>0</x:v>
      </x:c>
      <x:c r="T396" s="42" t="str">
        <x:f>IF(A396="","",IF(COUNTIFS($A$6:$A$505,A396)&lt;&gt;1,"Duplicate ID",IF(OR(NOT(ISNUMBER(B396)),D396&lt;=0,NOT(ISNUMBER(D396)),I396="",J396="",L396=""),"Missing date/amount/ref/details",IF(OR(COUNTIFS('Accounts'!$A$6:$A$105,Q396)&lt;&gt;1,COUNTIFS('Accounts'!$A$6:$A$105,R396)&lt;&gt;1,Q396=R396),"Check accounts/event",IF(AND(OR(Q396="Trade payables",R396="Trade payables",Q396="Customer receivables",R396="Customer receivables",Q396="Courier receivables",R396="Courier receivables",Q396="Supplier advances",R396="Supplier advances"),H396=""),"Contact ID required",IF(AND(N396="Approved",OR(M396="",M396=L396)),"Independent review needed",IF(OR(N396="Draft",N396="Approved",N396="Void"),"OK","Status required")))))))</x:f>
      </x:c>
    </x:row>
    <x:row r="397" ht="23" customHeight="1">
      <x:c r="A397" s="36"/>
      <x:c r="B397" s="40"/>
      <x:c r="C397" s="36"/>
      <x:c r="D397" s="41"/>
      <x:c r="E397" s="36"/>
      <x:c r="F397" s="36"/>
      <x:c r="G397" s="36"/>
      <x:c r="H397" s="36"/>
      <x:c r="I397" s="36"/>
      <x:c r="J397" s="36"/>
      <x:c r="K397" s="36"/>
      <x:c r="L397" s="36"/>
      <x:c r="M397" s="36"/>
      <x:c r="N397" s="36"/>
      <x:c r="O397" s="42" t="str">
        <x:f>IF(A397="","",IF(COUNTIFS('Event Guide'!$A$6:$A$29,C397)=1,VLOOKUP(C397,'Event Guide'!$A$6:$C$29,2,FALSE),"Unknown event"))</x:f>
      </x:c>
      <x:c r="P397" s="42" t="str">
        <x:f>IF(A397="","",IF(COUNTIFS('Event Guide'!$A$6:$A$29,C397)=1,VLOOKUP(C397,'Event Guide'!$A$6:$C$29,3,FALSE),"Unknown event"))</x:f>
      </x:c>
      <x:c r="Q397" s="42" t="str">
        <x:f>IF(A397="","",IF(O397="PAY",E397,IF(O397="OTHER",F397,IF(O397="CAPITAL","Capital - "&amp;G397,IF(O397="DUE","Due to - "&amp;G397,IF(O397="DRAW","Drawings - "&amp;G397,O397))))))</x:f>
      </x:c>
      <x:c r="R397" s="42" t="str">
        <x:f>IF(A397="","",IF(P397="PAY",E397,IF(P397="OTHER",F397,IF(P397="CAPITAL","Capital - "&amp;G397,IF(P397="DUE","Due to - "&amp;G397,IF(P397="DRAW","Drawings - "&amp;G397,P397))))))</x:f>
      </x:c>
      <x:c r="S397" s="37" t="n">
        <x:f>IF(AND(N397="Approved",T397="OK"),D397,0)</x:f>
        <x:v>0</x:v>
      </x:c>
      <x:c r="T397" s="42" t="str">
        <x:f>IF(A397="","",IF(COUNTIFS($A$6:$A$505,A397)&lt;&gt;1,"Duplicate ID",IF(OR(NOT(ISNUMBER(B397)),D397&lt;=0,NOT(ISNUMBER(D397)),I397="",J397="",L397=""),"Missing date/amount/ref/details",IF(OR(COUNTIFS('Accounts'!$A$6:$A$105,Q397)&lt;&gt;1,COUNTIFS('Accounts'!$A$6:$A$105,R397)&lt;&gt;1,Q397=R397),"Check accounts/event",IF(AND(OR(Q397="Trade payables",R397="Trade payables",Q397="Customer receivables",R397="Customer receivables",Q397="Courier receivables",R397="Courier receivables",Q397="Supplier advances",R397="Supplier advances"),H397=""),"Contact ID required",IF(AND(N397="Approved",OR(M397="",M397=L397)),"Independent review needed",IF(OR(N397="Draft",N397="Approved",N397="Void"),"OK","Status required")))))))</x:f>
      </x:c>
    </x:row>
    <x:row r="398" ht="23" customHeight="1">
      <x:c r="A398" s="36"/>
      <x:c r="B398" s="40"/>
      <x:c r="C398" s="36"/>
      <x:c r="D398" s="41"/>
      <x:c r="E398" s="36"/>
      <x:c r="F398" s="36"/>
      <x:c r="G398" s="36"/>
      <x:c r="H398" s="36"/>
      <x:c r="I398" s="36"/>
      <x:c r="J398" s="36"/>
      <x:c r="K398" s="36"/>
      <x:c r="L398" s="36"/>
      <x:c r="M398" s="36"/>
      <x:c r="N398" s="36"/>
      <x:c r="O398" s="42" t="str">
        <x:f>IF(A398="","",IF(COUNTIFS('Event Guide'!$A$6:$A$29,C398)=1,VLOOKUP(C398,'Event Guide'!$A$6:$C$29,2,FALSE),"Unknown event"))</x:f>
      </x:c>
      <x:c r="P398" s="42" t="str">
        <x:f>IF(A398="","",IF(COUNTIFS('Event Guide'!$A$6:$A$29,C398)=1,VLOOKUP(C398,'Event Guide'!$A$6:$C$29,3,FALSE),"Unknown event"))</x:f>
      </x:c>
      <x:c r="Q398" s="42" t="str">
        <x:f>IF(A398="","",IF(O398="PAY",E398,IF(O398="OTHER",F398,IF(O398="CAPITAL","Capital - "&amp;G398,IF(O398="DUE","Due to - "&amp;G398,IF(O398="DRAW","Drawings - "&amp;G398,O398))))))</x:f>
      </x:c>
      <x:c r="R398" s="42" t="str">
        <x:f>IF(A398="","",IF(P398="PAY",E398,IF(P398="OTHER",F398,IF(P398="CAPITAL","Capital - "&amp;G398,IF(P398="DUE","Due to - "&amp;G398,IF(P398="DRAW","Drawings - "&amp;G398,P398))))))</x:f>
      </x:c>
      <x:c r="S398" s="37" t="n">
        <x:f>IF(AND(N398="Approved",T398="OK"),D398,0)</x:f>
        <x:v>0</x:v>
      </x:c>
      <x:c r="T398" s="42" t="str">
        <x:f>IF(A398="","",IF(COUNTIFS($A$6:$A$505,A398)&lt;&gt;1,"Duplicate ID",IF(OR(NOT(ISNUMBER(B398)),D398&lt;=0,NOT(ISNUMBER(D398)),I398="",J398="",L398=""),"Missing date/amount/ref/details",IF(OR(COUNTIFS('Accounts'!$A$6:$A$105,Q398)&lt;&gt;1,COUNTIFS('Accounts'!$A$6:$A$105,R398)&lt;&gt;1,Q398=R398),"Check accounts/event",IF(AND(OR(Q398="Trade payables",R398="Trade payables",Q398="Customer receivables",R398="Customer receivables",Q398="Courier receivables",R398="Courier receivables",Q398="Supplier advances",R398="Supplier advances"),H398=""),"Contact ID required",IF(AND(N398="Approved",OR(M398="",M398=L398)),"Independent review needed",IF(OR(N398="Draft",N398="Approved",N398="Void"),"OK","Status required")))))))</x:f>
      </x:c>
    </x:row>
    <x:row r="399" ht="23" customHeight="1">
      <x:c r="A399" s="36"/>
      <x:c r="B399" s="40"/>
      <x:c r="C399" s="36"/>
      <x:c r="D399" s="41"/>
      <x:c r="E399" s="36"/>
      <x:c r="F399" s="36"/>
      <x:c r="G399" s="36"/>
      <x:c r="H399" s="36"/>
      <x:c r="I399" s="36"/>
      <x:c r="J399" s="36"/>
      <x:c r="K399" s="36"/>
      <x:c r="L399" s="36"/>
      <x:c r="M399" s="36"/>
      <x:c r="N399" s="36"/>
      <x:c r="O399" s="42" t="str">
        <x:f>IF(A399="","",IF(COUNTIFS('Event Guide'!$A$6:$A$29,C399)=1,VLOOKUP(C399,'Event Guide'!$A$6:$C$29,2,FALSE),"Unknown event"))</x:f>
      </x:c>
      <x:c r="P399" s="42" t="str">
        <x:f>IF(A399="","",IF(COUNTIFS('Event Guide'!$A$6:$A$29,C399)=1,VLOOKUP(C399,'Event Guide'!$A$6:$C$29,3,FALSE),"Unknown event"))</x:f>
      </x:c>
      <x:c r="Q399" s="42" t="str">
        <x:f>IF(A399="","",IF(O399="PAY",E399,IF(O399="OTHER",F399,IF(O399="CAPITAL","Capital - "&amp;G399,IF(O399="DUE","Due to - "&amp;G399,IF(O399="DRAW","Drawings - "&amp;G399,O399))))))</x:f>
      </x:c>
      <x:c r="R399" s="42" t="str">
        <x:f>IF(A399="","",IF(P399="PAY",E399,IF(P399="OTHER",F399,IF(P399="CAPITAL","Capital - "&amp;G399,IF(P399="DUE","Due to - "&amp;G399,IF(P399="DRAW","Drawings - "&amp;G399,P399))))))</x:f>
      </x:c>
      <x:c r="S399" s="37" t="n">
        <x:f>IF(AND(N399="Approved",T399="OK"),D399,0)</x:f>
        <x:v>0</x:v>
      </x:c>
      <x:c r="T399" s="42" t="str">
        <x:f>IF(A399="","",IF(COUNTIFS($A$6:$A$505,A399)&lt;&gt;1,"Duplicate ID",IF(OR(NOT(ISNUMBER(B399)),D399&lt;=0,NOT(ISNUMBER(D399)),I399="",J399="",L399=""),"Missing date/amount/ref/details",IF(OR(COUNTIFS('Accounts'!$A$6:$A$105,Q399)&lt;&gt;1,COUNTIFS('Accounts'!$A$6:$A$105,R399)&lt;&gt;1,Q399=R399),"Check accounts/event",IF(AND(OR(Q399="Trade payables",R399="Trade payables",Q399="Customer receivables",R399="Customer receivables",Q399="Courier receivables",R399="Courier receivables",Q399="Supplier advances",R399="Supplier advances"),H399=""),"Contact ID required",IF(AND(N399="Approved",OR(M399="",M399=L399)),"Independent review needed",IF(OR(N399="Draft",N399="Approved",N399="Void"),"OK","Status required")))))))</x:f>
      </x:c>
    </x:row>
    <x:row r="400" ht="23" customHeight="1">
      <x:c r="A400" s="36"/>
      <x:c r="B400" s="40"/>
      <x:c r="C400" s="36"/>
      <x:c r="D400" s="41"/>
      <x:c r="E400" s="36"/>
      <x:c r="F400" s="36"/>
      <x:c r="G400" s="36"/>
      <x:c r="H400" s="36"/>
      <x:c r="I400" s="36"/>
      <x:c r="J400" s="36"/>
      <x:c r="K400" s="36"/>
      <x:c r="L400" s="36"/>
      <x:c r="M400" s="36"/>
      <x:c r="N400" s="36"/>
      <x:c r="O400" s="42" t="str">
        <x:f>IF(A400="","",IF(COUNTIFS('Event Guide'!$A$6:$A$29,C400)=1,VLOOKUP(C400,'Event Guide'!$A$6:$C$29,2,FALSE),"Unknown event"))</x:f>
      </x:c>
      <x:c r="P400" s="42" t="str">
        <x:f>IF(A400="","",IF(COUNTIFS('Event Guide'!$A$6:$A$29,C400)=1,VLOOKUP(C400,'Event Guide'!$A$6:$C$29,3,FALSE),"Unknown event"))</x:f>
      </x:c>
      <x:c r="Q400" s="42" t="str">
        <x:f>IF(A400="","",IF(O400="PAY",E400,IF(O400="OTHER",F400,IF(O400="CAPITAL","Capital - "&amp;G400,IF(O400="DUE","Due to - "&amp;G400,IF(O400="DRAW","Drawings - "&amp;G400,O400))))))</x:f>
      </x:c>
      <x:c r="R400" s="42" t="str">
        <x:f>IF(A400="","",IF(P400="PAY",E400,IF(P400="OTHER",F400,IF(P400="CAPITAL","Capital - "&amp;G400,IF(P400="DUE","Due to - "&amp;G400,IF(P400="DRAW","Drawings - "&amp;G400,P400))))))</x:f>
      </x:c>
      <x:c r="S400" s="37" t="n">
        <x:f>IF(AND(N400="Approved",T400="OK"),D400,0)</x:f>
        <x:v>0</x:v>
      </x:c>
      <x:c r="T400" s="42" t="str">
        <x:f>IF(A400="","",IF(COUNTIFS($A$6:$A$505,A400)&lt;&gt;1,"Duplicate ID",IF(OR(NOT(ISNUMBER(B400)),D400&lt;=0,NOT(ISNUMBER(D400)),I400="",J400="",L400=""),"Missing date/amount/ref/details",IF(OR(COUNTIFS('Accounts'!$A$6:$A$105,Q400)&lt;&gt;1,COUNTIFS('Accounts'!$A$6:$A$105,R400)&lt;&gt;1,Q400=R400),"Check accounts/event",IF(AND(OR(Q400="Trade payables",R400="Trade payables",Q400="Customer receivables",R400="Customer receivables",Q400="Courier receivables",R400="Courier receivables",Q400="Supplier advances",R400="Supplier advances"),H400=""),"Contact ID required",IF(AND(N400="Approved",OR(M400="",M400=L400)),"Independent review needed",IF(OR(N400="Draft",N400="Approved",N400="Void"),"OK","Status required")))))))</x:f>
      </x:c>
    </x:row>
    <x:row r="401" ht="23" customHeight="1">
      <x:c r="A401" s="36"/>
      <x:c r="B401" s="40"/>
      <x:c r="C401" s="36"/>
      <x:c r="D401" s="41"/>
      <x:c r="E401" s="36"/>
      <x:c r="F401" s="36"/>
      <x:c r="G401" s="36"/>
      <x:c r="H401" s="36"/>
      <x:c r="I401" s="36"/>
      <x:c r="J401" s="36"/>
      <x:c r="K401" s="36"/>
      <x:c r="L401" s="36"/>
      <x:c r="M401" s="36"/>
      <x:c r="N401" s="36"/>
      <x:c r="O401" s="42" t="str">
        <x:f>IF(A401="","",IF(COUNTIFS('Event Guide'!$A$6:$A$29,C401)=1,VLOOKUP(C401,'Event Guide'!$A$6:$C$29,2,FALSE),"Unknown event"))</x:f>
      </x:c>
      <x:c r="P401" s="42" t="str">
        <x:f>IF(A401="","",IF(COUNTIFS('Event Guide'!$A$6:$A$29,C401)=1,VLOOKUP(C401,'Event Guide'!$A$6:$C$29,3,FALSE),"Unknown event"))</x:f>
      </x:c>
      <x:c r="Q401" s="42" t="str">
        <x:f>IF(A401="","",IF(O401="PAY",E401,IF(O401="OTHER",F401,IF(O401="CAPITAL","Capital - "&amp;G401,IF(O401="DUE","Due to - "&amp;G401,IF(O401="DRAW","Drawings - "&amp;G401,O401))))))</x:f>
      </x:c>
      <x:c r="R401" s="42" t="str">
        <x:f>IF(A401="","",IF(P401="PAY",E401,IF(P401="OTHER",F401,IF(P401="CAPITAL","Capital - "&amp;G401,IF(P401="DUE","Due to - "&amp;G401,IF(P401="DRAW","Drawings - "&amp;G401,P401))))))</x:f>
      </x:c>
      <x:c r="S401" s="37" t="n">
        <x:f>IF(AND(N401="Approved",T401="OK"),D401,0)</x:f>
        <x:v>0</x:v>
      </x:c>
      <x:c r="T401" s="42" t="str">
        <x:f>IF(A401="","",IF(COUNTIFS($A$6:$A$505,A401)&lt;&gt;1,"Duplicate ID",IF(OR(NOT(ISNUMBER(B401)),D401&lt;=0,NOT(ISNUMBER(D401)),I401="",J401="",L401=""),"Missing date/amount/ref/details",IF(OR(COUNTIFS('Accounts'!$A$6:$A$105,Q401)&lt;&gt;1,COUNTIFS('Accounts'!$A$6:$A$105,R401)&lt;&gt;1,Q401=R401),"Check accounts/event",IF(AND(OR(Q401="Trade payables",R401="Trade payables",Q401="Customer receivables",R401="Customer receivables",Q401="Courier receivables",R401="Courier receivables",Q401="Supplier advances",R401="Supplier advances"),H401=""),"Contact ID required",IF(AND(N401="Approved",OR(M401="",M401=L401)),"Independent review needed",IF(OR(N401="Draft",N401="Approved",N401="Void"),"OK","Status required")))))))</x:f>
      </x:c>
    </x:row>
    <x:row r="402" ht="23" customHeight="1">
      <x:c r="A402" s="36"/>
      <x:c r="B402" s="40"/>
      <x:c r="C402" s="36"/>
      <x:c r="D402" s="41"/>
      <x:c r="E402" s="36"/>
      <x:c r="F402" s="36"/>
      <x:c r="G402" s="36"/>
      <x:c r="H402" s="36"/>
      <x:c r="I402" s="36"/>
      <x:c r="J402" s="36"/>
      <x:c r="K402" s="36"/>
      <x:c r="L402" s="36"/>
      <x:c r="M402" s="36"/>
      <x:c r="N402" s="36"/>
      <x:c r="O402" s="42" t="str">
        <x:f>IF(A402="","",IF(COUNTIFS('Event Guide'!$A$6:$A$29,C402)=1,VLOOKUP(C402,'Event Guide'!$A$6:$C$29,2,FALSE),"Unknown event"))</x:f>
      </x:c>
      <x:c r="P402" s="42" t="str">
        <x:f>IF(A402="","",IF(COUNTIFS('Event Guide'!$A$6:$A$29,C402)=1,VLOOKUP(C402,'Event Guide'!$A$6:$C$29,3,FALSE),"Unknown event"))</x:f>
      </x:c>
      <x:c r="Q402" s="42" t="str">
        <x:f>IF(A402="","",IF(O402="PAY",E402,IF(O402="OTHER",F402,IF(O402="CAPITAL","Capital - "&amp;G402,IF(O402="DUE","Due to - "&amp;G402,IF(O402="DRAW","Drawings - "&amp;G402,O402))))))</x:f>
      </x:c>
      <x:c r="R402" s="42" t="str">
        <x:f>IF(A402="","",IF(P402="PAY",E402,IF(P402="OTHER",F402,IF(P402="CAPITAL","Capital - "&amp;G402,IF(P402="DUE","Due to - "&amp;G402,IF(P402="DRAW","Drawings - "&amp;G402,P402))))))</x:f>
      </x:c>
      <x:c r="S402" s="37" t="n">
        <x:f>IF(AND(N402="Approved",T402="OK"),D402,0)</x:f>
        <x:v>0</x:v>
      </x:c>
      <x:c r="T402" s="42" t="str">
        <x:f>IF(A402="","",IF(COUNTIFS($A$6:$A$505,A402)&lt;&gt;1,"Duplicate ID",IF(OR(NOT(ISNUMBER(B402)),D402&lt;=0,NOT(ISNUMBER(D402)),I402="",J402="",L402=""),"Missing date/amount/ref/details",IF(OR(COUNTIFS('Accounts'!$A$6:$A$105,Q402)&lt;&gt;1,COUNTIFS('Accounts'!$A$6:$A$105,R402)&lt;&gt;1,Q402=R402),"Check accounts/event",IF(AND(OR(Q402="Trade payables",R402="Trade payables",Q402="Customer receivables",R402="Customer receivables",Q402="Courier receivables",R402="Courier receivables",Q402="Supplier advances",R402="Supplier advances"),H402=""),"Contact ID required",IF(AND(N402="Approved",OR(M402="",M402=L402)),"Independent review needed",IF(OR(N402="Draft",N402="Approved",N402="Void"),"OK","Status required")))))))</x:f>
      </x:c>
    </x:row>
    <x:row r="403" ht="23" customHeight="1">
      <x:c r="A403" s="36"/>
      <x:c r="B403" s="40"/>
      <x:c r="C403" s="36"/>
      <x:c r="D403" s="41"/>
      <x:c r="E403" s="36"/>
      <x:c r="F403" s="36"/>
      <x:c r="G403" s="36"/>
      <x:c r="H403" s="36"/>
      <x:c r="I403" s="36"/>
      <x:c r="J403" s="36"/>
      <x:c r="K403" s="36"/>
      <x:c r="L403" s="36"/>
      <x:c r="M403" s="36"/>
      <x:c r="N403" s="36"/>
      <x:c r="O403" s="42" t="str">
        <x:f>IF(A403="","",IF(COUNTIFS('Event Guide'!$A$6:$A$29,C403)=1,VLOOKUP(C403,'Event Guide'!$A$6:$C$29,2,FALSE),"Unknown event"))</x:f>
      </x:c>
      <x:c r="P403" s="42" t="str">
        <x:f>IF(A403="","",IF(COUNTIFS('Event Guide'!$A$6:$A$29,C403)=1,VLOOKUP(C403,'Event Guide'!$A$6:$C$29,3,FALSE),"Unknown event"))</x:f>
      </x:c>
      <x:c r="Q403" s="42" t="str">
        <x:f>IF(A403="","",IF(O403="PAY",E403,IF(O403="OTHER",F403,IF(O403="CAPITAL","Capital - "&amp;G403,IF(O403="DUE","Due to - "&amp;G403,IF(O403="DRAW","Drawings - "&amp;G403,O403))))))</x:f>
      </x:c>
      <x:c r="R403" s="42" t="str">
        <x:f>IF(A403="","",IF(P403="PAY",E403,IF(P403="OTHER",F403,IF(P403="CAPITAL","Capital - "&amp;G403,IF(P403="DUE","Due to - "&amp;G403,IF(P403="DRAW","Drawings - "&amp;G403,P403))))))</x:f>
      </x:c>
      <x:c r="S403" s="37" t="n">
        <x:f>IF(AND(N403="Approved",T403="OK"),D403,0)</x:f>
        <x:v>0</x:v>
      </x:c>
      <x:c r="T403" s="42" t="str">
        <x:f>IF(A403="","",IF(COUNTIFS($A$6:$A$505,A403)&lt;&gt;1,"Duplicate ID",IF(OR(NOT(ISNUMBER(B403)),D403&lt;=0,NOT(ISNUMBER(D403)),I403="",J403="",L403=""),"Missing date/amount/ref/details",IF(OR(COUNTIFS('Accounts'!$A$6:$A$105,Q403)&lt;&gt;1,COUNTIFS('Accounts'!$A$6:$A$105,R403)&lt;&gt;1,Q403=R403),"Check accounts/event",IF(AND(OR(Q403="Trade payables",R403="Trade payables",Q403="Customer receivables",R403="Customer receivables",Q403="Courier receivables",R403="Courier receivables",Q403="Supplier advances",R403="Supplier advances"),H403=""),"Contact ID required",IF(AND(N403="Approved",OR(M403="",M403=L403)),"Independent review needed",IF(OR(N403="Draft",N403="Approved",N403="Void"),"OK","Status required")))))))</x:f>
      </x:c>
    </x:row>
    <x:row r="404" ht="23" customHeight="1">
      <x:c r="A404" s="36"/>
      <x:c r="B404" s="40"/>
      <x:c r="C404" s="36"/>
      <x:c r="D404" s="41"/>
      <x:c r="E404" s="36"/>
      <x:c r="F404" s="36"/>
      <x:c r="G404" s="36"/>
      <x:c r="H404" s="36"/>
      <x:c r="I404" s="36"/>
      <x:c r="J404" s="36"/>
      <x:c r="K404" s="36"/>
      <x:c r="L404" s="36"/>
      <x:c r="M404" s="36"/>
      <x:c r="N404" s="36"/>
      <x:c r="O404" s="42" t="str">
        <x:f>IF(A404="","",IF(COUNTIFS('Event Guide'!$A$6:$A$29,C404)=1,VLOOKUP(C404,'Event Guide'!$A$6:$C$29,2,FALSE),"Unknown event"))</x:f>
      </x:c>
      <x:c r="P404" s="42" t="str">
        <x:f>IF(A404="","",IF(COUNTIFS('Event Guide'!$A$6:$A$29,C404)=1,VLOOKUP(C404,'Event Guide'!$A$6:$C$29,3,FALSE),"Unknown event"))</x:f>
      </x:c>
      <x:c r="Q404" s="42" t="str">
        <x:f>IF(A404="","",IF(O404="PAY",E404,IF(O404="OTHER",F404,IF(O404="CAPITAL","Capital - "&amp;G404,IF(O404="DUE","Due to - "&amp;G404,IF(O404="DRAW","Drawings - "&amp;G404,O404))))))</x:f>
      </x:c>
      <x:c r="R404" s="42" t="str">
        <x:f>IF(A404="","",IF(P404="PAY",E404,IF(P404="OTHER",F404,IF(P404="CAPITAL","Capital - "&amp;G404,IF(P404="DUE","Due to - "&amp;G404,IF(P404="DRAW","Drawings - "&amp;G404,P404))))))</x:f>
      </x:c>
      <x:c r="S404" s="37" t="n">
        <x:f>IF(AND(N404="Approved",T404="OK"),D404,0)</x:f>
        <x:v>0</x:v>
      </x:c>
      <x:c r="T404" s="42" t="str">
        <x:f>IF(A404="","",IF(COUNTIFS($A$6:$A$505,A404)&lt;&gt;1,"Duplicate ID",IF(OR(NOT(ISNUMBER(B404)),D404&lt;=0,NOT(ISNUMBER(D404)),I404="",J404="",L404=""),"Missing date/amount/ref/details",IF(OR(COUNTIFS('Accounts'!$A$6:$A$105,Q404)&lt;&gt;1,COUNTIFS('Accounts'!$A$6:$A$105,R404)&lt;&gt;1,Q404=R404),"Check accounts/event",IF(AND(OR(Q404="Trade payables",R404="Trade payables",Q404="Customer receivables",R404="Customer receivables",Q404="Courier receivables",R404="Courier receivables",Q404="Supplier advances",R404="Supplier advances"),H404=""),"Contact ID required",IF(AND(N404="Approved",OR(M404="",M404=L404)),"Independent review needed",IF(OR(N404="Draft",N404="Approved",N404="Void"),"OK","Status required")))))))</x:f>
      </x:c>
    </x:row>
    <x:row r="405" ht="23" customHeight="1">
      <x:c r="A405" s="36"/>
      <x:c r="B405" s="40"/>
      <x:c r="C405" s="36"/>
      <x:c r="D405" s="41"/>
      <x:c r="E405" s="36"/>
      <x:c r="F405" s="36"/>
      <x:c r="G405" s="36"/>
      <x:c r="H405" s="36"/>
      <x:c r="I405" s="36"/>
      <x:c r="J405" s="36"/>
      <x:c r="K405" s="36"/>
      <x:c r="L405" s="36"/>
      <x:c r="M405" s="36"/>
      <x:c r="N405" s="36"/>
      <x:c r="O405" s="42" t="str">
        <x:f>IF(A405="","",IF(COUNTIFS('Event Guide'!$A$6:$A$29,C405)=1,VLOOKUP(C405,'Event Guide'!$A$6:$C$29,2,FALSE),"Unknown event"))</x:f>
      </x:c>
      <x:c r="P405" s="42" t="str">
        <x:f>IF(A405="","",IF(COUNTIFS('Event Guide'!$A$6:$A$29,C405)=1,VLOOKUP(C405,'Event Guide'!$A$6:$C$29,3,FALSE),"Unknown event"))</x:f>
      </x:c>
      <x:c r="Q405" s="42" t="str">
        <x:f>IF(A405="","",IF(O405="PAY",E405,IF(O405="OTHER",F405,IF(O405="CAPITAL","Capital - "&amp;G405,IF(O405="DUE","Due to - "&amp;G405,IF(O405="DRAW","Drawings - "&amp;G405,O405))))))</x:f>
      </x:c>
      <x:c r="R405" s="42" t="str">
        <x:f>IF(A405="","",IF(P405="PAY",E405,IF(P405="OTHER",F405,IF(P405="CAPITAL","Capital - "&amp;G405,IF(P405="DUE","Due to - "&amp;G405,IF(P405="DRAW","Drawings - "&amp;G405,P405))))))</x:f>
      </x:c>
      <x:c r="S405" s="37" t="n">
        <x:f>IF(AND(N405="Approved",T405="OK"),D405,0)</x:f>
        <x:v>0</x:v>
      </x:c>
      <x:c r="T405" s="42" t="str">
        <x:f>IF(A405="","",IF(COUNTIFS($A$6:$A$505,A405)&lt;&gt;1,"Duplicate ID",IF(OR(NOT(ISNUMBER(B405)),D405&lt;=0,NOT(ISNUMBER(D405)),I405="",J405="",L405=""),"Missing date/amount/ref/details",IF(OR(COUNTIFS('Accounts'!$A$6:$A$105,Q405)&lt;&gt;1,COUNTIFS('Accounts'!$A$6:$A$105,R405)&lt;&gt;1,Q405=R405),"Check accounts/event",IF(AND(OR(Q405="Trade payables",R405="Trade payables",Q405="Customer receivables",R405="Customer receivables",Q405="Courier receivables",R405="Courier receivables",Q405="Supplier advances",R405="Supplier advances"),H405=""),"Contact ID required",IF(AND(N405="Approved",OR(M405="",M405=L405)),"Independent review needed",IF(OR(N405="Draft",N405="Approved",N405="Void"),"OK","Status required")))))))</x:f>
      </x:c>
    </x:row>
    <x:row r="406" ht="23" customHeight="1">
      <x:c r="A406" s="36"/>
      <x:c r="B406" s="40"/>
      <x:c r="C406" s="36"/>
      <x:c r="D406" s="41"/>
      <x:c r="E406" s="36"/>
      <x:c r="F406" s="36"/>
      <x:c r="G406" s="36"/>
      <x:c r="H406" s="36"/>
      <x:c r="I406" s="36"/>
      <x:c r="J406" s="36"/>
      <x:c r="K406" s="36"/>
      <x:c r="L406" s="36"/>
      <x:c r="M406" s="36"/>
      <x:c r="N406" s="36"/>
      <x:c r="O406" s="42" t="str">
        <x:f>IF(A406="","",IF(COUNTIFS('Event Guide'!$A$6:$A$29,C406)=1,VLOOKUP(C406,'Event Guide'!$A$6:$C$29,2,FALSE),"Unknown event"))</x:f>
      </x:c>
      <x:c r="P406" s="42" t="str">
        <x:f>IF(A406="","",IF(COUNTIFS('Event Guide'!$A$6:$A$29,C406)=1,VLOOKUP(C406,'Event Guide'!$A$6:$C$29,3,FALSE),"Unknown event"))</x:f>
      </x:c>
      <x:c r="Q406" s="42" t="str">
        <x:f>IF(A406="","",IF(O406="PAY",E406,IF(O406="OTHER",F406,IF(O406="CAPITAL","Capital - "&amp;G406,IF(O406="DUE","Due to - "&amp;G406,IF(O406="DRAW","Drawings - "&amp;G406,O406))))))</x:f>
      </x:c>
      <x:c r="R406" s="42" t="str">
        <x:f>IF(A406="","",IF(P406="PAY",E406,IF(P406="OTHER",F406,IF(P406="CAPITAL","Capital - "&amp;G406,IF(P406="DUE","Due to - "&amp;G406,IF(P406="DRAW","Drawings - "&amp;G406,P406))))))</x:f>
      </x:c>
      <x:c r="S406" s="37" t="n">
        <x:f>IF(AND(N406="Approved",T406="OK"),D406,0)</x:f>
        <x:v>0</x:v>
      </x:c>
      <x:c r="T406" s="42" t="str">
        <x:f>IF(A406="","",IF(COUNTIFS($A$6:$A$505,A406)&lt;&gt;1,"Duplicate ID",IF(OR(NOT(ISNUMBER(B406)),D406&lt;=0,NOT(ISNUMBER(D406)),I406="",J406="",L406=""),"Missing date/amount/ref/details",IF(OR(COUNTIFS('Accounts'!$A$6:$A$105,Q406)&lt;&gt;1,COUNTIFS('Accounts'!$A$6:$A$105,R406)&lt;&gt;1,Q406=R406),"Check accounts/event",IF(AND(OR(Q406="Trade payables",R406="Trade payables",Q406="Customer receivables",R406="Customer receivables",Q406="Courier receivables",R406="Courier receivables",Q406="Supplier advances",R406="Supplier advances"),H406=""),"Contact ID required",IF(AND(N406="Approved",OR(M406="",M406=L406)),"Independent review needed",IF(OR(N406="Draft",N406="Approved",N406="Void"),"OK","Status required")))))))</x:f>
      </x:c>
    </x:row>
    <x:row r="407" ht="23" customHeight="1">
      <x:c r="A407" s="36"/>
      <x:c r="B407" s="40"/>
      <x:c r="C407" s="36"/>
      <x:c r="D407" s="41"/>
      <x:c r="E407" s="36"/>
      <x:c r="F407" s="36"/>
      <x:c r="G407" s="36"/>
      <x:c r="H407" s="36"/>
      <x:c r="I407" s="36"/>
      <x:c r="J407" s="36"/>
      <x:c r="K407" s="36"/>
      <x:c r="L407" s="36"/>
      <x:c r="M407" s="36"/>
      <x:c r="N407" s="36"/>
      <x:c r="O407" s="42" t="str">
        <x:f>IF(A407="","",IF(COUNTIFS('Event Guide'!$A$6:$A$29,C407)=1,VLOOKUP(C407,'Event Guide'!$A$6:$C$29,2,FALSE),"Unknown event"))</x:f>
      </x:c>
      <x:c r="P407" s="42" t="str">
        <x:f>IF(A407="","",IF(COUNTIFS('Event Guide'!$A$6:$A$29,C407)=1,VLOOKUP(C407,'Event Guide'!$A$6:$C$29,3,FALSE),"Unknown event"))</x:f>
      </x:c>
      <x:c r="Q407" s="42" t="str">
        <x:f>IF(A407="","",IF(O407="PAY",E407,IF(O407="OTHER",F407,IF(O407="CAPITAL","Capital - "&amp;G407,IF(O407="DUE","Due to - "&amp;G407,IF(O407="DRAW","Drawings - "&amp;G407,O407))))))</x:f>
      </x:c>
      <x:c r="R407" s="42" t="str">
        <x:f>IF(A407="","",IF(P407="PAY",E407,IF(P407="OTHER",F407,IF(P407="CAPITAL","Capital - "&amp;G407,IF(P407="DUE","Due to - "&amp;G407,IF(P407="DRAW","Drawings - "&amp;G407,P407))))))</x:f>
      </x:c>
      <x:c r="S407" s="37" t="n">
        <x:f>IF(AND(N407="Approved",T407="OK"),D407,0)</x:f>
        <x:v>0</x:v>
      </x:c>
      <x:c r="T407" s="42" t="str">
        <x:f>IF(A407="","",IF(COUNTIFS($A$6:$A$505,A407)&lt;&gt;1,"Duplicate ID",IF(OR(NOT(ISNUMBER(B407)),D407&lt;=0,NOT(ISNUMBER(D407)),I407="",J407="",L407=""),"Missing date/amount/ref/details",IF(OR(COUNTIFS('Accounts'!$A$6:$A$105,Q407)&lt;&gt;1,COUNTIFS('Accounts'!$A$6:$A$105,R407)&lt;&gt;1,Q407=R407),"Check accounts/event",IF(AND(OR(Q407="Trade payables",R407="Trade payables",Q407="Customer receivables",R407="Customer receivables",Q407="Courier receivables",R407="Courier receivables",Q407="Supplier advances",R407="Supplier advances"),H407=""),"Contact ID required",IF(AND(N407="Approved",OR(M407="",M407=L407)),"Independent review needed",IF(OR(N407="Draft",N407="Approved",N407="Void"),"OK","Status required")))))))</x:f>
      </x:c>
    </x:row>
    <x:row r="408" ht="23" customHeight="1">
      <x:c r="A408" s="36"/>
      <x:c r="B408" s="40"/>
      <x:c r="C408" s="36"/>
      <x:c r="D408" s="41"/>
      <x:c r="E408" s="36"/>
      <x:c r="F408" s="36"/>
      <x:c r="G408" s="36"/>
      <x:c r="H408" s="36"/>
      <x:c r="I408" s="36"/>
      <x:c r="J408" s="36"/>
      <x:c r="K408" s="36"/>
      <x:c r="L408" s="36"/>
      <x:c r="M408" s="36"/>
      <x:c r="N408" s="36"/>
      <x:c r="O408" s="42" t="str">
        <x:f>IF(A408="","",IF(COUNTIFS('Event Guide'!$A$6:$A$29,C408)=1,VLOOKUP(C408,'Event Guide'!$A$6:$C$29,2,FALSE),"Unknown event"))</x:f>
      </x:c>
      <x:c r="P408" s="42" t="str">
        <x:f>IF(A408="","",IF(COUNTIFS('Event Guide'!$A$6:$A$29,C408)=1,VLOOKUP(C408,'Event Guide'!$A$6:$C$29,3,FALSE),"Unknown event"))</x:f>
      </x:c>
      <x:c r="Q408" s="42" t="str">
        <x:f>IF(A408="","",IF(O408="PAY",E408,IF(O408="OTHER",F408,IF(O408="CAPITAL","Capital - "&amp;G408,IF(O408="DUE","Due to - "&amp;G408,IF(O408="DRAW","Drawings - "&amp;G408,O408))))))</x:f>
      </x:c>
      <x:c r="R408" s="42" t="str">
        <x:f>IF(A408="","",IF(P408="PAY",E408,IF(P408="OTHER",F408,IF(P408="CAPITAL","Capital - "&amp;G408,IF(P408="DUE","Due to - "&amp;G408,IF(P408="DRAW","Drawings - "&amp;G408,P408))))))</x:f>
      </x:c>
      <x:c r="S408" s="37" t="n">
        <x:f>IF(AND(N408="Approved",T408="OK"),D408,0)</x:f>
        <x:v>0</x:v>
      </x:c>
      <x:c r="T408" s="42" t="str">
        <x:f>IF(A408="","",IF(COUNTIFS($A$6:$A$505,A408)&lt;&gt;1,"Duplicate ID",IF(OR(NOT(ISNUMBER(B408)),D408&lt;=0,NOT(ISNUMBER(D408)),I408="",J408="",L408=""),"Missing date/amount/ref/details",IF(OR(COUNTIFS('Accounts'!$A$6:$A$105,Q408)&lt;&gt;1,COUNTIFS('Accounts'!$A$6:$A$105,R408)&lt;&gt;1,Q408=R408),"Check accounts/event",IF(AND(OR(Q408="Trade payables",R408="Trade payables",Q408="Customer receivables",R408="Customer receivables",Q408="Courier receivables",R408="Courier receivables",Q408="Supplier advances",R408="Supplier advances"),H408=""),"Contact ID required",IF(AND(N408="Approved",OR(M408="",M408=L408)),"Independent review needed",IF(OR(N408="Draft",N408="Approved",N408="Void"),"OK","Status required")))))))</x:f>
      </x:c>
    </x:row>
    <x:row r="409" ht="23" customHeight="1">
      <x:c r="A409" s="36"/>
      <x:c r="B409" s="40"/>
      <x:c r="C409" s="36"/>
      <x:c r="D409" s="41"/>
      <x:c r="E409" s="36"/>
      <x:c r="F409" s="36"/>
      <x:c r="G409" s="36"/>
      <x:c r="H409" s="36"/>
      <x:c r="I409" s="36"/>
      <x:c r="J409" s="36"/>
      <x:c r="K409" s="36"/>
      <x:c r="L409" s="36"/>
      <x:c r="M409" s="36"/>
      <x:c r="N409" s="36"/>
      <x:c r="O409" s="42" t="str">
        <x:f>IF(A409="","",IF(COUNTIFS('Event Guide'!$A$6:$A$29,C409)=1,VLOOKUP(C409,'Event Guide'!$A$6:$C$29,2,FALSE),"Unknown event"))</x:f>
      </x:c>
      <x:c r="P409" s="42" t="str">
        <x:f>IF(A409="","",IF(COUNTIFS('Event Guide'!$A$6:$A$29,C409)=1,VLOOKUP(C409,'Event Guide'!$A$6:$C$29,3,FALSE),"Unknown event"))</x:f>
      </x:c>
      <x:c r="Q409" s="42" t="str">
        <x:f>IF(A409="","",IF(O409="PAY",E409,IF(O409="OTHER",F409,IF(O409="CAPITAL","Capital - "&amp;G409,IF(O409="DUE","Due to - "&amp;G409,IF(O409="DRAW","Drawings - "&amp;G409,O409))))))</x:f>
      </x:c>
      <x:c r="R409" s="42" t="str">
        <x:f>IF(A409="","",IF(P409="PAY",E409,IF(P409="OTHER",F409,IF(P409="CAPITAL","Capital - "&amp;G409,IF(P409="DUE","Due to - "&amp;G409,IF(P409="DRAW","Drawings - "&amp;G409,P409))))))</x:f>
      </x:c>
      <x:c r="S409" s="37" t="n">
        <x:f>IF(AND(N409="Approved",T409="OK"),D409,0)</x:f>
        <x:v>0</x:v>
      </x:c>
      <x:c r="T409" s="42" t="str">
        <x:f>IF(A409="","",IF(COUNTIFS($A$6:$A$505,A409)&lt;&gt;1,"Duplicate ID",IF(OR(NOT(ISNUMBER(B409)),D409&lt;=0,NOT(ISNUMBER(D409)),I409="",J409="",L409=""),"Missing date/amount/ref/details",IF(OR(COUNTIFS('Accounts'!$A$6:$A$105,Q409)&lt;&gt;1,COUNTIFS('Accounts'!$A$6:$A$105,R409)&lt;&gt;1,Q409=R409),"Check accounts/event",IF(AND(OR(Q409="Trade payables",R409="Trade payables",Q409="Customer receivables",R409="Customer receivables",Q409="Courier receivables",R409="Courier receivables",Q409="Supplier advances",R409="Supplier advances"),H409=""),"Contact ID required",IF(AND(N409="Approved",OR(M409="",M409=L409)),"Independent review needed",IF(OR(N409="Draft",N409="Approved",N409="Void"),"OK","Status required")))))))</x:f>
      </x:c>
    </x:row>
    <x:row r="410" ht="23" customHeight="1">
      <x:c r="A410" s="36"/>
      <x:c r="B410" s="40"/>
      <x:c r="C410" s="36"/>
      <x:c r="D410" s="41"/>
      <x:c r="E410" s="36"/>
      <x:c r="F410" s="36"/>
      <x:c r="G410" s="36"/>
      <x:c r="H410" s="36"/>
      <x:c r="I410" s="36"/>
      <x:c r="J410" s="36"/>
      <x:c r="K410" s="36"/>
      <x:c r="L410" s="36"/>
      <x:c r="M410" s="36"/>
      <x:c r="N410" s="36"/>
      <x:c r="O410" s="42" t="str">
        <x:f>IF(A410="","",IF(COUNTIFS('Event Guide'!$A$6:$A$29,C410)=1,VLOOKUP(C410,'Event Guide'!$A$6:$C$29,2,FALSE),"Unknown event"))</x:f>
      </x:c>
      <x:c r="P410" s="42" t="str">
        <x:f>IF(A410="","",IF(COUNTIFS('Event Guide'!$A$6:$A$29,C410)=1,VLOOKUP(C410,'Event Guide'!$A$6:$C$29,3,FALSE),"Unknown event"))</x:f>
      </x:c>
      <x:c r="Q410" s="42" t="str">
        <x:f>IF(A410="","",IF(O410="PAY",E410,IF(O410="OTHER",F410,IF(O410="CAPITAL","Capital - "&amp;G410,IF(O410="DUE","Due to - "&amp;G410,IF(O410="DRAW","Drawings - "&amp;G410,O410))))))</x:f>
      </x:c>
      <x:c r="R410" s="42" t="str">
        <x:f>IF(A410="","",IF(P410="PAY",E410,IF(P410="OTHER",F410,IF(P410="CAPITAL","Capital - "&amp;G410,IF(P410="DUE","Due to - "&amp;G410,IF(P410="DRAW","Drawings - "&amp;G410,P410))))))</x:f>
      </x:c>
      <x:c r="S410" s="37" t="n">
        <x:f>IF(AND(N410="Approved",T410="OK"),D410,0)</x:f>
        <x:v>0</x:v>
      </x:c>
      <x:c r="T410" s="42" t="str">
        <x:f>IF(A410="","",IF(COUNTIFS($A$6:$A$505,A410)&lt;&gt;1,"Duplicate ID",IF(OR(NOT(ISNUMBER(B410)),D410&lt;=0,NOT(ISNUMBER(D410)),I410="",J410="",L410=""),"Missing date/amount/ref/details",IF(OR(COUNTIFS('Accounts'!$A$6:$A$105,Q410)&lt;&gt;1,COUNTIFS('Accounts'!$A$6:$A$105,R410)&lt;&gt;1,Q410=R410),"Check accounts/event",IF(AND(OR(Q410="Trade payables",R410="Trade payables",Q410="Customer receivables",R410="Customer receivables",Q410="Courier receivables",R410="Courier receivables",Q410="Supplier advances",R410="Supplier advances"),H410=""),"Contact ID required",IF(AND(N410="Approved",OR(M410="",M410=L410)),"Independent review needed",IF(OR(N410="Draft",N410="Approved",N410="Void"),"OK","Status required")))))))</x:f>
      </x:c>
    </x:row>
    <x:row r="411" ht="23" customHeight="1">
      <x:c r="A411" s="36"/>
      <x:c r="B411" s="40"/>
      <x:c r="C411" s="36"/>
      <x:c r="D411" s="41"/>
      <x:c r="E411" s="36"/>
      <x:c r="F411" s="36"/>
      <x:c r="G411" s="36"/>
      <x:c r="H411" s="36"/>
      <x:c r="I411" s="36"/>
      <x:c r="J411" s="36"/>
      <x:c r="K411" s="36"/>
      <x:c r="L411" s="36"/>
      <x:c r="M411" s="36"/>
      <x:c r="N411" s="36"/>
      <x:c r="O411" s="42" t="str">
        <x:f>IF(A411="","",IF(COUNTIFS('Event Guide'!$A$6:$A$29,C411)=1,VLOOKUP(C411,'Event Guide'!$A$6:$C$29,2,FALSE),"Unknown event"))</x:f>
      </x:c>
      <x:c r="P411" s="42" t="str">
        <x:f>IF(A411="","",IF(COUNTIFS('Event Guide'!$A$6:$A$29,C411)=1,VLOOKUP(C411,'Event Guide'!$A$6:$C$29,3,FALSE),"Unknown event"))</x:f>
      </x:c>
      <x:c r="Q411" s="42" t="str">
        <x:f>IF(A411="","",IF(O411="PAY",E411,IF(O411="OTHER",F411,IF(O411="CAPITAL","Capital - "&amp;G411,IF(O411="DUE","Due to - "&amp;G411,IF(O411="DRAW","Drawings - "&amp;G411,O411))))))</x:f>
      </x:c>
      <x:c r="R411" s="42" t="str">
        <x:f>IF(A411="","",IF(P411="PAY",E411,IF(P411="OTHER",F411,IF(P411="CAPITAL","Capital - "&amp;G411,IF(P411="DUE","Due to - "&amp;G411,IF(P411="DRAW","Drawings - "&amp;G411,P411))))))</x:f>
      </x:c>
      <x:c r="S411" s="37" t="n">
        <x:f>IF(AND(N411="Approved",T411="OK"),D411,0)</x:f>
        <x:v>0</x:v>
      </x:c>
      <x:c r="T411" s="42" t="str">
        <x:f>IF(A411="","",IF(COUNTIFS($A$6:$A$505,A411)&lt;&gt;1,"Duplicate ID",IF(OR(NOT(ISNUMBER(B411)),D411&lt;=0,NOT(ISNUMBER(D411)),I411="",J411="",L411=""),"Missing date/amount/ref/details",IF(OR(COUNTIFS('Accounts'!$A$6:$A$105,Q411)&lt;&gt;1,COUNTIFS('Accounts'!$A$6:$A$105,R411)&lt;&gt;1,Q411=R411),"Check accounts/event",IF(AND(OR(Q411="Trade payables",R411="Trade payables",Q411="Customer receivables",R411="Customer receivables",Q411="Courier receivables",R411="Courier receivables",Q411="Supplier advances",R411="Supplier advances"),H411=""),"Contact ID required",IF(AND(N411="Approved",OR(M411="",M411=L411)),"Independent review needed",IF(OR(N411="Draft",N411="Approved",N411="Void"),"OK","Status required")))))))</x:f>
      </x:c>
    </x:row>
    <x:row r="412" ht="23" customHeight="1">
      <x:c r="A412" s="36"/>
      <x:c r="B412" s="40"/>
      <x:c r="C412" s="36"/>
      <x:c r="D412" s="41"/>
      <x:c r="E412" s="36"/>
      <x:c r="F412" s="36"/>
      <x:c r="G412" s="36"/>
      <x:c r="H412" s="36"/>
      <x:c r="I412" s="36"/>
      <x:c r="J412" s="36"/>
      <x:c r="K412" s="36"/>
      <x:c r="L412" s="36"/>
      <x:c r="M412" s="36"/>
      <x:c r="N412" s="36"/>
      <x:c r="O412" s="42" t="str">
        <x:f>IF(A412="","",IF(COUNTIFS('Event Guide'!$A$6:$A$29,C412)=1,VLOOKUP(C412,'Event Guide'!$A$6:$C$29,2,FALSE),"Unknown event"))</x:f>
      </x:c>
      <x:c r="P412" s="42" t="str">
        <x:f>IF(A412="","",IF(COUNTIFS('Event Guide'!$A$6:$A$29,C412)=1,VLOOKUP(C412,'Event Guide'!$A$6:$C$29,3,FALSE),"Unknown event"))</x:f>
      </x:c>
      <x:c r="Q412" s="42" t="str">
        <x:f>IF(A412="","",IF(O412="PAY",E412,IF(O412="OTHER",F412,IF(O412="CAPITAL","Capital - "&amp;G412,IF(O412="DUE","Due to - "&amp;G412,IF(O412="DRAW","Drawings - "&amp;G412,O412))))))</x:f>
      </x:c>
      <x:c r="R412" s="42" t="str">
        <x:f>IF(A412="","",IF(P412="PAY",E412,IF(P412="OTHER",F412,IF(P412="CAPITAL","Capital - "&amp;G412,IF(P412="DUE","Due to - "&amp;G412,IF(P412="DRAW","Drawings - "&amp;G412,P412))))))</x:f>
      </x:c>
      <x:c r="S412" s="37" t="n">
        <x:f>IF(AND(N412="Approved",T412="OK"),D412,0)</x:f>
        <x:v>0</x:v>
      </x:c>
      <x:c r="T412" s="42" t="str">
        <x:f>IF(A412="","",IF(COUNTIFS($A$6:$A$505,A412)&lt;&gt;1,"Duplicate ID",IF(OR(NOT(ISNUMBER(B412)),D412&lt;=0,NOT(ISNUMBER(D412)),I412="",J412="",L412=""),"Missing date/amount/ref/details",IF(OR(COUNTIFS('Accounts'!$A$6:$A$105,Q412)&lt;&gt;1,COUNTIFS('Accounts'!$A$6:$A$105,R412)&lt;&gt;1,Q412=R412),"Check accounts/event",IF(AND(OR(Q412="Trade payables",R412="Trade payables",Q412="Customer receivables",R412="Customer receivables",Q412="Courier receivables",R412="Courier receivables",Q412="Supplier advances",R412="Supplier advances"),H412=""),"Contact ID required",IF(AND(N412="Approved",OR(M412="",M412=L412)),"Independent review needed",IF(OR(N412="Draft",N412="Approved",N412="Void"),"OK","Status required")))))))</x:f>
      </x:c>
    </x:row>
    <x:row r="413" ht="23" customHeight="1">
      <x:c r="A413" s="36"/>
      <x:c r="B413" s="40"/>
      <x:c r="C413" s="36"/>
      <x:c r="D413" s="41"/>
      <x:c r="E413" s="36"/>
      <x:c r="F413" s="36"/>
      <x:c r="G413" s="36"/>
      <x:c r="H413" s="36"/>
      <x:c r="I413" s="36"/>
      <x:c r="J413" s="36"/>
      <x:c r="K413" s="36"/>
      <x:c r="L413" s="36"/>
      <x:c r="M413" s="36"/>
      <x:c r="N413" s="36"/>
      <x:c r="O413" s="42" t="str">
        <x:f>IF(A413="","",IF(COUNTIFS('Event Guide'!$A$6:$A$29,C413)=1,VLOOKUP(C413,'Event Guide'!$A$6:$C$29,2,FALSE),"Unknown event"))</x:f>
      </x:c>
      <x:c r="P413" s="42" t="str">
        <x:f>IF(A413="","",IF(COUNTIFS('Event Guide'!$A$6:$A$29,C413)=1,VLOOKUP(C413,'Event Guide'!$A$6:$C$29,3,FALSE),"Unknown event"))</x:f>
      </x:c>
      <x:c r="Q413" s="42" t="str">
        <x:f>IF(A413="","",IF(O413="PAY",E413,IF(O413="OTHER",F413,IF(O413="CAPITAL","Capital - "&amp;G413,IF(O413="DUE","Due to - "&amp;G413,IF(O413="DRAW","Drawings - "&amp;G413,O413))))))</x:f>
      </x:c>
      <x:c r="R413" s="42" t="str">
        <x:f>IF(A413="","",IF(P413="PAY",E413,IF(P413="OTHER",F413,IF(P413="CAPITAL","Capital - "&amp;G413,IF(P413="DUE","Due to - "&amp;G413,IF(P413="DRAW","Drawings - "&amp;G413,P413))))))</x:f>
      </x:c>
      <x:c r="S413" s="37" t="n">
        <x:f>IF(AND(N413="Approved",T413="OK"),D413,0)</x:f>
        <x:v>0</x:v>
      </x:c>
      <x:c r="T413" s="42" t="str">
        <x:f>IF(A413="","",IF(COUNTIFS($A$6:$A$505,A413)&lt;&gt;1,"Duplicate ID",IF(OR(NOT(ISNUMBER(B413)),D413&lt;=0,NOT(ISNUMBER(D413)),I413="",J413="",L413=""),"Missing date/amount/ref/details",IF(OR(COUNTIFS('Accounts'!$A$6:$A$105,Q413)&lt;&gt;1,COUNTIFS('Accounts'!$A$6:$A$105,R413)&lt;&gt;1,Q413=R413),"Check accounts/event",IF(AND(OR(Q413="Trade payables",R413="Trade payables",Q413="Customer receivables",R413="Customer receivables",Q413="Courier receivables",R413="Courier receivables",Q413="Supplier advances",R413="Supplier advances"),H413=""),"Contact ID required",IF(AND(N413="Approved",OR(M413="",M413=L413)),"Independent review needed",IF(OR(N413="Draft",N413="Approved",N413="Void"),"OK","Status required")))))))</x:f>
      </x:c>
    </x:row>
    <x:row r="414" ht="23" customHeight="1">
      <x:c r="A414" s="36"/>
      <x:c r="B414" s="40"/>
      <x:c r="C414" s="36"/>
      <x:c r="D414" s="41"/>
      <x:c r="E414" s="36"/>
      <x:c r="F414" s="36"/>
      <x:c r="G414" s="36"/>
      <x:c r="H414" s="36"/>
      <x:c r="I414" s="36"/>
      <x:c r="J414" s="36"/>
      <x:c r="K414" s="36"/>
      <x:c r="L414" s="36"/>
      <x:c r="M414" s="36"/>
      <x:c r="N414" s="36"/>
      <x:c r="O414" s="42" t="str">
        <x:f>IF(A414="","",IF(COUNTIFS('Event Guide'!$A$6:$A$29,C414)=1,VLOOKUP(C414,'Event Guide'!$A$6:$C$29,2,FALSE),"Unknown event"))</x:f>
      </x:c>
      <x:c r="P414" s="42" t="str">
        <x:f>IF(A414="","",IF(COUNTIFS('Event Guide'!$A$6:$A$29,C414)=1,VLOOKUP(C414,'Event Guide'!$A$6:$C$29,3,FALSE),"Unknown event"))</x:f>
      </x:c>
      <x:c r="Q414" s="42" t="str">
        <x:f>IF(A414="","",IF(O414="PAY",E414,IF(O414="OTHER",F414,IF(O414="CAPITAL","Capital - "&amp;G414,IF(O414="DUE","Due to - "&amp;G414,IF(O414="DRAW","Drawings - "&amp;G414,O414))))))</x:f>
      </x:c>
      <x:c r="R414" s="42" t="str">
        <x:f>IF(A414="","",IF(P414="PAY",E414,IF(P414="OTHER",F414,IF(P414="CAPITAL","Capital - "&amp;G414,IF(P414="DUE","Due to - "&amp;G414,IF(P414="DRAW","Drawings - "&amp;G414,P414))))))</x:f>
      </x:c>
      <x:c r="S414" s="37" t="n">
        <x:f>IF(AND(N414="Approved",T414="OK"),D414,0)</x:f>
        <x:v>0</x:v>
      </x:c>
      <x:c r="T414" s="42" t="str">
        <x:f>IF(A414="","",IF(COUNTIFS($A$6:$A$505,A414)&lt;&gt;1,"Duplicate ID",IF(OR(NOT(ISNUMBER(B414)),D414&lt;=0,NOT(ISNUMBER(D414)),I414="",J414="",L414=""),"Missing date/amount/ref/details",IF(OR(COUNTIFS('Accounts'!$A$6:$A$105,Q414)&lt;&gt;1,COUNTIFS('Accounts'!$A$6:$A$105,R414)&lt;&gt;1,Q414=R414),"Check accounts/event",IF(AND(OR(Q414="Trade payables",R414="Trade payables",Q414="Customer receivables",R414="Customer receivables",Q414="Courier receivables",R414="Courier receivables",Q414="Supplier advances",R414="Supplier advances"),H414=""),"Contact ID required",IF(AND(N414="Approved",OR(M414="",M414=L414)),"Independent review needed",IF(OR(N414="Draft",N414="Approved",N414="Void"),"OK","Status required")))))))</x:f>
      </x:c>
    </x:row>
    <x:row r="415" ht="23" customHeight="1">
      <x:c r="A415" s="36"/>
      <x:c r="B415" s="40"/>
      <x:c r="C415" s="36"/>
      <x:c r="D415" s="41"/>
      <x:c r="E415" s="36"/>
      <x:c r="F415" s="36"/>
      <x:c r="G415" s="36"/>
      <x:c r="H415" s="36"/>
      <x:c r="I415" s="36"/>
      <x:c r="J415" s="36"/>
      <x:c r="K415" s="36"/>
      <x:c r="L415" s="36"/>
      <x:c r="M415" s="36"/>
      <x:c r="N415" s="36"/>
      <x:c r="O415" s="42" t="str">
        <x:f>IF(A415="","",IF(COUNTIFS('Event Guide'!$A$6:$A$29,C415)=1,VLOOKUP(C415,'Event Guide'!$A$6:$C$29,2,FALSE),"Unknown event"))</x:f>
      </x:c>
      <x:c r="P415" s="42" t="str">
        <x:f>IF(A415="","",IF(COUNTIFS('Event Guide'!$A$6:$A$29,C415)=1,VLOOKUP(C415,'Event Guide'!$A$6:$C$29,3,FALSE),"Unknown event"))</x:f>
      </x:c>
      <x:c r="Q415" s="42" t="str">
        <x:f>IF(A415="","",IF(O415="PAY",E415,IF(O415="OTHER",F415,IF(O415="CAPITAL","Capital - "&amp;G415,IF(O415="DUE","Due to - "&amp;G415,IF(O415="DRAW","Drawings - "&amp;G415,O415))))))</x:f>
      </x:c>
      <x:c r="R415" s="42" t="str">
        <x:f>IF(A415="","",IF(P415="PAY",E415,IF(P415="OTHER",F415,IF(P415="CAPITAL","Capital - "&amp;G415,IF(P415="DUE","Due to - "&amp;G415,IF(P415="DRAW","Drawings - "&amp;G415,P415))))))</x:f>
      </x:c>
      <x:c r="S415" s="37" t="n">
        <x:f>IF(AND(N415="Approved",T415="OK"),D415,0)</x:f>
        <x:v>0</x:v>
      </x:c>
      <x:c r="T415" s="42" t="str">
        <x:f>IF(A415="","",IF(COUNTIFS($A$6:$A$505,A415)&lt;&gt;1,"Duplicate ID",IF(OR(NOT(ISNUMBER(B415)),D415&lt;=0,NOT(ISNUMBER(D415)),I415="",J415="",L415=""),"Missing date/amount/ref/details",IF(OR(COUNTIFS('Accounts'!$A$6:$A$105,Q415)&lt;&gt;1,COUNTIFS('Accounts'!$A$6:$A$105,R415)&lt;&gt;1,Q415=R415),"Check accounts/event",IF(AND(OR(Q415="Trade payables",R415="Trade payables",Q415="Customer receivables",R415="Customer receivables",Q415="Courier receivables",R415="Courier receivables",Q415="Supplier advances",R415="Supplier advances"),H415=""),"Contact ID required",IF(AND(N415="Approved",OR(M415="",M415=L415)),"Independent review needed",IF(OR(N415="Draft",N415="Approved",N415="Void"),"OK","Status required")))))))</x:f>
      </x:c>
    </x:row>
    <x:row r="416" ht="23" customHeight="1">
      <x:c r="A416" s="36"/>
      <x:c r="B416" s="40"/>
      <x:c r="C416" s="36"/>
      <x:c r="D416" s="41"/>
      <x:c r="E416" s="36"/>
      <x:c r="F416" s="36"/>
      <x:c r="G416" s="36"/>
      <x:c r="H416" s="36"/>
      <x:c r="I416" s="36"/>
      <x:c r="J416" s="36"/>
      <x:c r="K416" s="36"/>
      <x:c r="L416" s="36"/>
      <x:c r="M416" s="36"/>
      <x:c r="N416" s="36"/>
      <x:c r="O416" s="42" t="str">
        <x:f>IF(A416="","",IF(COUNTIFS('Event Guide'!$A$6:$A$29,C416)=1,VLOOKUP(C416,'Event Guide'!$A$6:$C$29,2,FALSE),"Unknown event"))</x:f>
      </x:c>
      <x:c r="P416" s="42" t="str">
        <x:f>IF(A416="","",IF(COUNTIFS('Event Guide'!$A$6:$A$29,C416)=1,VLOOKUP(C416,'Event Guide'!$A$6:$C$29,3,FALSE),"Unknown event"))</x:f>
      </x:c>
      <x:c r="Q416" s="42" t="str">
        <x:f>IF(A416="","",IF(O416="PAY",E416,IF(O416="OTHER",F416,IF(O416="CAPITAL","Capital - "&amp;G416,IF(O416="DUE","Due to - "&amp;G416,IF(O416="DRAW","Drawings - "&amp;G416,O416))))))</x:f>
      </x:c>
      <x:c r="R416" s="42" t="str">
        <x:f>IF(A416="","",IF(P416="PAY",E416,IF(P416="OTHER",F416,IF(P416="CAPITAL","Capital - "&amp;G416,IF(P416="DUE","Due to - "&amp;G416,IF(P416="DRAW","Drawings - "&amp;G416,P416))))))</x:f>
      </x:c>
      <x:c r="S416" s="37" t="n">
        <x:f>IF(AND(N416="Approved",T416="OK"),D416,0)</x:f>
        <x:v>0</x:v>
      </x:c>
      <x:c r="T416" s="42" t="str">
        <x:f>IF(A416="","",IF(COUNTIFS($A$6:$A$505,A416)&lt;&gt;1,"Duplicate ID",IF(OR(NOT(ISNUMBER(B416)),D416&lt;=0,NOT(ISNUMBER(D416)),I416="",J416="",L416=""),"Missing date/amount/ref/details",IF(OR(COUNTIFS('Accounts'!$A$6:$A$105,Q416)&lt;&gt;1,COUNTIFS('Accounts'!$A$6:$A$105,R416)&lt;&gt;1,Q416=R416),"Check accounts/event",IF(AND(OR(Q416="Trade payables",R416="Trade payables",Q416="Customer receivables",R416="Customer receivables",Q416="Courier receivables",R416="Courier receivables",Q416="Supplier advances",R416="Supplier advances"),H416=""),"Contact ID required",IF(AND(N416="Approved",OR(M416="",M416=L416)),"Independent review needed",IF(OR(N416="Draft",N416="Approved",N416="Void"),"OK","Status required")))))))</x:f>
      </x:c>
    </x:row>
    <x:row r="417" ht="23" customHeight="1">
      <x:c r="A417" s="36"/>
      <x:c r="B417" s="40"/>
      <x:c r="C417" s="36"/>
      <x:c r="D417" s="41"/>
      <x:c r="E417" s="36"/>
      <x:c r="F417" s="36"/>
      <x:c r="G417" s="36"/>
      <x:c r="H417" s="36"/>
      <x:c r="I417" s="36"/>
      <x:c r="J417" s="36"/>
      <x:c r="K417" s="36"/>
      <x:c r="L417" s="36"/>
      <x:c r="M417" s="36"/>
      <x:c r="N417" s="36"/>
      <x:c r="O417" s="42" t="str">
        <x:f>IF(A417="","",IF(COUNTIFS('Event Guide'!$A$6:$A$29,C417)=1,VLOOKUP(C417,'Event Guide'!$A$6:$C$29,2,FALSE),"Unknown event"))</x:f>
      </x:c>
      <x:c r="P417" s="42" t="str">
        <x:f>IF(A417="","",IF(COUNTIFS('Event Guide'!$A$6:$A$29,C417)=1,VLOOKUP(C417,'Event Guide'!$A$6:$C$29,3,FALSE),"Unknown event"))</x:f>
      </x:c>
      <x:c r="Q417" s="42" t="str">
        <x:f>IF(A417="","",IF(O417="PAY",E417,IF(O417="OTHER",F417,IF(O417="CAPITAL","Capital - "&amp;G417,IF(O417="DUE","Due to - "&amp;G417,IF(O417="DRAW","Drawings - "&amp;G417,O417))))))</x:f>
      </x:c>
      <x:c r="R417" s="42" t="str">
        <x:f>IF(A417="","",IF(P417="PAY",E417,IF(P417="OTHER",F417,IF(P417="CAPITAL","Capital - "&amp;G417,IF(P417="DUE","Due to - "&amp;G417,IF(P417="DRAW","Drawings - "&amp;G417,P417))))))</x:f>
      </x:c>
      <x:c r="S417" s="37" t="n">
        <x:f>IF(AND(N417="Approved",T417="OK"),D417,0)</x:f>
        <x:v>0</x:v>
      </x:c>
      <x:c r="T417" s="42" t="str">
        <x:f>IF(A417="","",IF(COUNTIFS($A$6:$A$505,A417)&lt;&gt;1,"Duplicate ID",IF(OR(NOT(ISNUMBER(B417)),D417&lt;=0,NOT(ISNUMBER(D417)),I417="",J417="",L417=""),"Missing date/amount/ref/details",IF(OR(COUNTIFS('Accounts'!$A$6:$A$105,Q417)&lt;&gt;1,COUNTIFS('Accounts'!$A$6:$A$105,R417)&lt;&gt;1,Q417=R417),"Check accounts/event",IF(AND(OR(Q417="Trade payables",R417="Trade payables",Q417="Customer receivables",R417="Customer receivables",Q417="Courier receivables",R417="Courier receivables",Q417="Supplier advances",R417="Supplier advances"),H417=""),"Contact ID required",IF(AND(N417="Approved",OR(M417="",M417=L417)),"Independent review needed",IF(OR(N417="Draft",N417="Approved",N417="Void"),"OK","Status required")))))))</x:f>
      </x:c>
    </x:row>
    <x:row r="418" ht="23" customHeight="1">
      <x:c r="A418" s="36"/>
      <x:c r="B418" s="40"/>
      <x:c r="C418" s="36"/>
      <x:c r="D418" s="41"/>
      <x:c r="E418" s="36"/>
      <x:c r="F418" s="36"/>
      <x:c r="G418" s="36"/>
      <x:c r="H418" s="36"/>
      <x:c r="I418" s="36"/>
      <x:c r="J418" s="36"/>
      <x:c r="K418" s="36"/>
      <x:c r="L418" s="36"/>
      <x:c r="M418" s="36"/>
      <x:c r="N418" s="36"/>
      <x:c r="O418" s="42" t="str">
        <x:f>IF(A418="","",IF(COUNTIFS('Event Guide'!$A$6:$A$29,C418)=1,VLOOKUP(C418,'Event Guide'!$A$6:$C$29,2,FALSE),"Unknown event"))</x:f>
      </x:c>
      <x:c r="P418" s="42" t="str">
        <x:f>IF(A418="","",IF(COUNTIFS('Event Guide'!$A$6:$A$29,C418)=1,VLOOKUP(C418,'Event Guide'!$A$6:$C$29,3,FALSE),"Unknown event"))</x:f>
      </x:c>
      <x:c r="Q418" s="42" t="str">
        <x:f>IF(A418="","",IF(O418="PAY",E418,IF(O418="OTHER",F418,IF(O418="CAPITAL","Capital - "&amp;G418,IF(O418="DUE","Due to - "&amp;G418,IF(O418="DRAW","Drawings - "&amp;G418,O418))))))</x:f>
      </x:c>
      <x:c r="R418" s="42" t="str">
        <x:f>IF(A418="","",IF(P418="PAY",E418,IF(P418="OTHER",F418,IF(P418="CAPITAL","Capital - "&amp;G418,IF(P418="DUE","Due to - "&amp;G418,IF(P418="DRAW","Drawings - "&amp;G418,P418))))))</x:f>
      </x:c>
      <x:c r="S418" s="37" t="n">
        <x:f>IF(AND(N418="Approved",T418="OK"),D418,0)</x:f>
        <x:v>0</x:v>
      </x:c>
      <x:c r="T418" s="42" t="str">
        <x:f>IF(A418="","",IF(COUNTIFS($A$6:$A$505,A418)&lt;&gt;1,"Duplicate ID",IF(OR(NOT(ISNUMBER(B418)),D418&lt;=0,NOT(ISNUMBER(D418)),I418="",J418="",L418=""),"Missing date/amount/ref/details",IF(OR(COUNTIFS('Accounts'!$A$6:$A$105,Q418)&lt;&gt;1,COUNTIFS('Accounts'!$A$6:$A$105,R418)&lt;&gt;1,Q418=R418),"Check accounts/event",IF(AND(OR(Q418="Trade payables",R418="Trade payables",Q418="Customer receivables",R418="Customer receivables",Q418="Courier receivables",R418="Courier receivables",Q418="Supplier advances",R418="Supplier advances"),H418=""),"Contact ID required",IF(AND(N418="Approved",OR(M418="",M418=L418)),"Independent review needed",IF(OR(N418="Draft",N418="Approved",N418="Void"),"OK","Status required")))))))</x:f>
      </x:c>
    </x:row>
    <x:row r="419" ht="23" customHeight="1">
      <x:c r="A419" s="36"/>
      <x:c r="B419" s="40"/>
      <x:c r="C419" s="36"/>
      <x:c r="D419" s="41"/>
      <x:c r="E419" s="36"/>
      <x:c r="F419" s="36"/>
      <x:c r="G419" s="36"/>
      <x:c r="H419" s="36"/>
      <x:c r="I419" s="36"/>
      <x:c r="J419" s="36"/>
      <x:c r="K419" s="36"/>
      <x:c r="L419" s="36"/>
      <x:c r="M419" s="36"/>
      <x:c r="N419" s="36"/>
      <x:c r="O419" s="42" t="str">
        <x:f>IF(A419="","",IF(COUNTIFS('Event Guide'!$A$6:$A$29,C419)=1,VLOOKUP(C419,'Event Guide'!$A$6:$C$29,2,FALSE),"Unknown event"))</x:f>
      </x:c>
      <x:c r="P419" s="42" t="str">
        <x:f>IF(A419="","",IF(COUNTIFS('Event Guide'!$A$6:$A$29,C419)=1,VLOOKUP(C419,'Event Guide'!$A$6:$C$29,3,FALSE),"Unknown event"))</x:f>
      </x:c>
      <x:c r="Q419" s="42" t="str">
        <x:f>IF(A419="","",IF(O419="PAY",E419,IF(O419="OTHER",F419,IF(O419="CAPITAL","Capital - "&amp;G419,IF(O419="DUE","Due to - "&amp;G419,IF(O419="DRAW","Drawings - "&amp;G419,O419))))))</x:f>
      </x:c>
      <x:c r="R419" s="42" t="str">
        <x:f>IF(A419="","",IF(P419="PAY",E419,IF(P419="OTHER",F419,IF(P419="CAPITAL","Capital - "&amp;G419,IF(P419="DUE","Due to - "&amp;G419,IF(P419="DRAW","Drawings - "&amp;G419,P419))))))</x:f>
      </x:c>
      <x:c r="S419" s="37" t="n">
        <x:f>IF(AND(N419="Approved",T419="OK"),D419,0)</x:f>
        <x:v>0</x:v>
      </x:c>
      <x:c r="T419" s="42" t="str">
        <x:f>IF(A419="","",IF(COUNTIFS($A$6:$A$505,A419)&lt;&gt;1,"Duplicate ID",IF(OR(NOT(ISNUMBER(B419)),D419&lt;=0,NOT(ISNUMBER(D419)),I419="",J419="",L419=""),"Missing date/amount/ref/details",IF(OR(COUNTIFS('Accounts'!$A$6:$A$105,Q419)&lt;&gt;1,COUNTIFS('Accounts'!$A$6:$A$105,R419)&lt;&gt;1,Q419=R419),"Check accounts/event",IF(AND(OR(Q419="Trade payables",R419="Trade payables",Q419="Customer receivables",R419="Customer receivables",Q419="Courier receivables",R419="Courier receivables",Q419="Supplier advances",R419="Supplier advances"),H419=""),"Contact ID required",IF(AND(N419="Approved",OR(M419="",M419=L419)),"Independent review needed",IF(OR(N419="Draft",N419="Approved",N419="Void"),"OK","Status required")))))))</x:f>
      </x:c>
    </x:row>
    <x:row r="420" ht="23" customHeight="1">
      <x:c r="A420" s="36"/>
      <x:c r="B420" s="40"/>
      <x:c r="C420" s="36"/>
      <x:c r="D420" s="41"/>
      <x:c r="E420" s="36"/>
      <x:c r="F420" s="36"/>
      <x:c r="G420" s="36"/>
      <x:c r="H420" s="36"/>
      <x:c r="I420" s="36"/>
      <x:c r="J420" s="36"/>
      <x:c r="K420" s="36"/>
      <x:c r="L420" s="36"/>
      <x:c r="M420" s="36"/>
      <x:c r="N420" s="36"/>
      <x:c r="O420" s="42" t="str">
        <x:f>IF(A420="","",IF(COUNTIFS('Event Guide'!$A$6:$A$29,C420)=1,VLOOKUP(C420,'Event Guide'!$A$6:$C$29,2,FALSE),"Unknown event"))</x:f>
      </x:c>
      <x:c r="P420" s="42" t="str">
        <x:f>IF(A420="","",IF(COUNTIFS('Event Guide'!$A$6:$A$29,C420)=1,VLOOKUP(C420,'Event Guide'!$A$6:$C$29,3,FALSE),"Unknown event"))</x:f>
      </x:c>
      <x:c r="Q420" s="42" t="str">
        <x:f>IF(A420="","",IF(O420="PAY",E420,IF(O420="OTHER",F420,IF(O420="CAPITAL","Capital - "&amp;G420,IF(O420="DUE","Due to - "&amp;G420,IF(O420="DRAW","Drawings - "&amp;G420,O420))))))</x:f>
      </x:c>
      <x:c r="R420" s="42" t="str">
        <x:f>IF(A420="","",IF(P420="PAY",E420,IF(P420="OTHER",F420,IF(P420="CAPITAL","Capital - "&amp;G420,IF(P420="DUE","Due to - "&amp;G420,IF(P420="DRAW","Drawings - "&amp;G420,P420))))))</x:f>
      </x:c>
      <x:c r="S420" s="37" t="n">
        <x:f>IF(AND(N420="Approved",T420="OK"),D420,0)</x:f>
        <x:v>0</x:v>
      </x:c>
      <x:c r="T420" s="42" t="str">
        <x:f>IF(A420="","",IF(COUNTIFS($A$6:$A$505,A420)&lt;&gt;1,"Duplicate ID",IF(OR(NOT(ISNUMBER(B420)),D420&lt;=0,NOT(ISNUMBER(D420)),I420="",J420="",L420=""),"Missing date/amount/ref/details",IF(OR(COUNTIFS('Accounts'!$A$6:$A$105,Q420)&lt;&gt;1,COUNTIFS('Accounts'!$A$6:$A$105,R420)&lt;&gt;1,Q420=R420),"Check accounts/event",IF(AND(OR(Q420="Trade payables",R420="Trade payables",Q420="Customer receivables",R420="Customer receivables",Q420="Courier receivables",R420="Courier receivables",Q420="Supplier advances",R420="Supplier advances"),H420=""),"Contact ID required",IF(AND(N420="Approved",OR(M420="",M420=L420)),"Independent review needed",IF(OR(N420="Draft",N420="Approved",N420="Void"),"OK","Status required")))))))</x:f>
      </x:c>
    </x:row>
    <x:row r="421" ht="23" customHeight="1">
      <x:c r="A421" s="36"/>
      <x:c r="B421" s="40"/>
      <x:c r="C421" s="36"/>
      <x:c r="D421" s="41"/>
      <x:c r="E421" s="36"/>
      <x:c r="F421" s="36"/>
      <x:c r="G421" s="36"/>
      <x:c r="H421" s="36"/>
      <x:c r="I421" s="36"/>
      <x:c r="J421" s="36"/>
      <x:c r="K421" s="36"/>
      <x:c r="L421" s="36"/>
      <x:c r="M421" s="36"/>
      <x:c r="N421" s="36"/>
      <x:c r="O421" s="42" t="str">
        <x:f>IF(A421="","",IF(COUNTIFS('Event Guide'!$A$6:$A$29,C421)=1,VLOOKUP(C421,'Event Guide'!$A$6:$C$29,2,FALSE),"Unknown event"))</x:f>
      </x:c>
      <x:c r="P421" s="42" t="str">
        <x:f>IF(A421="","",IF(COUNTIFS('Event Guide'!$A$6:$A$29,C421)=1,VLOOKUP(C421,'Event Guide'!$A$6:$C$29,3,FALSE),"Unknown event"))</x:f>
      </x:c>
      <x:c r="Q421" s="42" t="str">
        <x:f>IF(A421="","",IF(O421="PAY",E421,IF(O421="OTHER",F421,IF(O421="CAPITAL","Capital - "&amp;G421,IF(O421="DUE","Due to - "&amp;G421,IF(O421="DRAW","Drawings - "&amp;G421,O421))))))</x:f>
      </x:c>
      <x:c r="R421" s="42" t="str">
        <x:f>IF(A421="","",IF(P421="PAY",E421,IF(P421="OTHER",F421,IF(P421="CAPITAL","Capital - "&amp;G421,IF(P421="DUE","Due to - "&amp;G421,IF(P421="DRAW","Drawings - "&amp;G421,P421))))))</x:f>
      </x:c>
      <x:c r="S421" s="37" t="n">
        <x:f>IF(AND(N421="Approved",T421="OK"),D421,0)</x:f>
        <x:v>0</x:v>
      </x:c>
      <x:c r="T421" s="42" t="str">
        <x:f>IF(A421="","",IF(COUNTIFS($A$6:$A$505,A421)&lt;&gt;1,"Duplicate ID",IF(OR(NOT(ISNUMBER(B421)),D421&lt;=0,NOT(ISNUMBER(D421)),I421="",J421="",L421=""),"Missing date/amount/ref/details",IF(OR(COUNTIFS('Accounts'!$A$6:$A$105,Q421)&lt;&gt;1,COUNTIFS('Accounts'!$A$6:$A$105,R421)&lt;&gt;1,Q421=R421),"Check accounts/event",IF(AND(OR(Q421="Trade payables",R421="Trade payables",Q421="Customer receivables",R421="Customer receivables",Q421="Courier receivables",R421="Courier receivables",Q421="Supplier advances",R421="Supplier advances"),H421=""),"Contact ID required",IF(AND(N421="Approved",OR(M421="",M421=L421)),"Independent review needed",IF(OR(N421="Draft",N421="Approved",N421="Void"),"OK","Status required")))))))</x:f>
      </x:c>
    </x:row>
    <x:row r="422" ht="23" customHeight="1">
      <x:c r="A422" s="36"/>
      <x:c r="B422" s="40"/>
      <x:c r="C422" s="36"/>
      <x:c r="D422" s="41"/>
      <x:c r="E422" s="36"/>
      <x:c r="F422" s="36"/>
      <x:c r="G422" s="36"/>
      <x:c r="H422" s="36"/>
      <x:c r="I422" s="36"/>
      <x:c r="J422" s="36"/>
      <x:c r="K422" s="36"/>
      <x:c r="L422" s="36"/>
      <x:c r="M422" s="36"/>
      <x:c r="N422" s="36"/>
      <x:c r="O422" s="42" t="str">
        <x:f>IF(A422="","",IF(COUNTIFS('Event Guide'!$A$6:$A$29,C422)=1,VLOOKUP(C422,'Event Guide'!$A$6:$C$29,2,FALSE),"Unknown event"))</x:f>
      </x:c>
      <x:c r="P422" s="42" t="str">
        <x:f>IF(A422="","",IF(COUNTIFS('Event Guide'!$A$6:$A$29,C422)=1,VLOOKUP(C422,'Event Guide'!$A$6:$C$29,3,FALSE),"Unknown event"))</x:f>
      </x:c>
      <x:c r="Q422" s="42" t="str">
        <x:f>IF(A422="","",IF(O422="PAY",E422,IF(O422="OTHER",F422,IF(O422="CAPITAL","Capital - "&amp;G422,IF(O422="DUE","Due to - "&amp;G422,IF(O422="DRAW","Drawings - "&amp;G422,O422))))))</x:f>
      </x:c>
      <x:c r="R422" s="42" t="str">
        <x:f>IF(A422="","",IF(P422="PAY",E422,IF(P422="OTHER",F422,IF(P422="CAPITAL","Capital - "&amp;G422,IF(P422="DUE","Due to - "&amp;G422,IF(P422="DRAW","Drawings - "&amp;G422,P422))))))</x:f>
      </x:c>
      <x:c r="S422" s="37" t="n">
        <x:f>IF(AND(N422="Approved",T422="OK"),D422,0)</x:f>
        <x:v>0</x:v>
      </x:c>
      <x:c r="T422" s="42" t="str">
        <x:f>IF(A422="","",IF(COUNTIFS($A$6:$A$505,A422)&lt;&gt;1,"Duplicate ID",IF(OR(NOT(ISNUMBER(B422)),D422&lt;=0,NOT(ISNUMBER(D422)),I422="",J422="",L422=""),"Missing date/amount/ref/details",IF(OR(COUNTIFS('Accounts'!$A$6:$A$105,Q422)&lt;&gt;1,COUNTIFS('Accounts'!$A$6:$A$105,R422)&lt;&gt;1,Q422=R422),"Check accounts/event",IF(AND(OR(Q422="Trade payables",R422="Trade payables",Q422="Customer receivables",R422="Customer receivables",Q422="Courier receivables",R422="Courier receivables",Q422="Supplier advances",R422="Supplier advances"),H422=""),"Contact ID required",IF(AND(N422="Approved",OR(M422="",M422=L422)),"Independent review needed",IF(OR(N422="Draft",N422="Approved",N422="Void"),"OK","Status required")))))))</x:f>
      </x:c>
    </x:row>
    <x:row r="423" ht="23" customHeight="1">
      <x:c r="A423" s="36"/>
      <x:c r="B423" s="40"/>
      <x:c r="C423" s="36"/>
      <x:c r="D423" s="41"/>
      <x:c r="E423" s="36"/>
      <x:c r="F423" s="36"/>
      <x:c r="G423" s="36"/>
      <x:c r="H423" s="36"/>
      <x:c r="I423" s="36"/>
      <x:c r="J423" s="36"/>
      <x:c r="K423" s="36"/>
      <x:c r="L423" s="36"/>
      <x:c r="M423" s="36"/>
      <x:c r="N423" s="36"/>
      <x:c r="O423" s="42" t="str">
        <x:f>IF(A423="","",IF(COUNTIFS('Event Guide'!$A$6:$A$29,C423)=1,VLOOKUP(C423,'Event Guide'!$A$6:$C$29,2,FALSE),"Unknown event"))</x:f>
      </x:c>
      <x:c r="P423" s="42" t="str">
        <x:f>IF(A423="","",IF(COUNTIFS('Event Guide'!$A$6:$A$29,C423)=1,VLOOKUP(C423,'Event Guide'!$A$6:$C$29,3,FALSE),"Unknown event"))</x:f>
      </x:c>
      <x:c r="Q423" s="42" t="str">
        <x:f>IF(A423="","",IF(O423="PAY",E423,IF(O423="OTHER",F423,IF(O423="CAPITAL","Capital - "&amp;G423,IF(O423="DUE","Due to - "&amp;G423,IF(O423="DRAW","Drawings - "&amp;G423,O423))))))</x:f>
      </x:c>
      <x:c r="R423" s="42" t="str">
        <x:f>IF(A423="","",IF(P423="PAY",E423,IF(P423="OTHER",F423,IF(P423="CAPITAL","Capital - "&amp;G423,IF(P423="DUE","Due to - "&amp;G423,IF(P423="DRAW","Drawings - "&amp;G423,P423))))))</x:f>
      </x:c>
      <x:c r="S423" s="37" t="n">
        <x:f>IF(AND(N423="Approved",T423="OK"),D423,0)</x:f>
        <x:v>0</x:v>
      </x:c>
      <x:c r="T423" s="42" t="str">
        <x:f>IF(A423="","",IF(COUNTIFS($A$6:$A$505,A423)&lt;&gt;1,"Duplicate ID",IF(OR(NOT(ISNUMBER(B423)),D423&lt;=0,NOT(ISNUMBER(D423)),I423="",J423="",L423=""),"Missing date/amount/ref/details",IF(OR(COUNTIFS('Accounts'!$A$6:$A$105,Q423)&lt;&gt;1,COUNTIFS('Accounts'!$A$6:$A$105,R423)&lt;&gt;1,Q423=R423),"Check accounts/event",IF(AND(OR(Q423="Trade payables",R423="Trade payables",Q423="Customer receivables",R423="Customer receivables",Q423="Courier receivables",R423="Courier receivables",Q423="Supplier advances",R423="Supplier advances"),H423=""),"Contact ID required",IF(AND(N423="Approved",OR(M423="",M423=L423)),"Independent review needed",IF(OR(N423="Draft",N423="Approved",N423="Void"),"OK","Status required")))))))</x:f>
      </x:c>
    </x:row>
    <x:row r="424" ht="23" customHeight="1">
      <x:c r="A424" s="36"/>
      <x:c r="B424" s="40"/>
      <x:c r="C424" s="36"/>
      <x:c r="D424" s="41"/>
      <x:c r="E424" s="36"/>
      <x:c r="F424" s="36"/>
      <x:c r="G424" s="36"/>
      <x:c r="H424" s="36"/>
      <x:c r="I424" s="36"/>
      <x:c r="J424" s="36"/>
      <x:c r="K424" s="36"/>
      <x:c r="L424" s="36"/>
      <x:c r="M424" s="36"/>
      <x:c r="N424" s="36"/>
      <x:c r="O424" s="42" t="str">
        <x:f>IF(A424="","",IF(COUNTIFS('Event Guide'!$A$6:$A$29,C424)=1,VLOOKUP(C424,'Event Guide'!$A$6:$C$29,2,FALSE),"Unknown event"))</x:f>
      </x:c>
      <x:c r="P424" s="42" t="str">
        <x:f>IF(A424="","",IF(COUNTIFS('Event Guide'!$A$6:$A$29,C424)=1,VLOOKUP(C424,'Event Guide'!$A$6:$C$29,3,FALSE),"Unknown event"))</x:f>
      </x:c>
      <x:c r="Q424" s="42" t="str">
        <x:f>IF(A424="","",IF(O424="PAY",E424,IF(O424="OTHER",F424,IF(O424="CAPITAL","Capital - "&amp;G424,IF(O424="DUE","Due to - "&amp;G424,IF(O424="DRAW","Drawings - "&amp;G424,O424))))))</x:f>
      </x:c>
      <x:c r="R424" s="42" t="str">
        <x:f>IF(A424="","",IF(P424="PAY",E424,IF(P424="OTHER",F424,IF(P424="CAPITAL","Capital - "&amp;G424,IF(P424="DUE","Due to - "&amp;G424,IF(P424="DRAW","Drawings - "&amp;G424,P424))))))</x:f>
      </x:c>
      <x:c r="S424" s="37" t="n">
        <x:f>IF(AND(N424="Approved",T424="OK"),D424,0)</x:f>
        <x:v>0</x:v>
      </x:c>
      <x:c r="T424" s="42" t="str">
        <x:f>IF(A424="","",IF(COUNTIFS($A$6:$A$505,A424)&lt;&gt;1,"Duplicate ID",IF(OR(NOT(ISNUMBER(B424)),D424&lt;=0,NOT(ISNUMBER(D424)),I424="",J424="",L424=""),"Missing date/amount/ref/details",IF(OR(COUNTIFS('Accounts'!$A$6:$A$105,Q424)&lt;&gt;1,COUNTIFS('Accounts'!$A$6:$A$105,R424)&lt;&gt;1,Q424=R424),"Check accounts/event",IF(AND(OR(Q424="Trade payables",R424="Trade payables",Q424="Customer receivables",R424="Customer receivables",Q424="Courier receivables",R424="Courier receivables",Q424="Supplier advances",R424="Supplier advances"),H424=""),"Contact ID required",IF(AND(N424="Approved",OR(M424="",M424=L424)),"Independent review needed",IF(OR(N424="Draft",N424="Approved",N424="Void"),"OK","Status required")))))))</x:f>
      </x:c>
    </x:row>
    <x:row r="425" ht="23" customHeight="1">
      <x:c r="A425" s="36"/>
      <x:c r="B425" s="40"/>
      <x:c r="C425" s="36"/>
      <x:c r="D425" s="41"/>
      <x:c r="E425" s="36"/>
      <x:c r="F425" s="36"/>
      <x:c r="G425" s="36"/>
      <x:c r="H425" s="36"/>
      <x:c r="I425" s="36"/>
      <x:c r="J425" s="36"/>
      <x:c r="K425" s="36"/>
      <x:c r="L425" s="36"/>
      <x:c r="M425" s="36"/>
      <x:c r="N425" s="36"/>
      <x:c r="O425" s="42" t="str">
        <x:f>IF(A425="","",IF(COUNTIFS('Event Guide'!$A$6:$A$29,C425)=1,VLOOKUP(C425,'Event Guide'!$A$6:$C$29,2,FALSE),"Unknown event"))</x:f>
      </x:c>
      <x:c r="P425" s="42" t="str">
        <x:f>IF(A425="","",IF(COUNTIFS('Event Guide'!$A$6:$A$29,C425)=1,VLOOKUP(C425,'Event Guide'!$A$6:$C$29,3,FALSE),"Unknown event"))</x:f>
      </x:c>
      <x:c r="Q425" s="42" t="str">
        <x:f>IF(A425="","",IF(O425="PAY",E425,IF(O425="OTHER",F425,IF(O425="CAPITAL","Capital - "&amp;G425,IF(O425="DUE","Due to - "&amp;G425,IF(O425="DRAW","Drawings - "&amp;G425,O425))))))</x:f>
      </x:c>
      <x:c r="R425" s="42" t="str">
        <x:f>IF(A425="","",IF(P425="PAY",E425,IF(P425="OTHER",F425,IF(P425="CAPITAL","Capital - "&amp;G425,IF(P425="DUE","Due to - "&amp;G425,IF(P425="DRAW","Drawings - "&amp;G425,P425))))))</x:f>
      </x:c>
      <x:c r="S425" s="37" t="n">
        <x:f>IF(AND(N425="Approved",T425="OK"),D425,0)</x:f>
        <x:v>0</x:v>
      </x:c>
      <x:c r="T425" s="42" t="str">
        <x:f>IF(A425="","",IF(COUNTIFS($A$6:$A$505,A425)&lt;&gt;1,"Duplicate ID",IF(OR(NOT(ISNUMBER(B425)),D425&lt;=0,NOT(ISNUMBER(D425)),I425="",J425="",L425=""),"Missing date/amount/ref/details",IF(OR(COUNTIFS('Accounts'!$A$6:$A$105,Q425)&lt;&gt;1,COUNTIFS('Accounts'!$A$6:$A$105,R425)&lt;&gt;1,Q425=R425),"Check accounts/event",IF(AND(OR(Q425="Trade payables",R425="Trade payables",Q425="Customer receivables",R425="Customer receivables",Q425="Courier receivables",R425="Courier receivables",Q425="Supplier advances",R425="Supplier advances"),H425=""),"Contact ID required",IF(AND(N425="Approved",OR(M425="",M425=L425)),"Independent review needed",IF(OR(N425="Draft",N425="Approved",N425="Void"),"OK","Status required")))))))</x:f>
      </x:c>
    </x:row>
    <x:row r="426" ht="23" customHeight="1">
      <x:c r="A426" s="36"/>
      <x:c r="B426" s="40"/>
      <x:c r="C426" s="36"/>
      <x:c r="D426" s="41"/>
      <x:c r="E426" s="36"/>
      <x:c r="F426" s="36"/>
      <x:c r="G426" s="36"/>
      <x:c r="H426" s="36"/>
      <x:c r="I426" s="36"/>
      <x:c r="J426" s="36"/>
      <x:c r="K426" s="36"/>
      <x:c r="L426" s="36"/>
      <x:c r="M426" s="36"/>
      <x:c r="N426" s="36"/>
      <x:c r="O426" s="42" t="str">
        <x:f>IF(A426="","",IF(COUNTIFS('Event Guide'!$A$6:$A$29,C426)=1,VLOOKUP(C426,'Event Guide'!$A$6:$C$29,2,FALSE),"Unknown event"))</x:f>
      </x:c>
      <x:c r="P426" s="42" t="str">
        <x:f>IF(A426="","",IF(COUNTIFS('Event Guide'!$A$6:$A$29,C426)=1,VLOOKUP(C426,'Event Guide'!$A$6:$C$29,3,FALSE),"Unknown event"))</x:f>
      </x:c>
      <x:c r="Q426" s="42" t="str">
        <x:f>IF(A426="","",IF(O426="PAY",E426,IF(O426="OTHER",F426,IF(O426="CAPITAL","Capital - "&amp;G426,IF(O426="DUE","Due to - "&amp;G426,IF(O426="DRAW","Drawings - "&amp;G426,O426))))))</x:f>
      </x:c>
      <x:c r="R426" s="42" t="str">
        <x:f>IF(A426="","",IF(P426="PAY",E426,IF(P426="OTHER",F426,IF(P426="CAPITAL","Capital - "&amp;G426,IF(P426="DUE","Due to - "&amp;G426,IF(P426="DRAW","Drawings - "&amp;G426,P426))))))</x:f>
      </x:c>
      <x:c r="S426" s="37" t="n">
        <x:f>IF(AND(N426="Approved",T426="OK"),D426,0)</x:f>
        <x:v>0</x:v>
      </x:c>
      <x:c r="T426" s="42" t="str">
        <x:f>IF(A426="","",IF(COUNTIFS($A$6:$A$505,A426)&lt;&gt;1,"Duplicate ID",IF(OR(NOT(ISNUMBER(B426)),D426&lt;=0,NOT(ISNUMBER(D426)),I426="",J426="",L426=""),"Missing date/amount/ref/details",IF(OR(COUNTIFS('Accounts'!$A$6:$A$105,Q426)&lt;&gt;1,COUNTIFS('Accounts'!$A$6:$A$105,R426)&lt;&gt;1,Q426=R426),"Check accounts/event",IF(AND(OR(Q426="Trade payables",R426="Trade payables",Q426="Customer receivables",R426="Customer receivables",Q426="Courier receivables",R426="Courier receivables",Q426="Supplier advances",R426="Supplier advances"),H426=""),"Contact ID required",IF(AND(N426="Approved",OR(M426="",M426=L426)),"Independent review needed",IF(OR(N426="Draft",N426="Approved",N426="Void"),"OK","Status required")))))))</x:f>
      </x:c>
    </x:row>
    <x:row r="427" ht="23" customHeight="1">
      <x:c r="A427" s="36"/>
      <x:c r="B427" s="40"/>
      <x:c r="C427" s="36"/>
      <x:c r="D427" s="41"/>
      <x:c r="E427" s="36"/>
      <x:c r="F427" s="36"/>
      <x:c r="G427" s="36"/>
      <x:c r="H427" s="36"/>
      <x:c r="I427" s="36"/>
      <x:c r="J427" s="36"/>
      <x:c r="K427" s="36"/>
      <x:c r="L427" s="36"/>
      <x:c r="M427" s="36"/>
      <x:c r="N427" s="36"/>
      <x:c r="O427" s="42" t="str">
        <x:f>IF(A427="","",IF(COUNTIFS('Event Guide'!$A$6:$A$29,C427)=1,VLOOKUP(C427,'Event Guide'!$A$6:$C$29,2,FALSE),"Unknown event"))</x:f>
      </x:c>
      <x:c r="P427" s="42" t="str">
        <x:f>IF(A427="","",IF(COUNTIFS('Event Guide'!$A$6:$A$29,C427)=1,VLOOKUP(C427,'Event Guide'!$A$6:$C$29,3,FALSE),"Unknown event"))</x:f>
      </x:c>
      <x:c r="Q427" s="42" t="str">
        <x:f>IF(A427="","",IF(O427="PAY",E427,IF(O427="OTHER",F427,IF(O427="CAPITAL","Capital - "&amp;G427,IF(O427="DUE","Due to - "&amp;G427,IF(O427="DRAW","Drawings - "&amp;G427,O427))))))</x:f>
      </x:c>
      <x:c r="R427" s="42" t="str">
        <x:f>IF(A427="","",IF(P427="PAY",E427,IF(P427="OTHER",F427,IF(P427="CAPITAL","Capital - "&amp;G427,IF(P427="DUE","Due to - "&amp;G427,IF(P427="DRAW","Drawings - "&amp;G427,P427))))))</x:f>
      </x:c>
      <x:c r="S427" s="37" t="n">
        <x:f>IF(AND(N427="Approved",T427="OK"),D427,0)</x:f>
        <x:v>0</x:v>
      </x:c>
      <x:c r="T427" s="42" t="str">
        <x:f>IF(A427="","",IF(COUNTIFS($A$6:$A$505,A427)&lt;&gt;1,"Duplicate ID",IF(OR(NOT(ISNUMBER(B427)),D427&lt;=0,NOT(ISNUMBER(D427)),I427="",J427="",L427=""),"Missing date/amount/ref/details",IF(OR(COUNTIFS('Accounts'!$A$6:$A$105,Q427)&lt;&gt;1,COUNTIFS('Accounts'!$A$6:$A$105,R427)&lt;&gt;1,Q427=R427),"Check accounts/event",IF(AND(OR(Q427="Trade payables",R427="Trade payables",Q427="Customer receivables",R427="Customer receivables",Q427="Courier receivables",R427="Courier receivables",Q427="Supplier advances",R427="Supplier advances"),H427=""),"Contact ID required",IF(AND(N427="Approved",OR(M427="",M427=L427)),"Independent review needed",IF(OR(N427="Draft",N427="Approved",N427="Void"),"OK","Status required")))))))</x:f>
      </x:c>
    </x:row>
    <x:row r="428" ht="23" customHeight="1">
      <x:c r="A428" s="36"/>
      <x:c r="B428" s="40"/>
      <x:c r="C428" s="36"/>
      <x:c r="D428" s="41"/>
      <x:c r="E428" s="36"/>
      <x:c r="F428" s="36"/>
      <x:c r="G428" s="36"/>
      <x:c r="H428" s="36"/>
      <x:c r="I428" s="36"/>
      <x:c r="J428" s="36"/>
      <x:c r="K428" s="36"/>
      <x:c r="L428" s="36"/>
      <x:c r="M428" s="36"/>
      <x:c r="N428" s="36"/>
      <x:c r="O428" s="42" t="str">
        <x:f>IF(A428="","",IF(COUNTIFS('Event Guide'!$A$6:$A$29,C428)=1,VLOOKUP(C428,'Event Guide'!$A$6:$C$29,2,FALSE),"Unknown event"))</x:f>
      </x:c>
      <x:c r="P428" s="42" t="str">
        <x:f>IF(A428="","",IF(COUNTIFS('Event Guide'!$A$6:$A$29,C428)=1,VLOOKUP(C428,'Event Guide'!$A$6:$C$29,3,FALSE),"Unknown event"))</x:f>
      </x:c>
      <x:c r="Q428" s="42" t="str">
        <x:f>IF(A428="","",IF(O428="PAY",E428,IF(O428="OTHER",F428,IF(O428="CAPITAL","Capital - "&amp;G428,IF(O428="DUE","Due to - "&amp;G428,IF(O428="DRAW","Drawings - "&amp;G428,O428))))))</x:f>
      </x:c>
      <x:c r="R428" s="42" t="str">
        <x:f>IF(A428="","",IF(P428="PAY",E428,IF(P428="OTHER",F428,IF(P428="CAPITAL","Capital - "&amp;G428,IF(P428="DUE","Due to - "&amp;G428,IF(P428="DRAW","Drawings - "&amp;G428,P428))))))</x:f>
      </x:c>
      <x:c r="S428" s="37" t="n">
        <x:f>IF(AND(N428="Approved",T428="OK"),D428,0)</x:f>
        <x:v>0</x:v>
      </x:c>
      <x:c r="T428" s="42" t="str">
        <x:f>IF(A428="","",IF(COUNTIFS($A$6:$A$505,A428)&lt;&gt;1,"Duplicate ID",IF(OR(NOT(ISNUMBER(B428)),D428&lt;=0,NOT(ISNUMBER(D428)),I428="",J428="",L428=""),"Missing date/amount/ref/details",IF(OR(COUNTIFS('Accounts'!$A$6:$A$105,Q428)&lt;&gt;1,COUNTIFS('Accounts'!$A$6:$A$105,R428)&lt;&gt;1,Q428=R428),"Check accounts/event",IF(AND(OR(Q428="Trade payables",R428="Trade payables",Q428="Customer receivables",R428="Customer receivables",Q428="Courier receivables",R428="Courier receivables",Q428="Supplier advances",R428="Supplier advances"),H428=""),"Contact ID required",IF(AND(N428="Approved",OR(M428="",M428=L428)),"Independent review needed",IF(OR(N428="Draft",N428="Approved",N428="Void"),"OK","Status required")))))))</x:f>
      </x:c>
    </x:row>
    <x:row r="429" ht="23" customHeight="1">
      <x:c r="A429" s="36"/>
      <x:c r="B429" s="40"/>
      <x:c r="C429" s="36"/>
      <x:c r="D429" s="41"/>
      <x:c r="E429" s="36"/>
      <x:c r="F429" s="36"/>
      <x:c r="G429" s="36"/>
      <x:c r="H429" s="36"/>
      <x:c r="I429" s="36"/>
      <x:c r="J429" s="36"/>
      <x:c r="K429" s="36"/>
      <x:c r="L429" s="36"/>
      <x:c r="M429" s="36"/>
      <x:c r="N429" s="36"/>
      <x:c r="O429" s="42" t="str">
        <x:f>IF(A429="","",IF(COUNTIFS('Event Guide'!$A$6:$A$29,C429)=1,VLOOKUP(C429,'Event Guide'!$A$6:$C$29,2,FALSE),"Unknown event"))</x:f>
      </x:c>
      <x:c r="P429" s="42" t="str">
        <x:f>IF(A429="","",IF(COUNTIFS('Event Guide'!$A$6:$A$29,C429)=1,VLOOKUP(C429,'Event Guide'!$A$6:$C$29,3,FALSE),"Unknown event"))</x:f>
      </x:c>
      <x:c r="Q429" s="42" t="str">
        <x:f>IF(A429="","",IF(O429="PAY",E429,IF(O429="OTHER",F429,IF(O429="CAPITAL","Capital - "&amp;G429,IF(O429="DUE","Due to - "&amp;G429,IF(O429="DRAW","Drawings - "&amp;G429,O429))))))</x:f>
      </x:c>
      <x:c r="R429" s="42" t="str">
        <x:f>IF(A429="","",IF(P429="PAY",E429,IF(P429="OTHER",F429,IF(P429="CAPITAL","Capital - "&amp;G429,IF(P429="DUE","Due to - "&amp;G429,IF(P429="DRAW","Drawings - "&amp;G429,P429))))))</x:f>
      </x:c>
      <x:c r="S429" s="37" t="n">
        <x:f>IF(AND(N429="Approved",T429="OK"),D429,0)</x:f>
        <x:v>0</x:v>
      </x:c>
      <x:c r="T429" s="42" t="str">
        <x:f>IF(A429="","",IF(COUNTIFS($A$6:$A$505,A429)&lt;&gt;1,"Duplicate ID",IF(OR(NOT(ISNUMBER(B429)),D429&lt;=0,NOT(ISNUMBER(D429)),I429="",J429="",L429=""),"Missing date/amount/ref/details",IF(OR(COUNTIFS('Accounts'!$A$6:$A$105,Q429)&lt;&gt;1,COUNTIFS('Accounts'!$A$6:$A$105,R429)&lt;&gt;1,Q429=R429),"Check accounts/event",IF(AND(OR(Q429="Trade payables",R429="Trade payables",Q429="Customer receivables",R429="Customer receivables",Q429="Courier receivables",R429="Courier receivables",Q429="Supplier advances",R429="Supplier advances"),H429=""),"Contact ID required",IF(AND(N429="Approved",OR(M429="",M429=L429)),"Independent review needed",IF(OR(N429="Draft",N429="Approved",N429="Void"),"OK","Status required")))))))</x:f>
      </x:c>
    </x:row>
    <x:row r="430" ht="23" customHeight="1">
      <x:c r="A430" s="36"/>
      <x:c r="B430" s="40"/>
      <x:c r="C430" s="36"/>
      <x:c r="D430" s="41"/>
      <x:c r="E430" s="36"/>
      <x:c r="F430" s="36"/>
      <x:c r="G430" s="36"/>
      <x:c r="H430" s="36"/>
      <x:c r="I430" s="36"/>
      <x:c r="J430" s="36"/>
      <x:c r="K430" s="36"/>
      <x:c r="L430" s="36"/>
      <x:c r="M430" s="36"/>
      <x:c r="N430" s="36"/>
      <x:c r="O430" s="42" t="str">
        <x:f>IF(A430="","",IF(COUNTIFS('Event Guide'!$A$6:$A$29,C430)=1,VLOOKUP(C430,'Event Guide'!$A$6:$C$29,2,FALSE),"Unknown event"))</x:f>
      </x:c>
      <x:c r="P430" s="42" t="str">
        <x:f>IF(A430="","",IF(COUNTIFS('Event Guide'!$A$6:$A$29,C430)=1,VLOOKUP(C430,'Event Guide'!$A$6:$C$29,3,FALSE),"Unknown event"))</x:f>
      </x:c>
      <x:c r="Q430" s="42" t="str">
        <x:f>IF(A430="","",IF(O430="PAY",E430,IF(O430="OTHER",F430,IF(O430="CAPITAL","Capital - "&amp;G430,IF(O430="DUE","Due to - "&amp;G430,IF(O430="DRAW","Drawings - "&amp;G430,O430))))))</x:f>
      </x:c>
      <x:c r="R430" s="42" t="str">
        <x:f>IF(A430="","",IF(P430="PAY",E430,IF(P430="OTHER",F430,IF(P430="CAPITAL","Capital - "&amp;G430,IF(P430="DUE","Due to - "&amp;G430,IF(P430="DRAW","Drawings - "&amp;G430,P430))))))</x:f>
      </x:c>
      <x:c r="S430" s="37" t="n">
        <x:f>IF(AND(N430="Approved",T430="OK"),D430,0)</x:f>
        <x:v>0</x:v>
      </x:c>
      <x:c r="T430" s="42" t="str">
        <x:f>IF(A430="","",IF(COUNTIFS($A$6:$A$505,A430)&lt;&gt;1,"Duplicate ID",IF(OR(NOT(ISNUMBER(B430)),D430&lt;=0,NOT(ISNUMBER(D430)),I430="",J430="",L430=""),"Missing date/amount/ref/details",IF(OR(COUNTIFS('Accounts'!$A$6:$A$105,Q430)&lt;&gt;1,COUNTIFS('Accounts'!$A$6:$A$105,R430)&lt;&gt;1,Q430=R430),"Check accounts/event",IF(AND(OR(Q430="Trade payables",R430="Trade payables",Q430="Customer receivables",R430="Customer receivables",Q430="Courier receivables",R430="Courier receivables",Q430="Supplier advances",R430="Supplier advances"),H430=""),"Contact ID required",IF(AND(N430="Approved",OR(M430="",M430=L430)),"Independent review needed",IF(OR(N430="Draft",N430="Approved",N430="Void"),"OK","Status required")))))))</x:f>
      </x:c>
    </x:row>
    <x:row r="431" ht="23" customHeight="1">
      <x:c r="A431" s="36"/>
      <x:c r="B431" s="40"/>
      <x:c r="C431" s="36"/>
      <x:c r="D431" s="41"/>
      <x:c r="E431" s="36"/>
      <x:c r="F431" s="36"/>
      <x:c r="G431" s="36"/>
      <x:c r="H431" s="36"/>
      <x:c r="I431" s="36"/>
      <x:c r="J431" s="36"/>
      <x:c r="K431" s="36"/>
      <x:c r="L431" s="36"/>
      <x:c r="M431" s="36"/>
      <x:c r="N431" s="36"/>
      <x:c r="O431" s="42" t="str">
        <x:f>IF(A431="","",IF(COUNTIFS('Event Guide'!$A$6:$A$29,C431)=1,VLOOKUP(C431,'Event Guide'!$A$6:$C$29,2,FALSE),"Unknown event"))</x:f>
      </x:c>
      <x:c r="P431" s="42" t="str">
        <x:f>IF(A431="","",IF(COUNTIFS('Event Guide'!$A$6:$A$29,C431)=1,VLOOKUP(C431,'Event Guide'!$A$6:$C$29,3,FALSE),"Unknown event"))</x:f>
      </x:c>
      <x:c r="Q431" s="42" t="str">
        <x:f>IF(A431="","",IF(O431="PAY",E431,IF(O431="OTHER",F431,IF(O431="CAPITAL","Capital - "&amp;G431,IF(O431="DUE","Due to - "&amp;G431,IF(O431="DRAW","Drawings - "&amp;G431,O431))))))</x:f>
      </x:c>
      <x:c r="R431" s="42" t="str">
        <x:f>IF(A431="","",IF(P431="PAY",E431,IF(P431="OTHER",F431,IF(P431="CAPITAL","Capital - "&amp;G431,IF(P431="DUE","Due to - "&amp;G431,IF(P431="DRAW","Drawings - "&amp;G431,P431))))))</x:f>
      </x:c>
      <x:c r="S431" s="37" t="n">
        <x:f>IF(AND(N431="Approved",T431="OK"),D431,0)</x:f>
        <x:v>0</x:v>
      </x:c>
      <x:c r="T431" s="42" t="str">
        <x:f>IF(A431="","",IF(COUNTIFS($A$6:$A$505,A431)&lt;&gt;1,"Duplicate ID",IF(OR(NOT(ISNUMBER(B431)),D431&lt;=0,NOT(ISNUMBER(D431)),I431="",J431="",L431=""),"Missing date/amount/ref/details",IF(OR(COUNTIFS('Accounts'!$A$6:$A$105,Q431)&lt;&gt;1,COUNTIFS('Accounts'!$A$6:$A$105,R431)&lt;&gt;1,Q431=R431),"Check accounts/event",IF(AND(OR(Q431="Trade payables",R431="Trade payables",Q431="Customer receivables",R431="Customer receivables",Q431="Courier receivables",R431="Courier receivables",Q431="Supplier advances",R431="Supplier advances"),H431=""),"Contact ID required",IF(AND(N431="Approved",OR(M431="",M431=L431)),"Independent review needed",IF(OR(N431="Draft",N431="Approved",N431="Void"),"OK","Status required")))))))</x:f>
      </x:c>
    </x:row>
    <x:row r="432" ht="23" customHeight="1">
      <x:c r="A432" s="36"/>
      <x:c r="B432" s="40"/>
      <x:c r="C432" s="36"/>
      <x:c r="D432" s="41"/>
      <x:c r="E432" s="36"/>
      <x:c r="F432" s="36"/>
      <x:c r="G432" s="36"/>
      <x:c r="H432" s="36"/>
      <x:c r="I432" s="36"/>
      <x:c r="J432" s="36"/>
      <x:c r="K432" s="36"/>
      <x:c r="L432" s="36"/>
      <x:c r="M432" s="36"/>
      <x:c r="N432" s="36"/>
      <x:c r="O432" s="42" t="str">
        <x:f>IF(A432="","",IF(COUNTIFS('Event Guide'!$A$6:$A$29,C432)=1,VLOOKUP(C432,'Event Guide'!$A$6:$C$29,2,FALSE),"Unknown event"))</x:f>
      </x:c>
      <x:c r="P432" s="42" t="str">
        <x:f>IF(A432="","",IF(COUNTIFS('Event Guide'!$A$6:$A$29,C432)=1,VLOOKUP(C432,'Event Guide'!$A$6:$C$29,3,FALSE),"Unknown event"))</x:f>
      </x:c>
      <x:c r="Q432" s="42" t="str">
        <x:f>IF(A432="","",IF(O432="PAY",E432,IF(O432="OTHER",F432,IF(O432="CAPITAL","Capital - "&amp;G432,IF(O432="DUE","Due to - "&amp;G432,IF(O432="DRAW","Drawings - "&amp;G432,O432))))))</x:f>
      </x:c>
      <x:c r="R432" s="42" t="str">
        <x:f>IF(A432="","",IF(P432="PAY",E432,IF(P432="OTHER",F432,IF(P432="CAPITAL","Capital - "&amp;G432,IF(P432="DUE","Due to - "&amp;G432,IF(P432="DRAW","Drawings - "&amp;G432,P432))))))</x:f>
      </x:c>
      <x:c r="S432" s="37" t="n">
        <x:f>IF(AND(N432="Approved",T432="OK"),D432,0)</x:f>
        <x:v>0</x:v>
      </x:c>
      <x:c r="T432" s="42" t="str">
        <x:f>IF(A432="","",IF(COUNTIFS($A$6:$A$505,A432)&lt;&gt;1,"Duplicate ID",IF(OR(NOT(ISNUMBER(B432)),D432&lt;=0,NOT(ISNUMBER(D432)),I432="",J432="",L432=""),"Missing date/amount/ref/details",IF(OR(COUNTIFS('Accounts'!$A$6:$A$105,Q432)&lt;&gt;1,COUNTIFS('Accounts'!$A$6:$A$105,R432)&lt;&gt;1,Q432=R432),"Check accounts/event",IF(AND(OR(Q432="Trade payables",R432="Trade payables",Q432="Customer receivables",R432="Customer receivables",Q432="Courier receivables",R432="Courier receivables",Q432="Supplier advances",R432="Supplier advances"),H432=""),"Contact ID required",IF(AND(N432="Approved",OR(M432="",M432=L432)),"Independent review needed",IF(OR(N432="Draft",N432="Approved",N432="Void"),"OK","Status required")))))))</x:f>
      </x:c>
    </x:row>
    <x:row r="433" ht="23" customHeight="1">
      <x:c r="A433" s="36"/>
      <x:c r="B433" s="40"/>
      <x:c r="C433" s="36"/>
      <x:c r="D433" s="41"/>
      <x:c r="E433" s="36"/>
      <x:c r="F433" s="36"/>
      <x:c r="G433" s="36"/>
      <x:c r="H433" s="36"/>
      <x:c r="I433" s="36"/>
      <x:c r="J433" s="36"/>
      <x:c r="K433" s="36"/>
      <x:c r="L433" s="36"/>
      <x:c r="M433" s="36"/>
      <x:c r="N433" s="36"/>
      <x:c r="O433" s="42" t="str">
        <x:f>IF(A433="","",IF(COUNTIFS('Event Guide'!$A$6:$A$29,C433)=1,VLOOKUP(C433,'Event Guide'!$A$6:$C$29,2,FALSE),"Unknown event"))</x:f>
      </x:c>
      <x:c r="P433" s="42" t="str">
        <x:f>IF(A433="","",IF(COUNTIFS('Event Guide'!$A$6:$A$29,C433)=1,VLOOKUP(C433,'Event Guide'!$A$6:$C$29,3,FALSE),"Unknown event"))</x:f>
      </x:c>
      <x:c r="Q433" s="42" t="str">
        <x:f>IF(A433="","",IF(O433="PAY",E433,IF(O433="OTHER",F433,IF(O433="CAPITAL","Capital - "&amp;G433,IF(O433="DUE","Due to - "&amp;G433,IF(O433="DRAW","Drawings - "&amp;G433,O433))))))</x:f>
      </x:c>
      <x:c r="R433" s="42" t="str">
        <x:f>IF(A433="","",IF(P433="PAY",E433,IF(P433="OTHER",F433,IF(P433="CAPITAL","Capital - "&amp;G433,IF(P433="DUE","Due to - "&amp;G433,IF(P433="DRAW","Drawings - "&amp;G433,P433))))))</x:f>
      </x:c>
      <x:c r="S433" s="37" t="n">
        <x:f>IF(AND(N433="Approved",T433="OK"),D433,0)</x:f>
        <x:v>0</x:v>
      </x:c>
      <x:c r="T433" s="42" t="str">
        <x:f>IF(A433="","",IF(COUNTIFS($A$6:$A$505,A433)&lt;&gt;1,"Duplicate ID",IF(OR(NOT(ISNUMBER(B433)),D433&lt;=0,NOT(ISNUMBER(D433)),I433="",J433="",L433=""),"Missing date/amount/ref/details",IF(OR(COUNTIFS('Accounts'!$A$6:$A$105,Q433)&lt;&gt;1,COUNTIFS('Accounts'!$A$6:$A$105,R433)&lt;&gt;1,Q433=R433),"Check accounts/event",IF(AND(OR(Q433="Trade payables",R433="Trade payables",Q433="Customer receivables",R433="Customer receivables",Q433="Courier receivables",R433="Courier receivables",Q433="Supplier advances",R433="Supplier advances"),H433=""),"Contact ID required",IF(AND(N433="Approved",OR(M433="",M433=L433)),"Independent review needed",IF(OR(N433="Draft",N433="Approved",N433="Void"),"OK","Status required")))))))</x:f>
      </x:c>
    </x:row>
    <x:row r="434" ht="23" customHeight="1">
      <x:c r="A434" s="36"/>
      <x:c r="B434" s="40"/>
      <x:c r="C434" s="36"/>
      <x:c r="D434" s="41"/>
      <x:c r="E434" s="36"/>
      <x:c r="F434" s="36"/>
      <x:c r="G434" s="36"/>
      <x:c r="H434" s="36"/>
      <x:c r="I434" s="36"/>
      <x:c r="J434" s="36"/>
      <x:c r="K434" s="36"/>
      <x:c r="L434" s="36"/>
      <x:c r="M434" s="36"/>
      <x:c r="N434" s="36"/>
      <x:c r="O434" s="42" t="str">
        <x:f>IF(A434="","",IF(COUNTIFS('Event Guide'!$A$6:$A$29,C434)=1,VLOOKUP(C434,'Event Guide'!$A$6:$C$29,2,FALSE),"Unknown event"))</x:f>
      </x:c>
      <x:c r="P434" s="42" t="str">
        <x:f>IF(A434="","",IF(COUNTIFS('Event Guide'!$A$6:$A$29,C434)=1,VLOOKUP(C434,'Event Guide'!$A$6:$C$29,3,FALSE),"Unknown event"))</x:f>
      </x:c>
      <x:c r="Q434" s="42" t="str">
        <x:f>IF(A434="","",IF(O434="PAY",E434,IF(O434="OTHER",F434,IF(O434="CAPITAL","Capital - "&amp;G434,IF(O434="DUE","Due to - "&amp;G434,IF(O434="DRAW","Drawings - "&amp;G434,O434))))))</x:f>
      </x:c>
      <x:c r="R434" s="42" t="str">
        <x:f>IF(A434="","",IF(P434="PAY",E434,IF(P434="OTHER",F434,IF(P434="CAPITAL","Capital - "&amp;G434,IF(P434="DUE","Due to - "&amp;G434,IF(P434="DRAW","Drawings - "&amp;G434,P434))))))</x:f>
      </x:c>
      <x:c r="S434" s="37" t="n">
        <x:f>IF(AND(N434="Approved",T434="OK"),D434,0)</x:f>
        <x:v>0</x:v>
      </x:c>
      <x:c r="T434" s="42" t="str">
        <x:f>IF(A434="","",IF(COUNTIFS($A$6:$A$505,A434)&lt;&gt;1,"Duplicate ID",IF(OR(NOT(ISNUMBER(B434)),D434&lt;=0,NOT(ISNUMBER(D434)),I434="",J434="",L434=""),"Missing date/amount/ref/details",IF(OR(COUNTIFS('Accounts'!$A$6:$A$105,Q434)&lt;&gt;1,COUNTIFS('Accounts'!$A$6:$A$105,R434)&lt;&gt;1,Q434=R434),"Check accounts/event",IF(AND(OR(Q434="Trade payables",R434="Trade payables",Q434="Customer receivables",R434="Customer receivables",Q434="Courier receivables",R434="Courier receivables",Q434="Supplier advances",R434="Supplier advances"),H434=""),"Contact ID required",IF(AND(N434="Approved",OR(M434="",M434=L434)),"Independent review needed",IF(OR(N434="Draft",N434="Approved",N434="Void"),"OK","Status required")))))))</x:f>
      </x:c>
    </x:row>
    <x:row r="435" ht="23" customHeight="1">
      <x:c r="A435" s="36"/>
      <x:c r="B435" s="40"/>
      <x:c r="C435" s="36"/>
      <x:c r="D435" s="41"/>
      <x:c r="E435" s="36"/>
      <x:c r="F435" s="36"/>
      <x:c r="G435" s="36"/>
      <x:c r="H435" s="36"/>
      <x:c r="I435" s="36"/>
      <x:c r="J435" s="36"/>
      <x:c r="K435" s="36"/>
      <x:c r="L435" s="36"/>
      <x:c r="M435" s="36"/>
      <x:c r="N435" s="36"/>
      <x:c r="O435" s="42" t="str">
        <x:f>IF(A435="","",IF(COUNTIFS('Event Guide'!$A$6:$A$29,C435)=1,VLOOKUP(C435,'Event Guide'!$A$6:$C$29,2,FALSE),"Unknown event"))</x:f>
      </x:c>
      <x:c r="P435" s="42" t="str">
        <x:f>IF(A435="","",IF(COUNTIFS('Event Guide'!$A$6:$A$29,C435)=1,VLOOKUP(C435,'Event Guide'!$A$6:$C$29,3,FALSE),"Unknown event"))</x:f>
      </x:c>
      <x:c r="Q435" s="42" t="str">
        <x:f>IF(A435="","",IF(O435="PAY",E435,IF(O435="OTHER",F435,IF(O435="CAPITAL","Capital - "&amp;G435,IF(O435="DUE","Due to - "&amp;G435,IF(O435="DRAW","Drawings - "&amp;G435,O435))))))</x:f>
      </x:c>
      <x:c r="R435" s="42" t="str">
        <x:f>IF(A435="","",IF(P435="PAY",E435,IF(P435="OTHER",F435,IF(P435="CAPITAL","Capital - "&amp;G435,IF(P435="DUE","Due to - "&amp;G435,IF(P435="DRAW","Drawings - "&amp;G435,P435))))))</x:f>
      </x:c>
      <x:c r="S435" s="37" t="n">
        <x:f>IF(AND(N435="Approved",T435="OK"),D435,0)</x:f>
        <x:v>0</x:v>
      </x:c>
      <x:c r="T435" s="42" t="str">
        <x:f>IF(A435="","",IF(COUNTIFS($A$6:$A$505,A435)&lt;&gt;1,"Duplicate ID",IF(OR(NOT(ISNUMBER(B435)),D435&lt;=0,NOT(ISNUMBER(D435)),I435="",J435="",L435=""),"Missing date/amount/ref/details",IF(OR(COUNTIFS('Accounts'!$A$6:$A$105,Q435)&lt;&gt;1,COUNTIFS('Accounts'!$A$6:$A$105,R435)&lt;&gt;1,Q435=R435),"Check accounts/event",IF(AND(OR(Q435="Trade payables",R435="Trade payables",Q435="Customer receivables",R435="Customer receivables",Q435="Courier receivables",R435="Courier receivables",Q435="Supplier advances",R435="Supplier advances"),H435=""),"Contact ID required",IF(AND(N435="Approved",OR(M435="",M435=L435)),"Independent review needed",IF(OR(N435="Draft",N435="Approved",N435="Void"),"OK","Status required")))))))</x:f>
      </x:c>
    </x:row>
    <x:row r="436" ht="23" customHeight="1">
      <x:c r="A436" s="36"/>
      <x:c r="B436" s="40"/>
      <x:c r="C436" s="36"/>
      <x:c r="D436" s="41"/>
      <x:c r="E436" s="36"/>
      <x:c r="F436" s="36"/>
      <x:c r="G436" s="36"/>
      <x:c r="H436" s="36"/>
      <x:c r="I436" s="36"/>
      <x:c r="J436" s="36"/>
      <x:c r="K436" s="36"/>
      <x:c r="L436" s="36"/>
      <x:c r="M436" s="36"/>
      <x:c r="N436" s="36"/>
      <x:c r="O436" s="42" t="str">
        <x:f>IF(A436="","",IF(COUNTIFS('Event Guide'!$A$6:$A$29,C436)=1,VLOOKUP(C436,'Event Guide'!$A$6:$C$29,2,FALSE),"Unknown event"))</x:f>
      </x:c>
      <x:c r="P436" s="42" t="str">
        <x:f>IF(A436="","",IF(COUNTIFS('Event Guide'!$A$6:$A$29,C436)=1,VLOOKUP(C436,'Event Guide'!$A$6:$C$29,3,FALSE),"Unknown event"))</x:f>
      </x:c>
      <x:c r="Q436" s="42" t="str">
        <x:f>IF(A436="","",IF(O436="PAY",E436,IF(O436="OTHER",F436,IF(O436="CAPITAL","Capital - "&amp;G436,IF(O436="DUE","Due to - "&amp;G436,IF(O436="DRAW","Drawings - "&amp;G436,O436))))))</x:f>
      </x:c>
      <x:c r="R436" s="42" t="str">
        <x:f>IF(A436="","",IF(P436="PAY",E436,IF(P436="OTHER",F436,IF(P436="CAPITAL","Capital - "&amp;G436,IF(P436="DUE","Due to - "&amp;G436,IF(P436="DRAW","Drawings - "&amp;G436,P436))))))</x:f>
      </x:c>
      <x:c r="S436" s="37" t="n">
        <x:f>IF(AND(N436="Approved",T436="OK"),D436,0)</x:f>
        <x:v>0</x:v>
      </x:c>
      <x:c r="T436" s="42" t="str">
        <x:f>IF(A436="","",IF(COUNTIFS($A$6:$A$505,A436)&lt;&gt;1,"Duplicate ID",IF(OR(NOT(ISNUMBER(B436)),D436&lt;=0,NOT(ISNUMBER(D436)),I436="",J436="",L436=""),"Missing date/amount/ref/details",IF(OR(COUNTIFS('Accounts'!$A$6:$A$105,Q436)&lt;&gt;1,COUNTIFS('Accounts'!$A$6:$A$105,R436)&lt;&gt;1,Q436=R436),"Check accounts/event",IF(AND(OR(Q436="Trade payables",R436="Trade payables",Q436="Customer receivables",R436="Customer receivables",Q436="Courier receivables",R436="Courier receivables",Q436="Supplier advances",R436="Supplier advances"),H436=""),"Contact ID required",IF(AND(N436="Approved",OR(M436="",M436=L436)),"Independent review needed",IF(OR(N436="Draft",N436="Approved",N436="Void"),"OK","Status required")))))))</x:f>
      </x:c>
    </x:row>
    <x:row r="437" ht="23" customHeight="1">
      <x:c r="A437" s="36"/>
      <x:c r="B437" s="40"/>
      <x:c r="C437" s="36"/>
      <x:c r="D437" s="41"/>
      <x:c r="E437" s="36"/>
      <x:c r="F437" s="36"/>
      <x:c r="G437" s="36"/>
      <x:c r="H437" s="36"/>
      <x:c r="I437" s="36"/>
      <x:c r="J437" s="36"/>
      <x:c r="K437" s="36"/>
      <x:c r="L437" s="36"/>
      <x:c r="M437" s="36"/>
      <x:c r="N437" s="36"/>
      <x:c r="O437" s="42" t="str">
        <x:f>IF(A437="","",IF(COUNTIFS('Event Guide'!$A$6:$A$29,C437)=1,VLOOKUP(C437,'Event Guide'!$A$6:$C$29,2,FALSE),"Unknown event"))</x:f>
      </x:c>
      <x:c r="P437" s="42" t="str">
        <x:f>IF(A437="","",IF(COUNTIFS('Event Guide'!$A$6:$A$29,C437)=1,VLOOKUP(C437,'Event Guide'!$A$6:$C$29,3,FALSE),"Unknown event"))</x:f>
      </x:c>
      <x:c r="Q437" s="42" t="str">
        <x:f>IF(A437="","",IF(O437="PAY",E437,IF(O437="OTHER",F437,IF(O437="CAPITAL","Capital - "&amp;G437,IF(O437="DUE","Due to - "&amp;G437,IF(O437="DRAW","Drawings - "&amp;G437,O437))))))</x:f>
      </x:c>
      <x:c r="R437" s="42" t="str">
        <x:f>IF(A437="","",IF(P437="PAY",E437,IF(P437="OTHER",F437,IF(P437="CAPITAL","Capital - "&amp;G437,IF(P437="DUE","Due to - "&amp;G437,IF(P437="DRAW","Drawings - "&amp;G437,P437))))))</x:f>
      </x:c>
      <x:c r="S437" s="37" t="n">
        <x:f>IF(AND(N437="Approved",T437="OK"),D437,0)</x:f>
        <x:v>0</x:v>
      </x:c>
      <x:c r="T437" s="42" t="str">
        <x:f>IF(A437="","",IF(COUNTIFS($A$6:$A$505,A437)&lt;&gt;1,"Duplicate ID",IF(OR(NOT(ISNUMBER(B437)),D437&lt;=0,NOT(ISNUMBER(D437)),I437="",J437="",L437=""),"Missing date/amount/ref/details",IF(OR(COUNTIFS('Accounts'!$A$6:$A$105,Q437)&lt;&gt;1,COUNTIFS('Accounts'!$A$6:$A$105,R437)&lt;&gt;1,Q437=R437),"Check accounts/event",IF(AND(OR(Q437="Trade payables",R437="Trade payables",Q437="Customer receivables",R437="Customer receivables",Q437="Courier receivables",R437="Courier receivables",Q437="Supplier advances",R437="Supplier advances"),H437=""),"Contact ID required",IF(AND(N437="Approved",OR(M437="",M437=L437)),"Independent review needed",IF(OR(N437="Draft",N437="Approved",N437="Void"),"OK","Status required")))))))</x:f>
      </x:c>
    </x:row>
    <x:row r="438" ht="23" customHeight="1">
      <x:c r="A438" s="36"/>
      <x:c r="B438" s="40"/>
      <x:c r="C438" s="36"/>
      <x:c r="D438" s="41"/>
      <x:c r="E438" s="36"/>
      <x:c r="F438" s="36"/>
      <x:c r="G438" s="36"/>
      <x:c r="H438" s="36"/>
      <x:c r="I438" s="36"/>
      <x:c r="J438" s="36"/>
      <x:c r="K438" s="36"/>
      <x:c r="L438" s="36"/>
      <x:c r="M438" s="36"/>
      <x:c r="N438" s="36"/>
      <x:c r="O438" s="42" t="str">
        <x:f>IF(A438="","",IF(COUNTIFS('Event Guide'!$A$6:$A$29,C438)=1,VLOOKUP(C438,'Event Guide'!$A$6:$C$29,2,FALSE),"Unknown event"))</x:f>
      </x:c>
      <x:c r="P438" s="42" t="str">
        <x:f>IF(A438="","",IF(COUNTIFS('Event Guide'!$A$6:$A$29,C438)=1,VLOOKUP(C438,'Event Guide'!$A$6:$C$29,3,FALSE),"Unknown event"))</x:f>
      </x:c>
      <x:c r="Q438" s="42" t="str">
        <x:f>IF(A438="","",IF(O438="PAY",E438,IF(O438="OTHER",F438,IF(O438="CAPITAL","Capital - "&amp;G438,IF(O438="DUE","Due to - "&amp;G438,IF(O438="DRAW","Drawings - "&amp;G438,O438))))))</x:f>
      </x:c>
      <x:c r="R438" s="42" t="str">
        <x:f>IF(A438="","",IF(P438="PAY",E438,IF(P438="OTHER",F438,IF(P438="CAPITAL","Capital - "&amp;G438,IF(P438="DUE","Due to - "&amp;G438,IF(P438="DRAW","Drawings - "&amp;G438,P438))))))</x:f>
      </x:c>
      <x:c r="S438" s="37" t="n">
        <x:f>IF(AND(N438="Approved",T438="OK"),D438,0)</x:f>
        <x:v>0</x:v>
      </x:c>
      <x:c r="T438" s="42" t="str">
        <x:f>IF(A438="","",IF(COUNTIFS($A$6:$A$505,A438)&lt;&gt;1,"Duplicate ID",IF(OR(NOT(ISNUMBER(B438)),D438&lt;=0,NOT(ISNUMBER(D438)),I438="",J438="",L438=""),"Missing date/amount/ref/details",IF(OR(COUNTIFS('Accounts'!$A$6:$A$105,Q438)&lt;&gt;1,COUNTIFS('Accounts'!$A$6:$A$105,R438)&lt;&gt;1,Q438=R438),"Check accounts/event",IF(AND(OR(Q438="Trade payables",R438="Trade payables",Q438="Customer receivables",R438="Customer receivables",Q438="Courier receivables",R438="Courier receivables",Q438="Supplier advances",R438="Supplier advances"),H438=""),"Contact ID required",IF(AND(N438="Approved",OR(M438="",M438=L438)),"Independent review needed",IF(OR(N438="Draft",N438="Approved",N438="Void"),"OK","Status required")))))))</x:f>
      </x:c>
    </x:row>
    <x:row r="439" ht="23" customHeight="1">
      <x:c r="A439" s="36"/>
      <x:c r="B439" s="40"/>
      <x:c r="C439" s="36"/>
      <x:c r="D439" s="41"/>
      <x:c r="E439" s="36"/>
      <x:c r="F439" s="36"/>
      <x:c r="G439" s="36"/>
      <x:c r="H439" s="36"/>
      <x:c r="I439" s="36"/>
      <x:c r="J439" s="36"/>
      <x:c r="K439" s="36"/>
      <x:c r="L439" s="36"/>
      <x:c r="M439" s="36"/>
      <x:c r="N439" s="36"/>
      <x:c r="O439" s="42" t="str">
        <x:f>IF(A439="","",IF(COUNTIFS('Event Guide'!$A$6:$A$29,C439)=1,VLOOKUP(C439,'Event Guide'!$A$6:$C$29,2,FALSE),"Unknown event"))</x:f>
      </x:c>
      <x:c r="P439" s="42" t="str">
        <x:f>IF(A439="","",IF(COUNTIFS('Event Guide'!$A$6:$A$29,C439)=1,VLOOKUP(C439,'Event Guide'!$A$6:$C$29,3,FALSE),"Unknown event"))</x:f>
      </x:c>
      <x:c r="Q439" s="42" t="str">
        <x:f>IF(A439="","",IF(O439="PAY",E439,IF(O439="OTHER",F439,IF(O439="CAPITAL","Capital - "&amp;G439,IF(O439="DUE","Due to - "&amp;G439,IF(O439="DRAW","Drawings - "&amp;G439,O439))))))</x:f>
      </x:c>
      <x:c r="R439" s="42" t="str">
        <x:f>IF(A439="","",IF(P439="PAY",E439,IF(P439="OTHER",F439,IF(P439="CAPITAL","Capital - "&amp;G439,IF(P439="DUE","Due to - "&amp;G439,IF(P439="DRAW","Drawings - "&amp;G439,P439))))))</x:f>
      </x:c>
      <x:c r="S439" s="37" t="n">
        <x:f>IF(AND(N439="Approved",T439="OK"),D439,0)</x:f>
        <x:v>0</x:v>
      </x:c>
      <x:c r="T439" s="42" t="str">
        <x:f>IF(A439="","",IF(COUNTIFS($A$6:$A$505,A439)&lt;&gt;1,"Duplicate ID",IF(OR(NOT(ISNUMBER(B439)),D439&lt;=0,NOT(ISNUMBER(D439)),I439="",J439="",L439=""),"Missing date/amount/ref/details",IF(OR(COUNTIFS('Accounts'!$A$6:$A$105,Q439)&lt;&gt;1,COUNTIFS('Accounts'!$A$6:$A$105,R439)&lt;&gt;1,Q439=R439),"Check accounts/event",IF(AND(OR(Q439="Trade payables",R439="Trade payables",Q439="Customer receivables",R439="Customer receivables",Q439="Courier receivables",R439="Courier receivables",Q439="Supplier advances",R439="Supplier advances"),H439=""),"Contact ID required",IF(AND(N439="Approved",OR(M439="",M439=L439)),"Independent review needed",IF(OR(N439="Draft",N439="Approved",N439="Void"),"OK","Status required")))))))</x:f>
      </x:c>
    </x:row>
    <x:row r="440" ht="23" customHeight="1">
      <x:c r="A440" s="36"/>
      <x:c r="B440" s="40"/>
      <x:c r="C440" s="36"/>
      <x:c r="D440" s="41"/>
      <x:c r="E440" s="36"/>
      <x:c r="F440" s="36"/>
      <x:c r="G440" s="36"/>
      <x:c r="H440" s="36"/>
      <x:c r="I440" s="36"/>
      <x:c r="J440" s="36"/>
      <x:c r="K440" s="36"/>
      <x:c r="L440" s="36"/>
      <x:c r="M440" s="36"/>
      <x:c r="N440" s="36"/>
      <x:c r="O440" s="42" t="str">
        <x:f>IF(A440="","",IF(COUNTIFS('Event Guide'!$A$6:$A$29,C440)=1,VLOOKUP(C440,'Event Guide'!$A$6:$C$29,2,FALSE),"Unknown event"))</x:f>
      </x:c>
      <x:c r="P440" s="42" t="str">
        <x:f>IF(A440="","",IF(COUNTIFS('Event Guide'!$A$6:$A$29,C440)=1,VLOOKUP(C440,'Event Guide'!$A$6:$C$29,3,FALSE),"Unknown event"))</x:f>
      </x:c>
      <x:c r="Q440" s="42" t="str">
        <x:f>IF(A440="","",IF(O440="PAY",E440,IF(O440="OTHER",F440,IF(O440="CAPITAL","Capital - "&amp;G440,IF(O440="DUE","Due to - "&amp;G440,IF(O440="DRAW","Drawings - "&amp;G440,O440))))))</x:f>
      </x:c>
      <x:c r="R440" s="42" t="str">
        <x:f>IF(A440="","",IF(P440="PAY",E440,IF(P440="OTHER",F440,IF(P440="CAPITAL","Capital - "&amp;G440,IF(P440="DUE","Due to - "&amp;G440,IF(P440="DRAW","Drawings - "&amp;G440,P440))))))</x:f>
      </x:c>
      <x:c r="S440" s="37" t="n">
        <x:f>IF(AND(N440="Approved",T440="OK"),D440,0)</x:f>
        <x:v>0</x:v>
      </x:c>
      <x:c r="T440" s="42" t="str">
        <x:f>IF(A440="","",IF(COUNTIFS($A$6:$A$505,A440)&lt;&gt;1,"Duplicate ID",IF(OR(NOT(ISNUMBER(B440)),D440&lt;=0,NOT(ISNUMBER(D440)),I440="",J440="",L440=""),"Missing date/amount/ref/details",IF(OR(COUNTIFS('Accounts'!$A$6:$A$105,Q440)&lt;&gt;1,COUNTIFS('Accounts'!$A$6:$A$105,R440)&lt;&gt;1,Q440=R440),"Check accounts/event",IF(AND(OR(Q440="Trade payables",R440="Trade payables",Q440="Customer receivables",R440="Customer receivables",Q440="Courier receivables",R440="Courier receivables",Q440="Supplier advances",R440="Supplier advances"),H440=""),"Contact ID required",IF(AND(N440="Approved",OR(M440="",M440=L440)),"Independent review needed",IF(OR(N440="Draft",N440="Approved",N440="Void"),"OK","Status required")))))))</x:f>
      </x:c>
    </x:row>
    <x:row r="441" ht="23" customHeight="1">
      <x:c r="A441" s="36"/>
      <x:c r="B441" s="40"/>
      <x:c r="C441" s="36"/>
      <x:c r="D441" s="41"/>
      <x:c r="E441" s="36"/>
      <x:c r="F441" s="36"/>
      <x:c r="G441" s="36"/>
      <x:c r="H441" s="36"/>
      <x:c r="I441" s="36"/>
      <x:c r="J441" s="36"/>
      <x:c r="K441" s="36"/>
      <x:c r="L441" s="36"/>
      <x:c r="M441" s="36"/>
      <x:c r="N441" s="36"/>
      <x:c r="O441" s="42" t="str">
        <x:f>IF(A441="","",IF(COUNTIFS('Event Guide'!$A$6:$A$29,C441)=1,VLOOKUP(C441,'Event Guide'!$A$6:$C$29,2,FALSE),"Unknown event"))</x:f>
      </x:c>
      <x:c r="P441" s="42" t="str">
        <x:f>IF(A441="","",IF(COUNTIFS('Event Guide'!$A$6:$A$29,C441)=1,VLOOKUP(C441,'Event Guide'!$A$6:$C$29,3,FALSE),"Unknown event"))</x:f>
      </x:c>
      <x:c r="Q441" s="42" t="str">
        <x:f>IF(A441="","",IF(O441="PAY",E441,IF(O441="OTHER",F441,IF(O441="CAPITAL","Capital - "&amp;G441,IF(O441="DUE","Due to - "&amp;G441,IF(O441="DRAW","Drawings - "&amp;G441,O441))))))</x:f>
      </x:c>
      <x:c r="R441" s="42" t="str">
        <x:f>IF(A441="","",IF(P441="PAY",E441,IF(P441="OTHER",F441,IF(P441="CAPITAL","Capital - "&amp;G441,IF(P441="DUE","Due to - "&amp;G441,IF(P441="DRAW","Drawings - "&amp;G441,P441))))))</x:f>
      </x:c>
      <x:c r="S441" s="37" t="n">
        <x:f>IF(AND(N441="Approved",T441="OK"),D441,0)</x:f>
        <x:v>0</x:v>
      </x:c>
      <x:c r="T441" s="42" t="str">
        <x:f>IF(A441="","",IF(COUNTIFS($A$6:$A$505,A441)&lt;&gt;1,"Duplicate ID",IF(OR(NOT(ISNUMBER(B441)),D441&lt;=0,NOT(ISNUMBER(D441)),I441="",J441="",L441=""),"Missing date/amount/ref/details",IF(OR(COUNTIFS('Accounts'!$A$6:$A$105,Q441)&lt;&gt;1,COUNTIFS('Accounts'!$A$6:$A$105,R441)&lt;&gt;1,Q441=R441),"Check accounts/event",IF(AND(OR(Q441="Trade payables",R441="Trade payables",Q441="Customer receivables",R441="Customer receivables",Q441="Courier receivables",R441="Courier receivables",Q441="Supplier advances",R441="Supplier advances"),H441=""),"Contact ID required",IF(AND(N441="Approved",OR(M441="",M441=L441)),"Independent review needed",IF(OR(N441="Draft",N441="Approved",N441="Void"),"OK","Status required")))))))</x:f>
      </x:c>
    </x:row>
    <x:row r="442" ht="23" customHeight="1">
      <x:c r="A442" s="36"/>
      <x:c r="B442" s="40"/>
      <x:c r="C442" s="36"/>
      <x:c r="D442" s="41"/>
      <x:c r="E442" s="36"/>
      <x:c r="F442" s="36"/>
      <x:c r="G442" s="36"/>
      <x:c r="H442" s="36"/>
      <x:c r="I442" s="36"/>
      <x:c r="J442" s="36"/>
      <x:c r="K442" s="36"/>
      <x:c r="L442" s="36"/>
      <x:c r="M442" s="36"/>
      <x:c r="N442" s="36"/>
      <x:c r="O442" s="42" t="str">
        <x:f>IF(A442="","",IF(COUNTIFS('Event Guide'!$A$6:$A$29,C442)=1,VLOOKUP(C442,'Event Guide'!$A$6:$C$29,2,FALSE),"Unknown event"))</x:f>
      </x:c>
      <x:c r="P442" s="42" t="str">
        <x:f>IF(A442="","",IF(COUNTIFS('Event Guide'!$A$6:$A$29,C442)=1,VLOOKUP(C442,'Event Guide'!$A$6:$C$29,3,FALSE),"Unknown event"))</x:f>
      </x:c>
      <x:c r="Q442" s="42" t="str">
        <x:f>IF(A442="","",IF(O442="PAY",E442,IF(O442="OTHER",F442,IF(O442="CAPITAL","Capital - "&amp;G442,IF(O442="DUE","Due to - "&amp;G442,IF(O442="DRAW","Drawings - "&amp;G442,O442))))))</x:f>
      </x:c>
      <x:c r="R442" s="42" t="str">
        <x:f>IF(A442="","",IF(P442="PAY",E442,IF(P442="OTHER",F442,IF(P442="CAPITAL","Capital - "&amp;G442,IF(P442="DUE","Due to - "&amp;G442,IF(P442="DRAW","Drawings - "&amp;G442,P442))))))</x:f>
      </x:c>
      <x:c r="S442" s="37" t="n">
        <x:f>IF(AND(N442="Approved",T442="OK"),D442,0)</x:f>
        <x:v>0</x:v>
      </x:c>
      <x:c r="T442" s="42" t="str">
        <x:f>IF(A442="","",IF(COUNTIFS($A$6:$A$505,A442)&lt;&gt;1,"Duplicate ID",IF(OR(NOT(ISNUMBER(B442)),D442&lt;=0,NOT(ISNUMBER(D442)),I442="",J442="",L442=""),"Missing date/amount/ref/details",IF(OR(COUNTIFS('Accounts'!$A$6:$A$105,Q442)&lt;&gt;1,COUNTIFS('Accounts'!$A$6:$A$105,R442)&lt;&gt;1,Q442=R442),"Check accounts/event",IF(AND(OR(Q442="Trade payables",R442="Trade payables",Q442="Customer receivables",R442="Customer receivables",Q442="Courier receivables",R442="Courier receivables",Q442="Supplier advances",R442="Supplier advances"),H442=""),"Contact ID required",IF(AND(N442="Approved",OR(M442="",M442=L442)),"Independent review needed",IF(OR(N442="Draft",N442="Approved",N442="Void"),"OK","Status required")))))))</x:f>
      </x:c>
    </x:row>
    <x:row r="443" ht="23" customHeight="1">
      <x:c r="A443" s="36"/>
      <x:c r="B443" s="40"/>
      <x:c r="C443" s="36"/>
      <x:c r="D443" s="41"/>
      <x:c r="E443" s="36"/>
      <x:c r="F443" s="36"/>
      <x:c r="G443" s="36"/>
      <x:c r="H443" s="36"/>
      <x:c r="I443" s="36"/>
      <x:c r="J443" s="36"/>
      <x:c r="K443" s="36"/>
      <x:c r="L443" s="36"/>
      <x:c r="M443" s="36"/>
      <x:c r="N443" s="36"/>
      <x:c r="O443" s="42" t="str">
        <x:f>IF(A443="","",IF(COUNTIFS('Event Guide'!$A$6:$A$29,C443)=1,VLOOKUP(C443,'Event Guide'!$A$6:$C$29,2,FALSE),"Unknown event"))</x:f>
      </x:c>
      <x:c r="P443" s="42" t="str">
        <x:f>IF(A443="","",IF(COUNTIFS('Event Guide'!$A$6:$A$29,C443)=1,VLOOKUP(C443,'Event Guide'!$A$6:$C$29,3,FALSE),"Unknown event"))</x:f>
      </x:c>
      <x:c r="Q443" s="42" t="str">
        <x:f>IF(A443="","",IF(O443="PAY",E443,IF(O443="OTHER",F443,IF(O443="CAPITAL","Capital - "&amp;G443,IF(O443="DUE","Due to - "&amp;G443,IF(O443="DRAW","Drawings - "&amp;G443,O443))))))</x:f>
      </x:c>
      <x:c r="R443" s="42" t="str">
        <x:f>IF(A443="","",IF(P443="PAY",E443,IF(P443="OTHER",F443,IF(P443="CAPITAL","Capital - "&amp;G443,IF(P443="DUE","Due to - "&amp;G443,IF(P443="DRAW","Drawings - "&amp;G443,P443))))))</x:f>
      </x:c>
      <x:c r="S443" s="37" t="n">
        <x:f>IF(AND(N443="Approved",T443="OK"),D443,0)</x:f>
        <x:v>0</x:v>
      </x:c>
      <x:c r="T443" s="42" t="str">
        <x:f>IF(A443="","",IF(COUNTIFS($A$6:$A$505,A443)&lt;&gt;1,"Duplicate ID",IF(OR(NOT(ISNUMBER(B443)),D443&lt;=0,NOT(ISNUMBER(D443)),I443="",J443="",L443=""),"Missing date/amount/ref/details",IF(OR(COUNTIFS('Accounts'!$A$6:$A$105,Q443)&lt;&gt;1,COUNTIFS('Accounts'!$A$6:$A$105,R443)&lt;&gt;1,Q443=R443),"Check accounts/event",IF(AND(OR(Q443="Trade payables",R443="Trade payables",Q443="Customer receivables",R443="Customer receivables",Q443="Courier receivables",R443="Courier receivables",Q443="Supplier advances",R443="Supplier advances"),H443=""),"Contact ID required",IF(AND(N443="Approved",OR(M443="",M443=L443)),"Independent review needed",IF(OR(N443="Draft",N443="Approved",N443="Void"),"OK","Status required")))))))</x:f>
      </x:c>
    </x:row>
    <x:row r="444" ht="23" customHeight="1">
      <x:c r="A444" s="36"/>
      <x:c r="B444" s="40"/>
      <x:c r="C444" s="36"/>
      <x:c r="D444" s="41"/>
      <x:c r="E444" s="36"/>
      <x:c r="F444" s="36"/>
      <x:c r="G444" s="36"/>
      <x:c r="H444" s="36"/>
      <x:c r="I444" s="36"/>
      <x:c r="J444" s="36"/>
      <x:c r="K444" s="36"/>
      <x:c r="L444" s="36"/>
      <x:c r="M444" s="36"/>
      <x:c r="N444" s="36"/>
      <x:c r="O444" s="42" t="str">
        <x:f>IF(A444="","",IF(COUNTIFS('Event Guide'!$A$6:$A$29,C444)=1,VLOOKUP(C444,'Event Guide'!$A$6:$C$29,2,FALSE),"Unknown event"))</x:f>
      </x:c>
      <x:c r="P444" s="42" t="str">
        <x:f>IF(A444="","",IF(COUNTIFS('Event Guide'!$A$6:$A$29,C444)=1,VLOOKUP(C444,'Event Guide'!$A$6:$C$29,3,FALSE),"Unknown event"))</x:f>
      </x:c>
      <x:c r="Q444" s="42" t="str">
        <x:f>IF(A444="","",IF(O444="PAY",E444,IF(O444="OTHER",F444,IF(O444="CAPITAL","Capital - "&amp;G444,IF(O444="DUE","Due to - "&amp;G444,IF(O444="DRAW","Drawings - "&amp;G444,O444))))))</x:f>
      </x:c>
      <x:c r="R444" s="42" t="str">
        <x:f>IF(A444="","",IF(P444="PAY",E444,IF(P444="OTHER",F444,IF(P444="CAPITAL","Capital - "&amp;G444,IF(P444="DUE","Due to - "&amp;G444,IF(P444="DRAW","Drawings - "&amp;G444,P444))))))</x:f>
      </x:c>
      <x:c r="S444" s="37" t="n">
        <x:f>IF(AND(N444="Approved",T444="OK"),D444,0)</x:f>
        <x:v>0</x:v>
      </x:c>
      <x:c r="T444" s="42" t="str">
        <x:f>IF(A444="","",IF(COUNTIFS($A$6:$A$505,A444)&lt;&gt;1,"Duplicate ID",IF(OR(NOT(ISNUMBER(B444)),D444&lt;=0,NOT(ISNUMBER(D444)),I444="",J444="",L444=""),"Missing date/amount/ref/details",IF(OR(COUNTIFS('Accounts'!$A$6:$A$105,Q444)&lt;&gt;1,COUNTIFS('Accounts'!$A$6:$A$105,R444)&lt;&gt;1,Q444=R444),"Check accounts/event",IF(AND(OR(Q444="Trade payables",R444="Trade payables",Q444="Customer receivables",R444="Customer receivables",Q444="Courier receivables",R444="Courier receivables",Q444="Supplier advances",R444="Supplier advances"),H444=""),"Contact ID required",IF(AND(N444="Approved",OR(M444="",M444=L444)),"Independent review needed",IF(OR(N444="Draft",N444="Approved",N444="Void"),"OK","Status required")))))))</x:f>
      </x:c>
    </x:row>
    <x:row r="445" ht="23" customHeight="1">
      <x:c r="A445" s="36"/>
      <x:c r="B445" s="40"/>
      <x:c r="C445" s="36"/>
      <x:c r="D445" s="41"/>
      <x:c r="E445" s="36"/>
      <x:c r="F445" s="36"/>
      <x:c r="G445" s="36"/>
      <x:c r="H445" s="36"/>
      <x:c r="I445" s="36"/>
      <x:c r="J445" s="36"/>
      <x:c r="K445" s="36"/>
      <x:c r="L445" s="36"/>
      <x:c r="M445" s="36"/>
      <x:c r="N445" s="36"/>
      <x:c r="O445" s="42" t="str">
        <x:f>IF(A445="","",IF(COUNTIFS('Event Guide'!$A$6:$A$29,C445)=1,VLOOKUP(C445,'Event Guide'!$A$6:$C$29,2,FALSE),"Unknown event"))</x:f>
      </x:c>
      <x:c r="P445" s="42" t="str">
        <x:f>IF(A445="","",IF(COUNTIFS('Event Guide'!$A$6:$A$29,C445)=1,VLOOKUP(C445,'Event Guide'!$A$6:$C$29,3,FALSE),"Unknown event"))</x:f>
      </x:c>
      <x:c r="Q445" s="42" t="str">
        <x:f>IF(A445="","",IF(O445="PAY",E445,IF(O445="OTHER",F445,IF(O445="CAPITAL","Capital - "&amp;G445,IF(O445="DUE","Due to - "&amp;G445,IF(O445="DRAW","Drawings - "&amp;G445,O445))))))</x:f>
      </x:c>
      <x:c r="R445" s="42" t="str">
        <x:f>IF(A445="","",IF(P445="PAY",E445,IF(P445="OTHER",F445,IF(P445="CAPITAL","Capital - "&amp;G445,IF(P445="DUE","Due to - "&amp;G445,IF(P445="DRAW","Drawings - "&amp;G445,P445))))))</x:f>
      </x:c>
      <x:c r="S445" s="37" t="n">
        <x:f>IF(AND(N445="Approved",T445="OK"),D445,0)</x:f>
        <x:v>0</x:v>
      </x:c>
      <x:c r="T445" s="42" t="str">
        <x:f>IF(A445="","",IF(COUNTIFS($A$6:$A$505,A445)&lt;&gt;1,"Duplicate ID",IF(OR(NOT(ISNUMBER(B445)),D445&lt;=0,NOT(ISNUMBER(D445)),I445="",J445="",L445=""),"Missing date/amount/ref/details",IF(OR(COUNTIFS('Accounts'!$A$6:$A$105,Q445)&lt;&gt;1,COUNTIFS('Accounts'!$A$6:$A$105,R445)&lt;&gt;1,Q445=R445),"Check accounts/event",IF(AND(OR(Q445="Trade payables",R445="Trade payables",Q445="Customer receivables",R445="Customer receivables",Q445="Courier receivables",R445="Courier receivables",Q445="Supplier advances",R445="Supplier advances"),H445=""),"Contact ID required",IF(AND(N445="Approved",OR(M445="",M445=L445)),"Independent review needed",IF(OR(N445="Draft",N445="Approved",N445="Void"),"OK","Status required")))))))</x:f>
      </x:c>
    </x:row>
    <x:row r="446" ht="23" customHeight="1">
      <x:c r="A446" s="36"/>
      <x:c r="B446" s="40"/>
      <x:c r="C446" s="36"/>
      <x:c r="D446" s="41"/>
      <x:c r="E446" s="36"/>
      <x:c r="F446" s="36"/>
      <x:c r="G446" s="36"/>
      <x:c r="H446" s="36"/>
      <x:c r="I446" s="36"/>
      <x:c r="J446" s="36"/>
      <x:c r="K446" s="36"/>
      <x:c r="L446" s="36"/>
      <x:c r="M446" s="36"/>
      <x:c r="N446" s="36"/>
      <x:c r="O446" s="42" t="str">
        <x:f>IF(A446="","",IF(COUNTIFS('Event Guide'!$A$6:$A$29,C446)=1,VLOOKUP(C446,'Event Guide'!$A$6:$C$29,2,FALSE),"Unknown event"))</x:f>
      </x:c>
      <x:c r="P446" s="42" t="str">
        <x:f>IF(A446="","",IF(COUNTIFS('Event Guide'!$A$6:$A$29,C446)=1,VLOOKUP(C446,'Event Guide'!$A$6:$C$29,3,FALSE),"Unknown event"))</x:f>
      </x:c>
      <x:c r="Q446" s="42" t="str">
        <x:f>IF(A446="","",IF(O446="PAY",E446,IF(O446="OTHER",F446,IF(O446="CAPITAL","Capital - "&amp;G446,IF(O446="DUE","Due to - "&amp;G446,IF(O446="DRAW","Drawings - "&amp;G446,O446))))))</x:f>
      </x:c>
      <x:c r="R446" s="42" t="str">
        <x:f>IF(A446="","",IF(P446="PAY",E446,IF(P446="OTHER",F446,IF(P446="CAPITAL","Capital - "&amp;G446,IF(P446="DUE","Due to - "&amp;G446,IF(P446="DRAW","Drawings - "&amp;G446,P446))))))</x:f>
      </x:c>
      <x:c r="S446" s="37" t="n">
        <x:f>IF(AND(N446="Approved",T446="OK"),D446,0)</x:f>
        <x:v>0</x:v>
      </x:c>
      <x:c r="T446" s="42" t="str">
        <x:f>IF(A446="","",IF(COUNTIFS($A$6:$A$505,A446)&lt;&gt;1,"Duplicate ID",IF(OR(NOT(ISNUMBER(B446)),D446&lt;=0,NOT(ISNUMBER(D446)),I446="",J446="",L446=""),"Missing date/amount/ref/details",IF(OR(COUNTIFS('Accounts'!$A$6:$A$105,Q446)&lt;&gt;1,COUNTIFS('Accounts'!$A$6:$A$105,R446)&lt;&gt;1,Q446=R446),"Check accounts/event",IF(AND(OR(Q446="Trade payables",R446="Trade payables",Q446="Customer receivables",R446="Customer receivables",Q446="Courier receivables",R446="Courier receivables",Q446="Supplier advances",R446="Supplier advances"),H446=""),"Contact ID required",IF(AND(N446="Approved",OR(M446="",M446=L446)),"Independent review needed",IF(OR(N446="Draft",N446="Approved",N446="Void"),"OK","Status required")))))))</x:f>
      </x:c>
    </x:row>
    <x:row r="447" ht="23" customHeight="1">
      <x:c r="A447" s="36"/>
      <x:c r="B447" s="40"/>
      <x:c r="C447" s="36"/>
      <x:c r="D447" s="41"/>
      <x:c r="E447" s="36"/>
      <x:c r="F447" s="36"/>
      <x:c r="G447" s="36"/>
      <x:c r="H447" s="36"/>
      <x:c r="I447" s="36"/>
      <x:c r="J447" s="36"/>
      <x:c r="K447" s="36"/>
      <x:c r="L447" s="36"/>
      <x:c r="M447" s="36"/>
      <x:c r="N447" s="36"/>
      <x:c r="O447" s="42" t="str">
        <x:f>IF(A447="","",IF(COUNTIFS('Event Guide'!$A$6:$A$29,C447)=1,VLOOKUP(C447,'Event Guide'!$A$6:$C$29,2,FALSE),"Unknown event"))</x:f>
      </x:c>
      <x:c r="P447" s="42" t="str">
        <x:f>IF(A447="","",IF(COUNTIFS('Event Guide'!$A$6:$A$29,C447)=1,VLOOKUP(C447,'Event Guide'!$A$6:$C$29,3,FALSE),"Unknown event"))</x:f>
      </x:c>
      <x:c r="Q447" s="42" t="str">
        <x:f>IF(A447="","",IF(O447="PAY",E447,IF(O447="OTHER",F447,IF(O447="CAPITAL","Capital - "&amp;G447,IF(O447="DUE","Due to - "&amp;G447,IF(O447="DRAW","Drawings - "&amp;G447,O447))))))</x:f>
      </x:c>
      <x:c r="R447" s="42" t="str">
        <x:f>IF(A447="","",IF(P447="PAY",E447,IF(P447="OTHER",F447,IF(P447="CAPITAL","Capital - "&amp;G447,IF(P447="DUE","Due to - "&amp;G447,IF(P447="DRAW","Drawings - "&amp;G447,P447))))))</x:f>
      </x:c>
      <x:c r="S447" s="37" t="n">
        <x:f>IF(AND(N447="Approved",T447="OK"),D447,0)</x:f>
        <x:v>0</x:v>
      </x:c>
      <x:c r="T447" s="42" t="str">
        <x:f>IF(A447="","",IF(COUNTIFS($A$6:$A$505,A447)&lt;&gt;1,"Duplicate ID",IF(OR(NOT(ISNUMBER(B447)),D447&lt;=0,NOT(ISNUMBER(D447)),I447="",J447="",L447=""),"Missing date/amount/ref/details",IF(OR(COUNTIFS('Accounts'!$A$6:$A$105,Q447)&lt;&gt;1,COUNTIFS('Accounts'!$A$6:$A$105,R447)&lt;&gt;1,Q447=R447),"Check accounts/event",IF(AND(OR(Q447="Trade payables",R447="Trade payables",Q447="Customer receivables",R447="Customer receivables",Q447="Courier receivables",R447="Courier receivables",Q447="Supplier advances",R447="Supplier advances"),H447=""),"Contact ID required",IF(AND(N447="Approved",OR(M447="",M447=L447)),"Independent review needed",IF(OR(N447="Draft",N447="Approved",N447="Void"),"OK","Status required")))))))</x:f>
      </x:c>
    </x:row>
    <x:row r="448" ht="23" customHeight="1">
      <x:c r="A448" s="36"/>
      <x:c r="B448" s="40"/>
      <x:c r="C448" s="36"/>
      <x:c r="D448" s="41"/>
      <x:c r="E448" s="36"/>
      <x:c r="F448" s="36"/>
      <x:c r="G448" s="36"/>
      <x:c r="H448" s="36"/>
      <x:c r="I448" s="36"/>
      <x:c r="J448" s="36"/>
      <x:c r="K448" s="36"/>
      <x:c r="L448" s="36"/>
      <x:c r="M448" s="36"/>
      <x:c r="N448" s="36"/>
      <x:c r="O448" s="42" t="str">
        <x:f>IF(A448="","",IF(COUNTIFS('Event Guide'!$A$6:$A$29,C448)=1,VLOOKUP(C448,'Event Guide'!$A$6:$C$29,2,FALSE),"Unknown event"))</x:f>
      </x:c>
      <x:c r="P448" s="42" t="str">
        <x:f>IF(A448="","",IF(COUNTIFS('Event Guide'!$A$6:$A$29,C448)=1,VLOOKUP(C448,'Event Guide'!$A$6:$C$29,3,FALSE),"Unknown event"))</x:f>
      </x:c>
      <x:c r="Q448" s="42" t="str">
        <x:f>IF(A448="","",IF(O448="PAY",E448,IF(O448="OTHER",F448,IF(O448="CAPITAL","Capital - "&amp;G448,IF(O448="DUE","Due to - "&amp;G448,IF(O448="DRAW","Drawings - "&amp;G448,O448))))))</x:f>
      </x:c>
      <x:c r="R448" s="42" t="str">
        <x:f>IF(A448="","",IF(P448="PAY",E448,IF(P448="OTHER",F448,IF(P448="CAPITAL","Capital - "&amp;G448,IF(P448="DUE","Due to - "&amp;G448,IF(P448="DRAW","Drawings - "&amp;G448,P448))))))</x:f>
      </x:c>
      <x:c r="S448" s="37" t="n">
        <x:f>IF(AND(N448="Approved",T448="OK"),D448,0)</x:f>
        <x:v>0</x:v>
      </x:c>
      <x:c r="T448" s="42" t="str">
        <x:f>IF(A448="","",IF(COUNTIFS($A$6:$A$505,A448)&lt;&gt;1,"Duplicate ID",IF(OR(NOT(ISNUMBER(B448)),D448&lt;=0,NOT(ISNUMBER(D448)),I448="",J448="",L448=""),"Missing date/amount/ref/details",IF(OR(COUNTIFS('Accounts'!$A$6:$A$105,Q448)&lt;&gt;1,COUNTIFS('Accounts'!$A$6:$A$105,R448)&lt;&gt;1,Q448=R448),"Check accounts/event",IF(AND(OR(Q448="Trade payables",R448="Trade payables",Q448="Customer receivables",R448="Customer receivables",Q448="Courier receivables",R448="Courier receivables",Q448="Supplier advances",R448="Supplier advances"),H448=""),"Contact ID required",IF(AND(N448="Approved",OR(M448="",M448=L448)),"Independent review needed",IF(OR(N448="Draft",N448="Approved",N448="Void"),"OK","Status required")))))))</x:f>
      </x:c>
    </x:row>
    <x:row r="449" ht="23" customHeight="1">
      <x:c r="A449" s="36"/>
      <x:c r="B449" s="40"/>
      <x:c r="C449" s="36"/>
      <x:c r="D449" s="41"/>
      <x:c r="E449" s="36"/>
      <x:c r="F449" s="36"/>
      <x:c r="G449" s="36"/>
      <x:c r="H449" s="36"/>
      <x:c r="I449" s="36"/>
      <x:c r="J449" s="36"/>
      <x:c r="K449" s="36"/>
      <x:c r="L449" s="36"/>
      <x:c r="M449" s="36"/>
      <x:c r="N449" s="36"/>
      <x:c r="O449" s="42" t="str">
        <x:f>IF(A449="","",IF(COUNTIFS('Event Guide'!$A$6:$A$29,C449)=1,VLOOKUP(C449,'Event Guide'!$A$6:$C$29,2,FALSE),"Unknown event"))</x:f>
      </x:c>
      <x:c r="P449" s="42" t="str">
        <x:f>IF(A449="","",IF(COUNTIFS('Event Guide'!$A$6:$A$29,C449)=1,VLOOKUP(C449,'Event Guide'!$A$6:$C$29,3,FALSE),"Unknown event"))</x:f>
      </x:c>
      <x:c r="Q449" s="42" t="str">
        <x:f>IF(A449="","",IF(O449="PAY",E449,IF(O449="OTHER",F449,IF(O449="CAPITAL","Capital - "&amp;G449,IF(O449="DUE","Due to - "&amp;G449,IF(O449="DRAW","Drawings - "&amp;G449,O449))))))</x:f>
      </x:c>
      <x:c r="R449" s="42" t="str">
        <x:f>IF(A449="","",IF(P449="PAY",E449,IF(P449="OTHER",F449,IF(P449="CAPITAL","Capital - "&amp;G449,IF(P449="DUE","Due to - "&amp;G449,IF(P449="DRAW","Drawings - "&amp;G449,P449))))))</x:f>
      </x:c>
      <x:c r="S449" s="37" t="n">
        <x:f>IF(AND(N449="Approved",T449="OK"),D449,0)</x:f>
        <x:v>0</x:v>
      </x:c>
      <x:c r="T449" s="42" t="str">
        <x:f>IF(A449="","",IF(COUNTIFS($A$6:$A$505,A449)&lt;&gt;1,"Duplicate ID",IF(OR(NOT(ISNUMBER(B449)),D449&lt;=0,NOT(ISNUMBER(D449)),I449="",J449="",L449=""),"Missing date/amount/ref/details",IF(OR(COUNTIFS('Accounts'!$A$6:$A$105,Q449)&lt;&gt;1,COUNTIFS('Accounts'!$A$6:$A$105,R449)&lt;&gt;1,Q449=R449),"Check accounts/event",IF(AND(OR(Q449="Trade payables",R449="Trade payables",Q449="Customer receivables",R449="Customer receivables",Q449="Courier receivables",R449="Courier receivables",Q449="Supplier advances",R449="Supplier advances"),H449=""),"Contact ID required",IF(AND(N449="Approved",OR(M449="",M449=L449)),"Independent review needed",IF(OR(N449="Draft",N449="Approved",N449="Void"),"OK","Status required")))))))</x:f>
      </x:c>
    </x:row>
    <x:row r="450" ht="23" customHeight="1">
      <x:c r="A450" s="36"/>
      <x:c r="B450" s="40"/>
      <x:c r="C450" s="36"/>
      <x:c r="D450" s="41"/>
      <x:c r="E450" s="36"/>
      <x:c r="F450" s="36"/>
      <x:c r="G450" s="36"/>
      <x:c r="H450" s="36"/>
      <x:c r="I450" s="36"/>
      <x:c r="J450" s="36"/>
      <x:c r="K450" s="36"/>
      <x:c r="L450" s="36"/>
      <x:c r="M450" s="36"/>
      <x:c r="N450" s="36"/>
      <x:c r="O450" s="42" t="str">
        <x:f>IF(A450="","",IF(COUNTIFS('Event Guide'!$A$6:$A$29,C450)=1,VLOOKUP(C450,'Event Guide'!$A$6:$C$29,2,FALSE),"Unknown event"))</x:f>
      </x:c>
      <x:c r="P450" s="42" t="str">
        <x:f>IF(A450="","",IF(COUNTIFS('Event Guide'!$A$6:$A$29,C450)=1,VLOOKUP(C450,'Event Guide'!$A$6:$C$29,3,FALSE),"Unknown event"))</x:f>
      </x:c>
      <x:c r="Q450" s="42" t="str">
        <x:f>IF(A450="","",IF(O450="PAY",E450,IF(O450="OTHER",F450,IF(O450="CAPITAL","Capital - "&amp;G450,IF(O450="DUE","Due to - "&amp;G450,IF(O450="DRAW","Drawings - "&amp;G450,O450))))))</x:f>
      </x:c>
      <x:c r="R450" s="42" t="str">
        <x:f>IF(A450="","",IF(P450="PAY",E450,IF(P450="OTHER",F450,IF(P450="CAPITAL","Capital - "&amp;G450,IF(P450="DUE","Due to - "&amp;G450,IF(P450="DRAW","Drawings - "&amp;G450,P450))))))</x:f>
      </x:c>
      <x:c r="S450" s="37" t="n">
        <x:f>IF(AND(N450="Approved",T450="OK"),D450,0)</x:f>
        <x:v>0</x:v>
      </x:c>
      <x:c r="T450" s="42" t="str">
        <x:f>IF(A450="","",IF(COUNTIFS($A$6:$A$505,A450)&lt;&gt;1,"Duplicate ID",IF(OR(NOT(ISNUMBER(B450)),D450&lt;=0,NOT(ISNUMBER(D450)),I450="",J450="",L450=""),"Missing date/amount/ref/details",IF(OR(COUNTIFS('Accounts'!$A$6:$A$105,Q450)&lt;&gt;1,COUNTIFS('Accounts'!$A$6:$A$105,R450)&lt;&gt;1,Q450=R450),"Check accounts/event",IF(AND(OR(Q450="Trade payables",R450="Trade payables",Q450="Customer receivables",R450="Customer receivables",Q450="Courier receivables",R450="Courier receivables",Q450="Supplier advances",R450="Supplier advances"),H450=""),"Contact ID required",IF(AND(N450="Approved",OR(M450="",M450=L450)),"Independent review needed",IF(OR(N450="Draft",N450="Approved",N450="Void"),"OK","Status required")))))))</x:f>
      </x:c>
    </x:row>
    <x:row r="451" ht="23" customHeight="1">
      <x:c r="A451" s="36"/>
      <x:c r="B451" s="40"/>
      <x:c r="C451" s="36"/>
      <x:c r="D451" s="41"/>
      <x:c r="E451" s="36"/>
      <x:c r="F451" s="36"/>
      <x:c r="G451" s="36"/>
      <x:c r="H451" s="36"/>
      <x:c r="I451" s="36"/>
      <x:c r="J451" s="36"/>
      <x:c r="K451" s="36"/>
      <x:c r="L451" s="36"/>
      <x:c r="M451" s="36"/>
      <x:c r="N451" s="36"/>
      <x:c r="O451" s="42" t="str">
        <x:f>IF(A451="","",IF(COUNTIFS('Event Guide'!$A$6:$A$29,C451)=1,VLOOKUP(C451,'Event Guide'!$A$6:$C$29,2,FALSE),"Unknown event"))</x:f>
      </x:c>
      <x:c r="P451" s="42" t="str">
        <x:f>IF(A451="","",IF(COUNTIFS('Event Guide'!$A$6:$A$29,C451)=1,VLOOKUP(C451,'Event Guide'!$A$6:$C$29,3,FALSE),"Unknown event"))</x:f>
      </x:c>
      <x:c r="Q451" s="42" t="str">
        <x:f>IF(A451="","",IF(O451="PAY",E451,IF(O451="OTHER",F451,IF(O451="CAPITAL","Capital - "&amp;G451,IF(O451="DUE","Due to - "&amp;G451,IF(O451="DRAW","Drawings - "&amp;G451,O451))))))</x:f>
      </x:c>
      <x:c r="R451" s="42" t="str">
        <x:f>IF(A451="","",IF(P451="PAY",E451,IF(P451="OTHER",F451,IF(P451="CAPITAL","Capital - "&amp;G451,IF(P451="DUE","Due to - "&amp;G451,IF(P451="DRAW","Drawings - "&amp;G451,P451))))))</x:f>
      </x:c>
      <x:c r="S451" s="37" t="n">
        <x:f>IF(AND(N451="Approved",T451="OK"),D451,0)</x:f>
        <x:v>0</x:v>
      </x:c>
      <x:c r="T451" s="42" t="str">
        <x:f>IF(A451="","",IF(COUNTIFS($A$6:$A$505,A451)&lt;&gt;1,"Duplicate ID",IF(OR(NOT(ISNUMBER(B451)),D451&lt;=0,NOT(ISNUMBER(D451)),I451="",J451="",L451=""),"Missing date/amount/ref/details",IF(OR(COUNTIFS('Accounts'!$A$6:$A$105,Q451)&lt;&gt;1,COUNTIFS('Accounts'!$A$6:$A$105,R451)&lt;&gt;1,Q451=R451),"Check accounts/event",IF(AND(OR(Q451="Trade payables",R451="Trade payables",Q451="Customer receivables",R451="Customer receivables",Q451="Courier receivables",R451="Courier receivables",Q451="Supplier advances",R451="Supplier advances"),H451=""),"Contact ID required",IF(AND(N451="Approved",OR(M451="",M451=L451)),"Independent review needed",IF(OR(N451="Draft",N451="Approved",N451="Void"),"OK","Status required")))))))</x:f>
      </x:c>
    </x:row>
    <x:row r="452" ht="23" customHeight="1">
      <x:c r="A452" s="36"/>
      <x:c r="B452" s="40"/>
      <x:c r="C452" s="36"/>
      <x:c r="D452" s="41"/>
      <x:c r="E452" s="36"/>
      <x:c r="F452" s="36"/>
      <x:c r="G452" s="36"/>
      <x:c r="H452" s="36"/>
      <x:c r="I452" s="36"/>
      <x:c r="J452" s="36"/>
      <x:c r="K452" s="36"/>
      <x:c r="L452" s="36"/>
      <x:c r="M452" s="36"/>
      <x:c r="N452" s="36"/>
      <x:c r="O452" s="42" t="str">
        <x:f>IF(A452="","",IF(COUNTIFS('Event Guide'!$A$6:$A$29,C452)=1,VLOOKUP(C452,'Event Guide'!$A$6:$C$29,2,FALSE),"Unknown event"))</x:f>
      </x:c>
      <x:c r="P452" s="42" t="str">
        <x:f>IF(A452="","",IF(COUNTIFS('Event Guide'!$A$6:$A$29,C452)=1,VLOOKUP(C452,'Event Guide'!$A$6:$C$29,3,FALSE),"Unknown event"))</x:f>
      </x:c>
      <x:c r="Q452" s="42" t="str">
        <x:f>IF(A452="","",IF(O452="PAY",E452,IF(O452="OTHER",F452,IF(O452="CAPITAL","Capital - "&amp;G452,IF(O452="DUE","Due to - "&amp;G452,IF(O452="DRAW","Drawings - "&amp;G452,O452))))))</x:f>
      </x:c>
      <x:c r="R452" s="42" t="str">
        <x:f>IF(A452="","",IF(P452="PAY",E452,IF(P452="OTHER",F452,IF(P452="CAPITAL","Capital - "&amp;G452,IF(P452="DUE","Due to - "&amp;G452,IF(P452="DRAW","Drawings - "&amp;G452,P452))))))</x:f>
      </x:c>
      <x:c r="S452" s="37" t="n">
        <x:f>IF(AND(N452="Approved",T452="OK"),D452,0)</x:f>
        <x:v>0</x:v>
      </x:c>
      <x:c r="T452" s="42" t="str">
        <x:f>IF(A452="","",IF(COUNTIFS($A$6:$A$505,A452)&lt;&gt;1,"Duplicate ID",IF(OR(NOT(ISNUMBER(B452)),D452&lt;=0,NOT(ISNUMBER(D452)),I452="",J452="",L452=""),"Missing date/amount/ref/details",IF(OR(COUNTIFS('Accounts'!$A$6:$A$105,Q452)&lt;&gt;1,COUNTIFS('Accounts'!$A$6:$A$105,R452)&lt;&gt;1,Q452=R452),"Check accounts/event",IF(AND(OR(Q452="Trade payables",R452="Trade payables",Q452="Customer receivables",R452="Customer receivables",Q452="Courier receivables",R452="Courier receivables",Q452="Supplier advances",R452="Supplier advances"),H452=""),"Contact ID required",IF(AND(N452="Approved",OR(M452="",M452=L452)),"Independent review needed",IF(OR(N452="Draft",N452="Approved",N452="Void"),"OK","Status required")))))))</x:f>
      </x:c>
    </x:row>
    <x:row r="453" ht="23" customHeight="1">
      <x:c r="A453" s="36"/>
      <x:c r="B453" s="40"/>
      <x:c r="C453" s="36"/>
      <x:c r="D453" s="41"/>
      <x:c r="E453" s="36"/>
      <x:c r="F453" s="36"/>
      <x:c r="G453" s="36"/>
      <x:c r="H453" s="36"/>
      <x:c r="I453" s="36"/>
      <x:c r="J453" s="36"/>
      <x:c r="K453" s="36"/>
      <x:c r="L453" s="36"/>
      <x:c r="M453" s="36"/>
      <x:c r="N453" s="36"/>
      <x:c r="O453" s="42" t="str">
        <x:f>IF(A453="","",IF(COUNTIFS('Event Guide'!$A$6:$A$29,C453)=1,VLOOKUP(C453,'Event Guide'!$A$6:$C$29,2,FALSE),"Unknown event"))</x:f>
      </x:c>
      <x:c r="P453" s="42" t="str">
        <x:f>IF(A453="","",IF(COUNTIFS('Event Guide'!$A$6:$A$29,C453)=1,VLOOKUP(C453,'Event Guide'!$A$6:$C$29,3,FALSE),"Unknown event"))</x:f>
      </x:c>
      <x:c r="Q453" s="42" t="str">
        <x:f>IF(A453="","",IF(O453="PAY",E453,IF(O453="OTHER",F453,IF(O453="CAPITAL","Capital - "&amp;G453,IF(O453="DUE","Due to - "&amp;G453,IF(O453="DRAW","Drawings - "&amp;G453,O453))))))</x:f>
      </x:c>
      <x:c r="R453" s="42" t="str">
        <x:f>IF(A453="","",IF(P453="PAY",E453,IF(P453="OTHER",F453,IF(P453="CAPITAL","Capital - "&amp;G453,IF(P453="DUE","Due to - "&amp;G453,IF(P453="DRAW","Drawings - "&amp;G453,P453))))))</x:f>
      </x:c>
      <x:c r="S453" s="37" t="n">
        <x:f>IF(AND(N453="Approved",T453="OK"),D453,0)</x:f>
        <x:v>0</x:v>
      </x:c>
      <x:c r="T453" s="42" t="str">
        <x:f>IF(A453="","",IF(COUNTIFS($A$6:$A$505,A453)&lt;&gt;1,"Duplicate ID",IF(OR(NOT(ISNUMBER(B453)),D453&lt;=0,NOT(ISNUMBER(D453)),I453="",J453="",L453=""),"Missing date/amount/ref/details",IF(OR(COUNTIFS('Accounts'!$A$6:$A$105,Q453)&lt;&gt;1,COUNTIFS('Accounts'!$A$6:$A$105,R453)&lt;&gt;1,Q453=R453),"Check accounts/event",IF(AND(OR(Q453="Trade payables",R453="Trade payables",Q453="Customer receivables",R453="Customer receivables",Q453="Courier receivables",R453="Courier receivables",Q453="Supplier advances",R453="Supplier advances"),H453=""),"Contact ID required",IF(AND(N453="Approved",OR(M453="",M453=L453)),"Independent review needed",IF(OR(N453="Draft",N453="Approved",N453="Void"),"OK","Status required")))))))</x:f>
      </x:c>
    </x:row>
    <x:row r="454" ht="23" customHeight="1">
      <x:c r="A454" s="36"/>
      <x:c r="B454" s="40"/>
      <x:c r="C454" s="36"/>
      <x:c r="D454" s="41"/>
      <x:c r="E454" s="36"/>
      <x:c r="F454" s="36"/>
      <x:c r="G454" s="36"/>
      <x:c r="H454" s="36"/>
      <x:c r="I454" s="36"/>
      <x:c r="J454" s="36"/>
      <x:c r="K454" s="36"/>
      <x:c r="L454" s="36"/>
      <x:c r="M454" s="36"/>
      <x:c r="N454" s="36"/>
      <x:c r="O454" s="42" t="str">
        <x:f>IF(A454="","",IF(COUNTIFS('Event Guide'!$A$6:$A$29,C454)=1,VLOOKUP(C454,'Event Guide'!$A$6:$C$29,2,FALSE),"Unknown event"))</x:f>
      </x:c>
      <x:c r="P454" s="42" t="str">
        <x:f>IF(A454="","",IF(COUNTIFS('Event Guide'!$A$6:$A$29,C454)=1,VLOOKUP(C454,'Event Guide'!$A$6:$C$29,3,FALSE),"Unknown event"))</x:f>
      </x:c>
      <x:c r="Q454" s="42" t="str">
        <x:f>IF(A454="","",IF(O454="PAY",E454,IF(O454="OTHER",F454,IF(O454="CAPITAL","Capital - "&amp;G454,IF(O454="DUE","Due to - "&amp;G454,IF(O454="DRAW","Drawings - "&amp;G454,O454))))))</x:f>
      </x:c>
      <x:c r="R454" s="42" t="str">
        <x:f>IF(A454="","",IF(P454="PAY",E454,IF(P454="OTHER",F454,IF(P454="CAPITAL","Capital - "&amp;G454,IF(P454="DUE","Due to - "&amp;G454,IF(P454="DRAW","Drawings - "&amp;G454,P454))))))</x:f>
      </x:c>
      <x:c r="S454" s="37" t="n">
        <x:f>IF(AND(N454="Approved",T454="OK"),D454,0)</x:f>
        <x:v>0</x:v>
      </x:c>
      <x:c r="T454" s="42" t="str">
        <x:f>IF(A454="","",IF(COUNTIFS($A$6:$A$505,A454)&lt;&gt;1,"Duplicate ID",IF(OR(NOT(ISNUMBER(B454)),D454&lt;=0,NOT(ISNUMBER(D454)),I454="",J454="",L454=""),"Missing date/amount/ref/details",IF(OR(COUNTIFS('Accounts'!$A$6:$A$105,Q454)&lt;&gt;1,COUNTIFS('Accounts'!$A$6:$A$105,R454)&lt;&gt;1,Q454=R454),"Check accounts/event",IF(AND(OR(Q454="Trade payables",R454="Trade payables",Q454="Customer receivables",R454="Customer receivables",Q454="Courier receivables",R454="Courier receivables",Q454="Supplier advances",R454="Supplier advances"),H454=""),"Contact ID required",IF(AND(N454="Approved",OR(M454="",M454=L454)),"Independent review needed",IF(OR(N454="Draft",N454="Approved",N454="Void"),"OK","Status required")))))))</x:f>
      </x:c>
    </x:row>
    <x:row r="455" ht="23" customHeight="1">
      <x:c r="A455" s="36"/>
      <x:c r="B455" s="40"/>
      <x:c r="C455" s="36"/>
      <x:c r="D455" s="41"/>
      <x:c r="E455" s="36"/>
      <x:c r="F455" s="36"/>
      <x:c r="G455" s="36"/>
      <x:c r="H455" s="36"/>
      <x:c r="I455" s="36"/>
      <x:c r="J455" s="36"/>
      <x:c r="K455" s="36"/>
      <x:c r="L455" s="36"/>
      <x:c r="M455" s="36"/>
      <x:c r="N455" s="36"/>
      <x:c r="O455" s="42" t="str">
        <x:f>IF(A455="","",IF(COUNTIFS('Event Guide'!$A$6:$A$29,C455)=1,VLOOKUP(C455,'Event Guide'!$A$6:$C$29,2,FALSE),"Unknown event"))</x:f>
      </x:c>
      <x:c r="P455" s="42" t="str">
        <x:f>IF(A455="","",IF(COUNTIFS('Event Guide'!$A$6:$A$29,C455)=1,VLOOKUP(C455,'Event Guide'!$A$6:$C$29,3,FALSE),"Unknown event"))</x:f>
      </x:c>
      <x:c r="Q455" s="42" t="str">
        <x:f>IF(A455="","",IF(O455="PAY",E455,IF(O455="OTHER",F455,IF(O455="CAPITAL","Capital - "&amp;G455,IF(O455="DUE","Due to - "&amp;G455,IF(O455="DRAW","Drawings - "&amp;G455,O455))))))</x:f>
      </x:c>
      <x:c r="R455" s="42" t="str">
        <x:f>IF(A455="","",IF(P455="PAY",E455,IF(P455="OTHER",F455,IF(P455="CAPITAL","Capital - "&amp;G455,IF(P455="DUE","Due to - "&amp;G455,IF(P455="DRAW","Drawings - "&amp;G455,P455))))))</x:f>
      </x:c>
      <x:c r="S455" s="37" t="n">
        <x:f>IF(AND(N455="Approved",T455="OK"),D455,0)</x:f>
        <x:v>0</x:v>
      </x:c>
      <x:c r="T455" s="42" t="str">
        <x:f>IF(A455="","",IF(COUNTIFS($A$6:$A$505,A455)&lt;&gt;1,"Duplicate ID",IF(OR(NOT(ISNUMBER(B455)),D455&lt;=0,NOT(ISNUMBER(D455)),I455="",J455="",L455=""),"Missing date/amount/ref/details",IF(OR(COUNTIFS('Accounts'!$A$6:$A$105,Q455)&lt;&gt;1,COUNTIFS('Accounts'!$A$6:$A$105,R455)&lt;&gt;1,Q455=R455),"Check accounts/event",IF(AND(OR(Q455="Trade payables",R455="Trade payables",Q455="Customer receivables",R455="Customer receivables",Q455="Courier receivables",R455="Courier receivables",Q455="Supplier advances",R455="Supplier advances"),H455=""),"Contact ID required",IF(AND(N455="Approved",OR(M455="",M455=L455)),"Independent review needed",IF(OR(N455="Draft",N455="Approved",N455="Void"),"OK","Status required")))))))</x:f>
      </x:c>
    </x:row>
    <x:row r="456" ht="23" customHeight="1">
      <x:c r="A456" s="36"/>
      <x:c r="B456" s="40"/>
      <x:c r="C456" s="36"/>
      <x:c r="D456" s="41"/>
      <x:c r="E456" s="36"/>
      <x:c r="F456" s="36"/>
      <x:c r="G456" s="36"/>
      <x:c r="H456" s="36"/>
      <x:c r="I456" s="36"/>
      <x:c r="J456" s="36"/>
      <x:c r="K456" s="36"/>
      <x:c r="L456" s="36"/>
      <x:c r="M456" s="36"/>
      <x:c r="N456" s="36"/>
      <x:c r="O456" s="42" t="str">
        <x:f>IF(A456="","",IF(COUNTIFS('Event Guide'!$A$6:$A$29,C456)=1,VLOOKUP(C456,'Event Guide'!$A$6:$C$29,2,FALSE),"Unknown event"))</x:f>
      </x:c>
      <x:c r="P456" s="42" t="str">
        <x:f>IF(A456="","",IF(COUNTIFS('Event Guide'!$A$6:$A$29,C456)=1,VLOOKUP(C456,'Event Guide'!$A$6:$C$29,3,FALSE),"Unknown event"))</x:f>
      </x:c>
      <x:c r="Q456" s="42" t="str">
        <x:f>IF(A456="","",IF(O456="PAY",E456,IF(O456="OTHER",F456,IF(O456="CAPITAL","Capital - "&amp;G456,IF(O456="DUE","Due to - "&amp;G456,IF(O456="DRAW","Drawings - "&amp;G456,O456))))))</x:f>
      </x:c>
      <x:c r="R456" s="42" t="str">
        <x:f>IF(A456="","",IF(P456="PAY",E456,IF(P456="OTHER",F456,IF(P456="CAPITAL","Capital - "&amp;G456,IF(P456="DUE","Due to - "&amp;G456,IF(P456="DRAW","Drawings - "&amp;G456,P456))))))</x:f>
      </x:c>
      <x:c r="S456" s="37" t="n">
        <x:f>IF(AND(N456="Approved",T456="OK"),D456,0)</x:f>
        <x:v>0</x:v>
      </x:c>
      <x:c r="T456" s="42" t="str">
        <x:f>IF(A456="","",IF(COUNTIFS($A$6:$A$505,A456)&lt;&gt;1,"Duplicate ID",IF(OR(NOT(ISNUMBER(B456)),D456&lt;=0,NOT(ISNUMBER(D456)),I456="",J456="",L456=""),"Missing date/amount/ref/details",IF(OR(COUNTIFS('Accounts'!$A$6:$A$105,Q456)&lt;&gt;1,COUNTIFS('Accounts'!$A$6:$A$105,R456)&lt;&gt;1,Q456=R456),"Check accounts/event",IF(AND(OR(Q456="Trade payables",R456="Trade payables",Q456="Customer receivables",R456="Customer receivables",Q456="Courier receivables",R456="Courier receivables",Q456="Supplier advances",R456="Supplier advances"),H456=""),"Contact ID required",IF(AND(N456="Approved",OR(M456="",M456=L456)),"Independent review needed",IF(OR(N456="Draft",N456="Approved",N456="Void"),"OK","Status required")))))))</x:f>
      </x:c>
    </x:row>
    <x:row r="457" ht="23" customHeight="1">
      <x:c r="A457" s="36"/>
      <x:c r="B457" s="40"/>
      <x:c r="C457" s="36"/>
      <x:c r="D457" s="41"/>
      <x:c r="E457" s="36"/>
      <x:c r="F457" s="36"/>
      <x:c r="G457" s="36"/>
      <x:c r="H457" s="36"/>
      <x:c r="I457" s="36"/>
      <x:c r="J457" s="36"/>
      <x:c r="K457" s="36"/>
      <x:c r="L457" s="36"/>
      <x:c r="M457" s="36"/>
      <x:c r="N457" s="36"/>
      <x:c r="O457" s="42" t="str">
        <x:f>IF(A457="","",IF(COUNTIFS('Event Guide'!$A$6:$A$29,C457)=1,VLOOKUP(C457,'Event Guide'!$A$6:$C$29,2,FALSE),"Unknown event"))</x:f>
      </x:c>
      <x:c r="P457" s="42" t="str">
        <x:f>IF(A457="","",IF(COUNTIFS('Event Guide'!$A$6:$A$29,C457)=1,VLOOKUP(C457,'Event Guide'!$A$6:$C$29,3,FALSE),"Unknown event"))</x:f>
      </x:c>
      <x:c r="Q457" s="42" t="str">
        <x:f>IF(A457="","",IF(O457="PAY",E457,IF(O457="OTHER",F457,IF(O457="CAPITAL","Capital - "&amp;G457,IF(O457="DUE","Due to - "&amp;G457,IF(O457="DRAW","Drawings - "&amp;G457,O457))))))</x:f>
      </x:c>
      <x:c r="R457" s="42" t="str">
        <x:f>IF(A457="","",IF(P457="PAY",E457,IF(P457="OTHER",F457,IF(P457="CAPITAL","Capital - "&amp;G457,IF(P457="DUE","Due to - "&amp;G457,IF(P457="DRAW","Drawings - "&amp;G457,P457))))))</x:f>
      </x:c>
      <x:c r="S457" s="37" t="n">
        <x:f>IF(AND(N457="Approved",T457="OK"),D457,0)</x:f>
        <x:v>0</x:v>
      </x:c>
      <x:c r="T457" s="42" t="str">
        <x:f>IF(A457="","",IF(COUNTIFS($A$6:$A$505,A457)&lt;&gt;1,"Duplicate ID",IF(OR(NOT(ISNUMBER(B457)),D457&lt;=0,NOT(ISNUMBER(D457)),I457="",J457="",L457=""),"Missing date/amount/ref/details",IF(OR(COUNTIFS('Accounts'!$A$6:$A$105,Q457)&lt;&gt;1,COUNTIFS('Accounts'!$A$6:$A$105,R457)&lt;&gt;1,Q457=R457),"Check accounts/event",IF(AND(OR(Q457="Trade payables",R457="Trade payables",Q457="Customer receivables",R457="Customer receivables",Q457="Courier receivables",R457="Courier receivables",Q457="Supplier advances",R457="Supplier advances"),H457=""),"Contact ID required",IF(AND(N457="Approved",OR(M457="",M457=L457)),"Independent review needed",IF(OR(N457="Draft",N457="Approved",N457="Void"),"OK","Status required")))))))</x:f>
      </x:c>
    </x:row>
    <x:row r="458" ht="23" customHeight="1">
      <x:c r="A458" s="36"/>
      <x:c r="B458" s="40"/>
      <x:c r="C458" s="36"/>
      <x:c r="D458" s="41"/>
      <x:c r="E458" s="36"/>
      <x:c r="F458" s="36"/>
      <x:c r="G458" s="36"/>
      <x:c r="H458" s="36"/>
      <x:c r="I458" s="36"/>
      <x:c r="J458" s="36"/>
      <x:c r="K458" s="36"/>
      <x:c r="L458" s="36"/>
      <x:c r="M458" s="36"/>
      <x:c r="N458" s="36"/>
      <x:c r="O458" s="42" t="str">
        <x:f>IF(A458="","",IF(COUNTIFS('Event Guide'!$A$6:$A$29,C458)=1,VLOOKUP(C458,'Event Guide'!$A$6:$C$29,2,FALSE),"Unknown event"))</x:f>
      </x:c>
      <x:c r="P458" s="42" t="str">
        <x:f>IF(A458="","",IF(COUNTIFS('Event Guide'!$A$6:$A$29,C458)=1,VLOOKUP(C458,'Event Guide'!$A$6:$C$29,3,FALSE),"Unknown event"))</x:f>
      </x:c>
      <x:c r="Q458" s="42" t="str">
        <x:f>IF(A458="","",IF(O458="PAY",E458,IF(O458="OTHER",F458,IF(O458="CAPITAL","Capital - "&amp;G458,IF(O458="DUE","Due to - "&amp;G458,IF(O458="DRAW","Drawings - "&amp;G458,O458))))))</x:f>
      </x:c>
      <x:c r="R458" s="42" t="str">
        <x:f>IF(A458="","",IF(P458="PAY",E458,IF(P458="OTHER",F458,IF(P458="CAPITAL","Capital - "&amp;G458,IF(P458="DUE","Due to - "&amp;G458,IF(P458="DRAW","Drawings - "&amp;G458,P458))))))</x:f>
      </x:c>
      <x:c r="S458" s="37" t="n">
        <x:f>IF(AND(N458="Approved",T458="OK"),D458,0)</x:f>
        <x:v>0</x:v>
      </x:c>
      <x:c r="T458" s="42" t="str">
        <x:f>IF(A458="","",IF(COUNTIFS($A$6:$A$505,A458)&lt;&gt;1,"Duplicate ID",IF(OR(NOT(ISNUMBER(B458)),D458&lt;=0,NOT(ISNUMBER(D458)),I458="",J458="",L458=""),"Missing date/amount/ref/details",IF(OR(COUNTIFS('Accounts'!$A$6:$A$105,Q458)&lt;&gt;1,COUNTIFS('Accounts'!$A$6:$A$105,R458)&lt;&gt;1,Q458=R458),"Check accounts/event",IF(AND(OR(Q458="Trade payables",R458="Trade payables",Q458="Customer receivables",R458="Customer receivables",Q458="Courier receivables",R458="Courier receivables",Q458="Supplier advances",R458="Supplier advances"),H458=""),"Contact ID required",IF(AND(N458="Approved",OR(M458="",M458=L458)),"Independent review needed",IF(OR(N458="Draft",N458="Approved",N458="Void"),"OK","Status required")))))))</x:f>
      </x:c>
    </x:row>
    <x:row r="459" ht="23" customHeight="1">
      <x:c r="A459" s="36"/>
      <x:c r="B459" s="40"/>
      <x:c r="C459" s="36"/>
      <x:c r="D459" s="41"/>
      <x:c r="E459" s="36"/>
      <x:c r="F459" s="36"/>
      <x:c r="G459" s="36"/>
      <x:c r="H459" s="36"/>
      <x:c r="I459" s="36"/>
      <x:c r="J459" s="36"/>
      <x:c r="K459" s="36"/>
      <x:c r="L459" s="36"/>
      <x:c r="M459" s="36"/>
      <x:c r="N459" s="36"/>
      <x:c r="O459" s="42" t="str">
        <x:f>IF(A459="","",IF(COUNTIFS('Event Guide'!$A$6:$A$29,C459)=1,VLOOKUP(C459,'Event Guide'!$A$6:$C$29,2,FALSE),"Unknown event"))</x:f>
      </x:c>
      <x:c r="P459" s="42" t="str">
        <x:f>IF(A459="","",IF(COUNTIFS('Event Guide'!$A$6:$A$29,C459)=1,VLOOKUP(C459,'Event Guide'!$A$6:$C$29,3,FALSE),"Unknown event"))</x:f>
      </x:c>
      <x:c r="Q459" s="42" t="str">
        <x:f>IF(A459="","",IF(O459="PAY",E459,IF(O459="OTHER",F459,IF(O459="CAPITAL","Capital - "&amp;G459,IF(O459="DUE","Due to - "&amp;G459,IF(O459="DRAW","Drawings - "&amp;G459,O459))))))</x:f>
      </x:c>
      <x:c r="R459" s="42" t="str">
        <x:f>IF(A459="","",IF(P459="PAY",E459,IF(P459="OTHER",F459,IF(P459="CAPITAL","Capital - "&amp;G459,IF(P459="DUE","Due to - "&amp;G459,IF(P459="DRAW","Drawings - "&amp;G459,P459))))))</x:f>
      </x:c>
      <x:c r="S459" s="37" t="n">
        <x:f>IF(AND(N459="Approved",T459="OK"),D459,0)</x:f>
        <x:v>0</x:v>
      </x:c>
      <x:c r="T459" s="42" t="str">
        <x:f>IF(A459="","",IF(COUNTIFS($A$6:$A$505,A459)&lt;&gt;1,"Duplicate ID",IF(OR(NOT(ISNUMBER(B459)),D459&lt;=0,NOT(ISNUMBER(D459)),I459="",J459="",L459=""),"Missing date/amount/ref/details",IF(OR(COUNTIFS('Accounts'!$A$6:$A$105,Q459)&lt;&gt;1,COUNTIFS('Accounts'!$A$6:$A$105,R459)&lt;&gt;1,Q459=R459),"Check accounts/event",IF(AND(OR(Q459="Trade payables",R459="Trade payables",Q459="Customer receivables",R459="Customer receivables",Q459="Courier receivables",R459="Courier receivables",Q459="Supplier advances",R459="Supplier advances"),H459=""),"Contact ID required",IF(AND(N459="Approved",OR(M459="",M459=L459)),"Independent review needed",IF(OR(N459="Draft",N459="Approved",N459="Void"),"OK","Status required")))))))</x:f>
      </x:c>
    </x:row>
    <x:row r="460" ht="23" customHeight="1">
      <x:c r="A460" s="36"/>
      <x:c r="B460" s="40"/>
      <x:c r="C460" s="36"/>
      <x:c r="D460" s="41"/>
      <x:c r="E460" s="36"/>
      <x:c r="F460" s="36"/>
      <x:c r="G460" s="36"/>
      <x:c r="H460" s="36"/>
      <x:c r="I460" s="36"/>
      <x:c r="J460" s="36"/>
      <x:c r="K460" s="36"/>
      <x:c r="L460" s="36"/>
      <x:c r="M460" s="36"/>
      <x:c r="N460" s="36"/>
      <x:c r="O460" s="42" t="str">
        <x:f>IF(A460="","",IF(COUNTIFS('Event Guide'!$A$6:$A$29,C460)=1,VLOOKUP(C460,'Event Guide'!$A$6:$C$29,2,FALSE),"Unknown event"))</x:f>
      </x:c>
      <x:c r="P460" s="42" t="str">
        <x:f>IF(A460="","",IF(COUNTIFS('Event Guide'!$A$6:$A$29,C460)=1,VLOOKUP(C460,'Event Guide'!$A$6:$C$29,3,FALSE),"Unknown event"))</x:f>
      </x:c>
      <x:c r="Q460" s="42" t="str">
        <x:f>IF(A460="","",IF(O460="PAY",E460,IF(O460="OTHER",F460,IF(O460="CAPITAL","Capital - "&amp;G460,IF(O460="DUE","Due to - "&amp;G460,IF(O460="DRAW","Drawings - "&amp;G460,O460))))))</x:f>
      </x:c>
      <x:c r="R460" s="42" t="str">
        <x:f>IF(A460="","",IF(P460="PAY",E460,IF(P460="OTHER",F460,IF(P460="CAPITAL","Capital - "&amp;G460,IF(P460="DUE","Due to - "&amp;G460,IF(P460="DRAW","Drawings - "&amp;G460,P460))))))</x:f>
      </x:c>
      <x:c r="S460" s="37" t="n">
        <x:f>IF(AND(N460="Approved",T460="OK"),D460,0)</x:f>
        <x:v>0</x:v>
      </x:c>
      <x:c r="T460" s="42" t="str">
        <x:f>IF(A460="","",IF(COUNTIFS($A$6:$A$505,A460)&lt;&gt;1,"Duplicate ID",IF(OR(NOT(ISNUMBER(B460)),D460&lt;=0,NOT(ISNUMBER(D460)),I460="",J460="",L460=""),"Missing date/amount/ref/details",IF(OR(COUNTIFS('Accounts'!$A$6:$A$105,Q460)&lt;&gt;1,COUNTIFS('Accounts'!$A$6:$A$105,R460)&lt;&gt;1,Q460=R460),"Check accounts/event",IF(AND(OR(Q460="Trade payables",R460="Trade payables",Q460="Customer receivables",R460="Customer receivables",Q460="Courier receivables",R460="Courier receivables",Q460="Supplier advances",R460="Supplier advances"),H460=""),"Contact ID required",IF(AND(N460="Approved",OR(M460="",M460=L460)),"Independent review needed",IF(OR(N460="Draft",N460="Approved",N460="Void"),"OK","Status required")))))))</x:f>
      </x:c>
    </x:row>
    <x:row r="461" ht="23" customHeight="1">
      <x:c r="A461" s="36"/>
      <x:c r="B461" s="40"/>
      <x:c r="C461" s="36"/>
      <x:c r="D461" s="41"/>
      <x:c r="E461" s="36"/>
      <x:c r="F461" s="36"/>
      <x:c r="G461" s="36"/>
      <x:c r="H461" s="36"/>
      <x:c r="I461" s="36"/>
      <x:c r="J461" s="36"/>
      <x:c r="K461" s="36"/>
      <x:c r="L461" s="36"/>
      <x:c r="M461" s="36"/>
      <x:c r="N461" s="36"/>
      <x:c r="O461" s="42" t="str">
        <x:f>IF(A461="","",IF(COUNTIFS('Event Guide'!$A$6:$A$29,C461)=1,VLOOKUP(C461,'Event Guide'!$A$6:$C$29,2,FALSE),"Unknown event"))</x:f>
      </x:c>
      <x:c r="P461" s="42" t="str">
        <x:f>IF(A461="","",IF(COUNTIFS('Event Guide'!$A$6:$A$29,C461)=1,VLOOKUP(C461,'Event Guide'!$A$6:$C$29,3,FALSE),"Unknown event"))</x:f>
      </x:c>
      <x:c r="Q461" s="42" t="str">
        <x:f>IF(A461="","",IF(O461="PAY",E461,IF(O461="OTHER",F461,IF(O461="CAPITAL","Capital - "&amp;G461,IF(O461="DUE","Due to - "&amp;G461,IF(O461="DRAW","Drawings - "&amp;G461,O461))))))</x:f>
      </x:c>
      <x:c r="R461" s="42" t="str">
        <x:f>IF(A461="","",IF(P461="PAY",E461,IF(P461="OTHER",F461,IF(P461="CAPITAL","Capital - "&amp;G461,IF(P461="DUE","Due to - "&amp;G461,IF(P461="DRAW","Drawings - "&amp;G461,P461))))))</x:f>
      </x:c>
      <x:c r="S461" s="37" t="n">
        <x:f>IF(AND(N461="Approved",T461="OK"),D461,0)</x:f>
        <x:v>0</x:v>
      </x:c>
      <x:c r="T461" s="42" t="str">
        <x:f>IF(A461="","",IF(COUNTIFS($A$6:$A$505,A461)&lt;&gt;1,"Duplicate ID",IF(OR(NOT(ISNUMBER(B461)),D461&lt;=0,NOT(ISNUMBER(D461)),I461="",J461="",L461=""),"Missing date/amount/ref/details",IF(OR(COUNTIFS('Accounts'!$A$6:$A$105,Q461)&lt;&gt;1,COUNTIFS('Accounts'!$A$6:$A$105,R461)&lt;&gt;1,Q461=R461),"Check accounts/event",IF(AND(OR(Q461="Trade payables",R461="Trade payables",Q461="Customer receivables",R461="Customer receivables",Q461="Courier receivables",R461="Courier receivables",Q461="Supplier advances",R461="Supplier advances"),H461=""),"Contact ID required",IF(AND(N461="Approved",OR(M461="",M461=L461)),"Independent review needed",IF(OR(N461="Draft",N461="Approved",N461="Void"),"OK","Status required")))))))</x:f>
      </x:c>
    </x:row>
    <x:row r="462" ht="23" customHeight="1">
      <x:c r="A462" s="36"/>
      <x:c r="B462" s="40"/>
      <x:c r="C462" s="36"/>
      <x:c r="D462" s="41"/>
      <x:c r="E462" s="36"/>
      <x:c r="F462" s="36"/>
      <x:c r="G462" s="36"/>
      <x:c r="H462" s="36"/>
      <x:c r="I462" s="36"/>
      <x:c r="J462" s="36"/>
      <x:c r="K462" s="36"/>
      <x:c r="L462" s="36"/>
      <x:c r="M462" s="36"/>
      <x:c r="N462" s="36"/>
      <x:c r="O462" s="42" t="str">
        <x:f>IF(A462="","",IF(COUNTIFS('Event Guide'!$A$6:$A$29,C462)=1,VLOOKUP(C462,'Event Guide'!$A$6:$C$29,2,FALSE),"Unknown event"))</x:f>
      </x:c>
      <x:c r="P462" s="42" t="str">
        <x:f>IF(A462="","",IF(COUNTIFS('Event Guide'!$A$6:$A$29,C462)=1,VLOOKUP(C462,'Event Guide'!$A$6:$C$29,3,FALSE),"Unknown event"))</x:f>
      </x:c>
      <x:c r="Q462" s="42" t="str">
        <x:f>IF(A462="","",IF(O462="PAY",E462,IF(O462="OTHER",F462,IF(O462="CAPITAL","Capital - "&amp;G462,IF(O462="DUE","Due to - "&amp;G462,IF(O462="DRAW","Drawings - "&amp;G462,O462))))))</x:f>
      </x:c>
      <x:c r="R462" s="42" t="str">
        <x:f>IF(A462="","",IF(P462="PAY",E462,IF(P462="OTHER",F462,IF(P462="CAPITAL","Capital - "&amp;G462,IF(P462="DUE","Due to - "&amp;G462,IF(P462="DRAW","Drawings - "&amp;G462,P462))))))</x:f>
      </x:c>
      <x:c r="S462" s="37" t="n">
        <x:f>IF(AND(N462="Approved",T462="OK"),D462,0)</x:f>
        <x:v>0</x:v>
      </x:c>
      <x:c r="T462" s="42" t="str">
        <x:f>IF(A462="","",IF(COUNTIFS($A$6:$A$505,A462)&lt;&gt;1,"Duplicate ID",IF(OR(NOT(ISNUMBER(B462)),D462&lt;=0,NOT(ISNUMBER(D462)),I462="",J462="",L462=""),"Missing date/amount/ref/details",IF(OR(COUNTIFS('Accounts'!$A$6:$A$105,Q462)&lt;&gt;1,COUNTIFS('Accounts'!$A$6:$A$105,R462)&lt;&gt;1,Q462=R462),"Check accounts/event",IF(AND(OR(Q462="Trade payables",R462="Trade payables",Q462="Customer receivables",R462="Customer receivables",Q462="Courier receivables",R462="Courier receivables",Q462="Supplier advances",R462="Supplier advances"),H462=""),"Contact ID required",IF(AND(N462="Approved",OR(M462="",M462=L462)),"Independent review needed",IF(OR(N462="Draft",N462="Approved",N462="Void"),"OK","Status required")))))))</x:f>
      </x:c>
    </x:row>
    <x:row r="463" ht="23" customHeight="1">
      <x:c r="A463" s="36"/>
      <x:c r="B463" s="40"/>
      <x:c r="C463" s="36"/>
      <x:c r="D463" s="41"/>
      <x:c r="E463" s="36"/>
      <x:c r="F463" s="36"/>
      <x:c r="G463" s="36"/>
      <x:c r="H463" s="36"/>
      <x:c r="I463" s="36"/>
      <x:c r="J463" s="36"/>
      <x:c r="K463" s="36"/>
      <x:c r="L463" s="36"/>
      <x:c r="M463" s="36"/>
      <x:c r="N463" s="36"/>
      <x:c r="O463" s="42" t="str">
        <x:f>IF(A463="","",IF(COUNTIFS('Event Guide'!$A$6:$A$29,C463)=1,VLOOKUP(C463,'Event Guide'!$A$6:$C$29,2,FALSE),"Unknown event"))</x:f>
      </x:c>
      <x:c r="P463" s="42" t="str">
        <x:f>IF(A463="","",IF(COUNTIFS('Event Guide'!$A$6:$A$29,C463)=1,VLOOKUP(C463,'Event Guide'!$A$6:$C$29,3,FALSE),"Unknown event"))</x:f>
      </x:c>
      <x:c r="Q463" s="42" t="str">
        <x:f>IF(A463="","",IF(O463="PAY",E463,IF(O463="OTHER",F463,IF(O463="CAPITAL","Capital - "&amp;G463,IF(O463="DUE","Due to - "&amp;G463,IF(O463="DRAW","Drawings - "&amp;G463,O463))))))</x:f>
      </x:c>
      <x:c r="R463" s="42" t="str">
        <x:f>IF(A463="","",IF(P463="PAY",E463,IF(P463="OTHER",F463,IF(P463="CAPITAL","Capital - "&amp;G463,IF(P463="DUE","Due to - "&amp;G463,IF(P463="DRAW","Drawings - "&amp;G463,P463))))))</x:f>
      </x:c>
      <x:c r="S463" s="37" t="n">
        <x:f>IF(AND(N463="Approved",T463="OK"),D463,0)</x:f>
        <x:v>0</x:v>
      </x:c>
      <x:c r="T463" s="42" t="str">
        <x:f>IF(A463="","",IF(COUNTIFS($A$6:$A$505,A463)&lt;&gt;1,"Duplicate ID",IF(OR(NOT(ISNUMBER(B463)),D463&lt;=0,NOT(ISNUMBER(D463)),I463="",J463="",L463=""),"Missing date/amount/ref/details",IF(OR(COUNTIFS('Accounts'!$A$6:$A$105,Q463)&lt;&gt;1,COUNTIFS('Accounts'!$A$6:$A$105,R463)&lt;&gt;1,Q463=R463),"Check accounts/event",IF(AND(OR(Q463="Trade payables",R463="Trade payables",Q463="Customer receivables",R463="Customer receivables",Q463="Courier receivables",R463="Courier receivables",Q463="Supplier advances",R463="Supplier advances"),H463=""),"Contact ID required",IF(AND(N463="Approved",OR(M463="",M463=L463)),"Independent review needed",IF(OR(N463="Draft",N463="Approved",N463="Void"),"OK","Status required")))))))</x:f>
      </x:c>
    </x:row>
    <x:row r="464" ht="23" customHeight="1">
      <x:c r="A464" s="36"/>
      <x:c r="B464" s="40"/>
      <x:c r="C464" s="36"/>
      <x:c r="D464" s="41"/>
      <x:c r="E464" s="36"/>
      <x:c r="F464" s="36"/>
      <x:c r="G464" s="36"/>
      <x:c r="H464" s="36"/>
      <x:c r="I464" s="36"/>
      <x:c r="J464" s="36"/>
      <x:c r="K464" s="36"/>
      <x:c r="L464" s="36"/>
      <x:c r="M464" s="36"/>
      <x:c r="N464" s="36"/>
      <x:c r="O464" s="42" t="str">
        <x:f>IF(A464="","",IF(COUNTIFS('Event Guide'!$A$6:$A$29,C464)=1,VLOOKUP(C464,'Event Guide'!$A$6:$C$29,2,FALSE),"Unknown event"))</x:f>
      </x:c>
      <x:c r="P464" s="42" t="str">
        <x:f>IF(A464="","",IF(COUNTIFS('Event Guide'!$A$6:$A$29,C464)=1,VLOOKUP(C464,'Event Guide'!$A$6:$C$29,3,FALSE),"Unknown event"))</x:f>
      </x:c>
      <x:c r="Q464" s="42" t="str">
        <x:f>IF(A464="","",IF(O464="PAY",E464,IF(O464="OTHER",F464,IF(O464="CAPITAL","Capital - "&amp;G464,IF(O464="DUE","Due to - "&amp;G464,IF(O464="DRAW","Drawings - "&amp;G464,O464))))))</x:f>
      </x:c>
      <x:c r="R464" s="42" t="str">
        <x:f>IF(A464="","",IF(P464="PAY",E464,IF(P464="OTHER",F464,IF(P464="CAPITAL","Capital - "&amp;G464,IF(P464="DUE","Due to - "&amp;G464,IF(P464="DRAW","Drawings - "&amp;G464,P464))))))</x:f>
      </x:c>
      <x:c r="S464" s="37" t="n">
        <x:f>IF(AND(N464="Approved",T464="OK"),D464,0)</x:f>
        <x:v>0</x:v>
      </x:c>
      <x:c r="T464" s="42" t="str">
        <x:f>IF(A464="","",IF(COUNTIFS($A$6:$A$505,A464)&lt;&gt;1,"Duplicate ID",IF(OR(NOT(ISNUMBER(B464)),D464&lt;=0,NOT(ISNUMBER(D464)),I464="",J464="",L464=""),"Missing date/amount/ref/details",IF(OR(COUNTIFS('Accounts'!$A$6:$A$105,Q464)&lt;&gt;1,COUNTIFS('Accounts'!$A$6:$A$105,R464)&lt;&gt;1,Q464=R464),"Check accounts/event",IF(AND(OR(Q464="Trade payables",R464="Trade payables",Q464="Customer receivables",R464="Customer receivables",Q464="Courier receivables",R464="Courier receivables",Q464="Supplier advances",R464="Supplier advances"),H464=""),"Contact ID required",IF(AND(N464="Approved",OR(M464="",M464=L464)),"Independent review needed",IF(OR(N464="Draft",N464="Approved",N464="Void"),"OK","Status required")))))))</x:f>
      </x:c>
    </x:row>
    <x:row r="465" ht="23" customHeight="1">
      <x:c r="A465" s="36"/>
      <x:c r="B465" s="40"/>
      <x:c r="C465" s="36"/>
      <x:c r="D465" s="41"/>
      <x:c r="E465" s="36"/>
      <x:c r="F465" s="36"/>
      <x:c r="G465" s="36"/>
      <x:c r="H465" s="36"/>
      <x:c r="I465" s="36"/>
      <x:c r="J465" s="36"/>
      <x:c r="K465" s="36"/>
      <x:c r="L465" s="36"/>
      <x:c r="M465" s="36"/>
      <x:c r="N465" s="36"/>
      <x:c r="O465" s="42" t="str">
        <x:f>IF(A465="","",IF(COUNTIFS('Event Guide'!$A$6:$A$29,C465)=1,VLOOKUP(C465,'Event Guide'!$A$6:$C$29,2,FALSE),"Unknown event"))</x:f>
      </x:c>
      <x:c r="P465" s="42" t="str">
        <x:f>IF(A465="","",IF(COUNTIFS('Event Guide'!$A$6:$A$29,C465)=1,VLOOKUP(C465,'Event Guide'!$A$6:$C$29,3,FALSE),"Unknown event"))</x:f>
      </x:c>
      <x:c r="Q465" s="42" t="str">
        <x:f>IF(A465="","",IF(O465="PAY",E465,IF(O465="OTHER",F465,IF(O465="CAPITAL","Capital - "&amp;G465,IF(O465="DUE","Due to - "&amp;G465,IF(O465="DRAW","Drawings - "&amp;G465,O465))))))</x:f>
      </x:c>
      <x:c r="R465" s="42" t="str">
        <x:f>IF(A465="","",IF(P465="PAY",E465,IF(P465="OTHER",F465,IF(P465="CAPITAL","Capital - "&amp;G465,IF(P465="DUE","Due to - "&amp;G465,IF(P465="DRAW","Drawings - "&amp;G465,P465))))))</x:f>
      </x:c>
      <x:c r="S465" s="37" t="n">
        <x:f>IF(AND(N465="Approved",T465="OK"),D465,0)</x:f>
        <x:v>0</x:v>
      </x:c>
      <x:c r="T465" s="42" t="str">
        <x:f>IF(A465="","",IF(COUNTIFS($A$6:$A$505,A465)&lt;&gt;1,"Duplicate ID",IF(OR(NOT(ISNUMBER(B465)),D465&lt;=0,NOT(ISNUMBER(D465)),I465="",J465="",L465=""),"Missing date/amount/ref/details",IF(OR(COUNTIFS('Accounts'!$A$6:$A$105,Q465)&lt;&gt;1,COUNTIFS('Accounts'!$A$6:$A$105,R465)&lt;&gt;1,Q465=R465),"Check accounts/event",IF(AND(OR(Q465="Trade payables",R465="Trade payables",Q465="Customer receivables",R465="Customer receivables",Q465="Courier receivables",R465="Courier receivables",Q465="Supplier advances",R465="Supplier advances"),H465=""),"Contact ID required",IF(AND(N465="Approved",OR(M465="",M465=L465)),"Independent review needed",IF(OR(N465="Draft",N465="Approved",N465="Void"),"OK","Status required")))))))</x:f>
      </x:c>
    </x:row>
    <x:row r="466" ht="23" customHeight="1">
      <x:c r="A466" s="36"/>
      <x:c r="B466" s="40"/>
      <x:c r="C466" s="36"/>
      <x:c r="D466" s="41"/>
      <x:c r="E466" s="36"/>
      <x:c r="F466" s="36"/>
      <x:c r="G466" s="36"/>
      <x:c r="H466" s="36"/>
      <x:c r="I466" s="36"/>
      <x:c r="J466" s="36"/>
      <x:c r="K466" s="36"/>
      <x:c r="L466" s="36"/>
      <x:c r="M466" s="36"/>
      <x:c r="N466" s="36"/>
      <x:c r="O466" s="42" t="str">
        <x:f>IF(A466="","",IF(COUNTIFS('Event Guide'!$A$6:$A$29,C466)=1,VLOOKUP(C466,'Event Guide'!$A$6:$C$29,2,FALSE),"Unknown event"))</x:f>
      </x:c>
      <x:c r="P466" s="42" t="str">
        <x:f>IF(A466="","",IF(COUNTIFS('Event Guide'!$A$6:$A$29,C466)=1,VLOOKUP(C466,'Event Guide'!$A$6:$C$29,3,FALSE),"Unknown event"))</x:f>
      </x:c>
      <x:c r="Q466" s="42" t="str">
        <x:f>IF(A466="","",IF(O466="PAY",E466,IF(O466="OTHER",F466,IF(O466="CAPITAL","Capital - "&amp;G466,IF(O466="DUE","Due to - "&amp;G466,IF(O466="DRAW","Drawings - "&amp;G466,O466))))))</x:f>
      </x:c>
      <x:c r="R466" s="42" t="str">
        <x:f>IF(A466="","",IF(P466="PAY",E466,IF(P466="OTHER",F466,IF(P466="CAPITAL","Capital - "&amp;G466,IF(P466="DUE","Due to - "&amp;G466,IF(P466="DRAW","Drawings - "&amp;G466,P466))))))</x:f>
      </x:c>
      <x:c r="S466" s="37" t="n">
        <x:f>IF(AND(N466="Approved",T466="OK"),D466,0)</x:f>
        <x:v>0</x:v>
      </x:c>
      <x:c r="T466" s="42" t="str">
        <x:f>IF(A466="","",IF(COUNTIFS($A$6:$A$505,A466)&lt;&gt;1,"Duplicate ID",IF(OR(NOT(ISNUMBER(B466)),D466&lt;=0,NOT(ISNUMBER(D466)),I466="",J466="",L466=""),"Missing date/amount/ref/details",IF(OR(COUNTIFS('Accounts'!$A$6:$A$105,Q466)&lt;&gt;1,COUNTIFS('Accounts'!$A$6:$A$105,R466)&lt;&gt;1,Q466=R466),"Check accounts/event",IF(AND(OR(Q466="Trade payables",R466="Trade payables",Q466="Customer receivables",R466="Customer receivables",Q466="Courier receivables",R466="Courier receivables",Q466="Supplier advances",R466="Supplier advances"),H466=""),"Contact ID required",IF(AND(N466="Approved",OR(M466="",M466=L466)),"Independent review needed",IF(OR(N466="Draft",N466="Approved",N466="Void"),"OK","Status required")))))))</x:f>
      </x:c>
    </x:row>
    <x:row r="467" ht="23" customHeight="1">
      <x:c r="A467" s="36"/>
      <x:c r="B467" s="40"/>
      <x:c r="C467" s="36"/>
      <x:c r="D467" s="41"/>
      <x:c r="E467" s="36"/>
      <x:c r="F467" s="36"/>
      <x:c r="G467" s="36"/>
      <x:c r="H467" s="36"/>
      <x:c r="I467" s="36"/>
      <x:c r="J467" s="36"/>
      <x:c r="K467" s="36"/>
      <x:c r="L467" s="36"/>
      <x:c r="M467" s="36"/>
      <x:c r="N467" s="36"/>
      <x:c r="O467" s="42" t="str">
        <x:f>IF(A467="","",IF(COUNTIFS('Event Guide'!$A$6:$A$29,C467)=1,VLOOKUP(C467,'Event Guide'!$A$6:$C$29,2,FALSE),"Unknown event"))</x:f>
      </x:c>
      <x:c r="P467" s="42" t="str">
        <x:f>IF(A467="","",IF(COUNTIFS('Event Guide'!$A$6:$A$29,C467)=1,VLOOKUP(C467,'Event Guide'!$A$6:$C$29,3,FALSE),"Unknown event"))</x:f>
      </x:c>
      <x:c r="Q467" s="42" t="str">
        <x:f>IF(A467="","",IF(O467="PAY",E467,IF(O467="OTHER",F467,IF(O467="CAPITAL","Capital - "&amp;G467,IF(O467="DUE","Due to - "&amp;G467,IF(O467="DRAW","Drawings - "&amp;G467,O467))))))</x:f>
      </x:c>
      <x:c r="R467" s="42" t="str">
        <x:f>IF(A467="","",IF(P467="PAY",E467,IF(P467="OTHER",F467,IF(P467="CAPITAL","Capital - "&amp;G467,IF(P467="DUE","Due to - "&amp;G467,IF(P467="DRAW","Drawings - "&amp;G467,P467))))))</x:f>
      </x:c>
      <x:c r="S467" s="37" t="n">
        <x:f>IF(AND(N467="Approved",T467="OK"),D467,0)</x:f>
        <x:v>0</x:v>
      </x:c>
      <x:c r="T467" s="42" t="str">
        <x:f>IF(A467="","",IF(COUNTIFS($A$6:$A$505,A467)&lt;&gt;1,"Duplicate ID",IF(OR(NOT(ISNUMBER(B467)),D467&lt;=0,NOT(ISNUMBER(D467)),I467="",J467="",L467=""),"Missing date/amount/ref/details",IF(OR(COUNTIFS('Accounts'!$A$6:$A$105,Q467)&lt;&gt;1,COUNTIFS('Accounts'!$A$6:$A$105,R467)&lt;&gt;1,Q467=R467),"Check accounts/event",IF(AND(OR(Q467="Trade payables",R467="Trade payables",Q467="Customer receivables",R467="Customer receivables",Q467="Courier receivables",R467="Courier receivables",Q467="Supplier advances",R467="Supplier advances"),H467=""),"Contact ID required",IF(AND(N467="Approved",OR(M467="",M467=L467)),"Independent review needed",IF(OR(N467="Draft",N467="Approved",N467="Void"),"OK","Status required")))))))</x:f>
      </x:c>
    </x:row>
    <x:row r="468" ht="23" customHeight="1">
      <x:c r="A468" s="36"/>
      <x:c r="B468" s="40"/>
      <x:c r="C468" s="36"/>
      <x:c r="D468" s="41"/>
      <x:c r="E468" s="36"/>
      <x:c r="F468" s="36"/>
      <x:c r="G468" s="36"/>
      <x:c r="H468" s="36"/>
      <x:c r="I468" s="36"/>
      <x:c r="J468" s="36"/>
      <x:c r="K468" s="36"/>
      <x:c r="L468" s="36"/>
      <x:c r="M468" s="36"/>
      <x:c r="N468" s="36"/>
      <x:c r="O468" s="42" t="str">
        <x:f>IF(A468="","",IF(COUNTIFS('Event Guide'!$A$6:$A$29,C468)=1,VLOOKUP(C468,'Event Guide'!$A$6:$C$29,2,FALSE),"Unknown event"))</x:f>
      </x:c>
      <x:c r="P468" s="42" t="str">
        <x:f>IF(A468="","",IF(COUNTIFS('Event Guide'!$A$6:$A$29,C468)=1,VLOOKUP(C468,'Event Guide'!$A$6:$C$29,3,FALSE),"Unknown event"))</x:f>
      </x:c>
      <x:c r="Q468" s="42" t="str">
        <x:f>IF(A468="","",IF(O468="PAY",E468,IF(O468="OTHER",F468,IF(O468="CAPITAL","Capital - "&amp;G468,IF(O468="DUE","Due to - "&amp;G468,IF(O468="DRAW","Drawings - "&amp;G468,O468))))))</x:f>
      </x:c>
      <x:c r="R468" s="42" t="str">
        <x:f>IF(A468="","",IF(P468="PAY",E468,IF(P468="OTHER",F468,IF(P468="CAPITAL","Capital - "&amp;G468,IF(P468="DUE","Due to - "&amp;G468,IF(P468="DRAW","Drawings - "&amp;G468,P468))))))</x:f>
      </x:c>
      <x:c r="S468" s="37" t="n">
        <x:f>IF(AND(N468="Approved",T468="OK"),D468,0)</x:f>
        <x:v>0</x:v>
      </x:c>
      <x:c r="T468" s="42" t="str">
        <x:f>IF(A468="","",IF(COUNTIFS($A$6:$A$505,A468)&lt;&gt;1,"Duplicate ID",IF(OR(NOT(ISNUMBER(B468)),D468&lt;=0,NOT(ISNUMBER(D468)),I468="",J468="",L468=""),"Missing date/amount/ref/details",IF(OR(COUNTIFS('Accounts'!$A$6:$A$105,Q468)&lt;&gt;1,COUNTIFS('Accounts'!$A$6:$A$105,R468)&lt;&gt;1,Q468=R468),"Check accounts/event",IF(AND(OR(Q468="Trade payables",R468="Trade payables",Q468="Customer receivables",R468="Customer receivables",Q468="Courier receivables",R468="Courier receivables",Q468="Supplier advances",R468="Supplier advances"),H468=""),"Contact ID required",IF(AND(N468="Approved",OR(M468="",M468=L468)),"Independent review needed",IF(OR(N468="Draft",N468="Approved",N468="Void"),"OK","Status required")))))))</x:f>
      </x:c>
    </x:row>
    <x:row r="469" ht="23" customHeight="1">
      <x:c r="A469" s="36"/>
      <x:c r="B469" s="40"/>
      <x:c r="C469" s="36"/>
      <x:c r="D469" s="41"/>
      <x:c r="E469" s="36"/>
      <x:c r="F469" s="36"/>
      <x:c r="G469" s="36"/>
      <x:c r="H469" s="36"/>
      <x:c r="I469" s="36"/>
      <x:c r="J469" s="36"/>
      <x:c r="K469" s="36"/>
      <x:c r="L469" s="36"/>
      <x:c r="M469" s="36"/>
      <x:c r="N469" s="36"/>
      <x:c r="O469" s="42" t="str">
        <x:f>IF(A469="","",IF(COUNTIFS('Event Guide'!$A$6:$A$29,C469)=1,VLOOKUP(C469,'Event Guide'!$A$6:$C$29,2,FALSE),"Unknown event"))</x:f>
      </x:c>
      <x:c r="P469" s="42" t="str">
        <x:f>IF(A469="","",IF(COUNTIFS('Event Guide'!$A$6:$A$29,C469)=1,VLOOKUP(C469,'Event Guide'!$A$6:$C$29,3,FALSE),"Unknown event"))</x:f>
      </x:c>
      <x:c r="Q469" s="42" t="str">
        <x:f>IF(A469="","",IF(O469="PAY",E469,IF(O469="OTHER",F469,IF(O469="CAPITAL","Capital - "&amp;G469,IF(O469="DUE","Due to - "&amp;G469,IF(O469="DRAW","Drawings - "&amp;G469,O469))))))</x:f>
      </x:c>
      <x:c r="R469" s="42" t="str">
        <x:f>IF(A469="","",IF(P469="PAY",E469,IF(P469="OTHER",F469,IF(P469="CAPITAL","Capital - "&amp;G469,IF(P469="DUE","Due to - "&amp;G469,IF(P469="DRAW","Drawings - "&amp;G469,P469))))))</x:f>
      </x:c>
      <x:c r="S469" s="37" t="n">
        <x:f>IF(AND(N469="Approved",T469="OK"),D469,0)</x:f>
        <x:v>0</x:v>
      </x:c>
      <x:c r="T469" s="42" t="str">
        <x:f>IF(A469="","",IF(COUNTIFS($A$6:$A$505,A469)&lt;&gt;1,"Duplicate ID",IF(OR(NOT(ISNUMBER(B469)),D469&lt;=0,NOT(ISNUMBER(D469)),I469="",J469="",L469=""),"Missing date/amount/ref/details",IF(OR(COUNTIFS('Accounts'!$A$6:$A$105,Q469)&lt;&gt;1,COUNTIFS('Accounts'!$A$6:$A$105,R469)&lt;&gt;1,Q469=R469),"Check accounts/event",IF(AND(OR(Q469="Trade payables",R469="Trade payables",Q469="Customer receivables",R469="Customer receivables",Q469="Courier receivables",R469="Courier receivables",Q469="Supplier advances",R469="Supplier advances"),H469=""),"Contact ID required",IF(AND(N469="Approved",OR(M469="",M469=L469)),"Independent review needed",IF(OR(N469="Draft",N469="Approved",N469="Void"),"OK","Status required")))))))</x:f>
      </x:c>
    </x:row>
    <x:row r="470" ht="23" customHeight="1">
      <x:c r="A470" s="36"/>
      <x:c r="B470" s="40"/>
      <x:c r="C470" s="36"/>
      <x:c r="D470" s="41"/>
      <x:c r="E470" s="36"/>
      <x:c r="F470" s="36"/>
      <x:c r="G470" s="36"/>
      <x:c r="H470" s="36"/>
      <x:c r="I470" s="36"/>
      <x:c r="J470" s="36"/>
      <x:c r="K470" s="36"/>
      <x:c r="L470" s="36"/>
      <x:c r="M470" s="36"/>
      <x:c r="N470" s="36"/>
      <x:c r="O470" s="42" t="str">
        <x:f>IF(A470="","",IF(COUNTIFS('Event Guide'!$A$6:$A$29,C470)=1,VLOOKUP(C470,'Event Guide'!$A$6:$C$29,2,FALSE),"Unknown event"))</x:f>
      </x:c>
      <x:c r="P470" s="42" t="str">
        <x:f>IF(A470="","",IF(COUNTIFS('Event Guide'!$A$6:$A$29,C470)=1,VLOOKUP(C470,'Event Guide'!$A$6:$C$29,3,FALSE),"Unknown event"))</x:f>
      </x:c>
      <x:c r="Q470" s="42" t="str">
        <x:f>IF(A470="","",IF(O470="PAY",E470,IF(O470="OTHER",F470,IF(O470="CAPITAL","Capital - "&amp;G470,IF(O470="DUE","Due to - "&amp;G470,IF(O470="DRAW","Drawings - "&amp;G470,O470))))))</x:f>
      </x:c>
      <x:c r="R470" s="42" t="str">
        <x:f>IF(A470="","",IF(P470="PAY",E470,IF(P470="OTHER",F470,IF(P470="CAPITAL","Capital - "&amp;G470,IF(P470="DUE","Due to - "&amp;G470,IF(P470="DRAW","Drawings - "&amp;G470,P470))))))</x:f>
      </x:c>
      <x:c r="S470" s="37" t="n">
        <x:f>IF(AND(N470="Approved",T470="OK"),D470,0)</x:f>
        <x:v>0</x:v>
      </x:c>
      <x:c r="T470" s="42" t="str">
        <x:f>IF(A470="","",IF(COUNTIFS($A$6:$A$505,A470)&lt;&gt;1,"Duplicate ID",IF(OR(NOT(ISNUMBER(B470)),D470&lt;=0,NOT(ISNUMBER(D470)),I470="",J470="",L470=""),"Missing date/amount/ref/details",IF(OR(COUNTIFS('Accounts'!$A$6:$A$105,Q470)&lt;&gt;1,COUNTIFS('Accounts'!$A$6:$A$105,R470)&lt;&gt;1,Q470=R470),"Check accounts/event",IF(AND(OR(Q470="Trade payables",R470="Trade payables",Q470="Customer receivables",R470="Customer receivables",Q470="Courier receivables",R470="Courier receivables",Q470="Supplier advances",R470="Supplier advances"),H470=""),"Contact ID required",IF(AND(N470="Approved",OR(M470="",M470=L470)),"Independent review needed",IF(OR(N470="Draft",N470="Approved",N470="Void"),"OK","Status required")))))))</x:f>
      </x:c>
    </x:row>
    <x:row r="471" ht="23" customHeight="1">
      <x:c r="A471" s="36"/>
      <x:c r="B471" s="40"/>
      <x:c r="C471" s="36"/>
      <x:c r="D471" s="41"/>
      <x:c r="E471" s="36"/>
      <x:c r="F471" s="36"/>
      <x:c r="G471" s="36"/>
      <x:c r="H471" s="36"/>
      <x:c r="I471" s="36"/>
      <x:c r="J471" s="36"/>
      <x:c r="K471" s="36"/>
      <x:c r="L471" s="36"/>
      <x:c r="M471" s="36"/>
      <x:c r="N471" s="36"/>
      <x:c r="O471" s="42" t="str">
        <x:f>IF(A471="","",IF(COUNTIFS('Event Guide'!$A$6:$A$29,C471)=1,VLOOKUP(C471,'Event Guide'!$A$6:$C$29,2,FALSE),"Unknown event"))</x:f>
      </x:c>
      <x:c r="P471" s="42" t="str">
        <x:f>IF(A471="","",IF(COUNTIFS('Event Guide'!$A$6:$A$29,C471)=1,VLOOKUP(C471,'Event Guide'!$A$6:$C$29,3,FALSE),"Unknown event"))</x:f>
      </x:c>
      <x:c r="Q471" s="42" t="str">
        <x:f>IF(A471="","",IF(O471="PAY",E471,IF(O471="OTHER",F471,IF(O471="CAPITAL","Capital - "&amp;G471,IF(O471="DUE","Due to - "&amp;G471,IF(O471="DRAW","Drawings - "&amp;G471,O471))))))</x:f>
      </x:c>
      <x:c r="R471" s="42" t="str">
        <x:f>IF(A471="","",IF(P471="PAY",E471,IF(P471="OTHER",F471,IF(P471="CAPITAL","Capital - "&amp;G471,IF(P471="DUE","Due to - "&amp;G471,IF(P471="DRAW","Drawings - "&amp;G471,P471))))))</x:f>
      </x:c>
      <x:c r="S471" s="37" t="n">
        <x:f>IF(AND(N471="Approved",T471="OK"),D471,0)</x:f>
        <x:v>0</x:v>
      </x:c>
      <x:c r="T471" s="42" t="str">
        <x:f>IF(A471="","",IF(COUNTIFS($A$6:$A$505,A471)&lt;&gt;1,"Duplicate ID",IF(OR(NOT(ISNUMBER(B471)),D471&lt;=0,NOT(ISNUMBER(D471)),I471="",J471="",L471=""),"Missing date/amount/ref/details",IF(OR(COUNTIFS('Accounts'!$A$6:$A$105,Q471)&lt;&gt;1,COUNTIFS('Accounts'!$A$6:$A$105,R471)&lt;&gt;1,Q471=R471),"Check accounts/event",IF(AND(OR(Q471="Trade payables",R471="Trade payables",Q471="Customer receivables",R471="Customer receivables",Q471="Courier receivables",R471="Courier receivables",Q471="Supplier advances",R471="Supplier advances"),H471=""),"Contact ID required",IF(AND(N471="Approved",OR(M471="",M471=L471)),"Independent review needed",IF(OR(N471="Draft",N471="Approved",N471="Void"),"OK","Status required")))))))</x:f>
      </x:c>
    </x:row>
    <x:row r="472" ht="23" customHeight="1">
      <x:c r="A472" s="36"/>
      <x:c r="B472" s="40"/>
      <x:c r="C472" s="36"/>
      <x:c r="D472" s="41"/>
      <x:c r="E472" s="36"/>
      <x:c r="F472" s="36"/>
      <x:c r="G472" s="36"/>
      <x:c r="H472" s="36"/>
      <x:c r="I472" s="36"/>
      <x:c r="J472" s="36"/>
      <x:c r="K472" s="36"/>
      <x:c r="L472" s="36"/>
      <x:c r="M472" s="36"/>
      <x:c r="N472" s="36"/>
      <x:c r="O472" s="42" t="str">
        <x:f>IF(A472="","",IF(COUNTIFS('Event Guide'!$A$6:$A$29,C472)=1,VLOOKUP(C472,'Event Guide'!$A$6:$C$29,2,FALSE),"Unknown event"))</x:f>
      </x:c>
      <x:c r="P472" s="42" t="str">
        <x:f>IF(A472="","",IF(COUNTIFS('Event Guide'!$A$6:$A$29,C472)=1,VLOOKUP(C472,'Event Guide'!$A$6:$C$29,3,FALSE),"Unknown event"))</x:f>
      </x:c>
      <x:c r="Q472" s="42" t="str">
        <x:f>IF(A472="","",IF(O472="PAY",E472,IF(O472="OTHER",F472,IF(O472="CAPITAL","Capital - "&amp;G472,IF(O472="DUE","Due to - "&amp;G472,IF(O472="DRAW","Drawings - "&amp;G472,O472))))))</x:f>
      </x:c>
      <x:c r="R472" s="42" t="str">
        <x:f>IF(A472="","",IF(P472="PAY",E472,IF(P472="OTHER",F472,IF(P472="CAPITAL","Capital - "&amp;G472,IF(P472="DUE","Due to - "&amp;G472,IF(P472="DRAW","Drawings - "&amp;G472,P472))))))</x:f>
      </x:c>
      <x:c r="S472" s="37" t="n">
        <x:f>IF(AND(N472="Approved",T472="OK"),D472,0)</x:f>
        <x:v>0</x:v>
      </x:c>
      <x:c r="T472" s="42" t="str">
        <x:f>IF(A472="","",IF(COUNTIFS($A$6:$A$505,A472)&lt;&gt;1,"Duplicate ID",IF(OR(NOT(ISNUMBER(B472)),D472&lt;=0,NOT(ISNUMBER(D472)),I472="",J472="",L472=""),"Missing date/amount/ref/details",IF(OR(COUNTIFS('Accounts'!$A$6:$A$105,Q472)&lt;&gt;1,COUNTIFS('Accounts'!$A$6:$A$105,R472)&lt;&gt;1,Q472=R472),"Check accounts/event",IF(AND(OR(Q472="Trade payables",R472="Trade payables",Q472="Customer receivables",R472="Customer receivables",Q472="Courier receivables",R472="Courier receivables",Q472="Supplier advances",R472="Supplier advances"),H472=""),"Contact ID required",IF(AND(N472="Approved",OR(M472="",M472=L472)),"Independent review needed",IF(OR(N472="Draft",N472="Approved",N472="Void"),"OK","Status required")))))))</x:f>
      </x:c>
    </x:row>
    <x:row r="473" ht="23" customHeight="1">
      <x:c r="A473" s="36"/>
      <x:c r="B473" s="40"/>
      <x:c r="C473" s="36"/>
      <x:c r="D473" s="41"/>
      <x:c r="E473" s="36"/>
      <x:c r="F473" s="36"/>
      <x:c r="G473" s="36"/>
      <x:c r="H473" s="36"/>
      <x:c r="I473" s="36"/>
      <x:c r="J473" s="36"/>
      <x:c r="K473" s="36"/>
      <x:c r="L473" s="36"/>
      <x:c r="M473" s="36"/>
      <x:c r="N473" s="36"/>
      <x:c r="O473" s="42" t="str">
        <x:f>IF(A473="","",IF(COUNTIFS('Event Guide'!$A$6:$A$29,C473)=1,VLOOKUP(C473,'Event Guide'!$A$6:$C$29,2,FALSE),"Unknown event"))</x:f>
      </x:c>
      <x:c r="P473" s="42" t="str">
        <x:f>IF(A473="","",IF(COUNTIFS('Event Guide'!$A$6:$A$29,C473)=1,VLOOKUP(C473,'Event Guide'!$A$6:$C$29,3,FALSE),"Unknown event"))</x:f>
      </x:c>
      <x:c r="Q473" s="42" t="str">
        <x:f>IF(A473="","",IF(O473="PAY",E473,IF(O473="OTHER",F473,IF(O473="CAPITAL","Capital - "&amp;G473,IF(O473="DUE","Due to - "&amp;G473,IF(O473="DRAW","Drawings - "&amp;G473,O473))))))</x:f>
      </x:c>
      <x:c r="R473" s="42" t="str">
        <x:f>IF(A473="","",IF(P473="PAY",E473,IF(P473="OTHER",F473,IF(P473="CAPITAL","Capital - "&amp;G473,IF(P473="DUE","Due to - "&amp;G473,IF(P473="DRAW","Drawings - "&amp;G473,P473))))))</x:f>
      </x:c>
      <x:c r="S473" s="37" t="n">
        <x:f>IF(AND(N473="Approved",T473="OK"),D473,0)</x:f>
        <x:v>0</x:v>
      </x:c>
      <x:c r="T473" s="42" t="str">
        <x:f>IF(A473="","",IF(COUNTIFS($A$6:$A$505,A473)&lt;&gt;1,"Duplicate ID",IF(OR(NOT(ISNUMBER(B473)),D473&lt;=0,NOT(ISNUMBER(D473)),I473="",J473="",L473=""),"Missing date/amount/ref/details",IF(OR(COUNTIFS('Accounts'!$A$6:$A$105,Q473)&lt;&gt;1,COUNTIFS('Accounts'!$A$6:$A$105,R473)&lt;&gt;1,Q473=R473),"Check accounts/event",IF(AND(OR(Q473="Trade payables",R473="Trade payables",Q473="Customer receivables",R473="Customer receivables",Q473="Courier receivables",R473="Courier receivables",Q473="Supplier advances",R473="Supplier advances"),H473=""),"Contact ID required",IF(AND(N473="Approved",OR(M473="",M473=L473)),"Independent review needed",IF(OR(N473="Draft",N473="Approved",N473="Void"),"OK","Status required")))))))</x:f>
      </x:c>
    </x:row>
    <x:row r="474" ht="23" customHeight="1">
      <x:c r="A474" s="36"/>
      <x:c r="B474" s="40"/>
      <x:c r="C474" s="36"/>
      <x:c r="D474" s="41"/>
      <x:c r="E474" s="36"/>
      <x:c r="F474" s="36"/>
      <x:c r="G474" s="36"/>
      <x:c r="H474" s="36"/>
      <x:c r="I474" s="36"/>
      <x:c r="J474" s="36"/>
      <x:c r="K474" s="36"/>
      <x:c r="L474" s="36"/>
      <x:c r="M474" s="36"/>
      <x:c r="N474" s="36"/>
      <x:c r="O474" s="42" t="str">
        <x:f>IF(A474="","",IF(COUNTIFS('Event Guide'!$A$6:$A$29,C474)=1,VLOOKUP(C474,'Event Guide'!$A$6:$C$29,2,FALSE),"Unknown event"))</x:f>
      </x:c>
      <x:c r="P474" s="42" t="str">
        <x:f>IF(A474="","",IF(COUNTIFS('Event Guide'!$A$6:$A$29,C474)=1,VLOOKUP(C474,'Event Guide'!$A$6:$C$29,3,FALSE),"Unknown event"))</x:f>
      </x:c>
      <x:c r="Q474" s="42" t="str">
        <x:f>IF(A474="","",IF(O474="PAY",E474,IF(O474="OTHER",F474,IF(O474="CAPITAL","Capital - "&amp;G474,IF(O474="DUE","Due to - "&amp;G474,IF(O474="DRAW","Drawings - "&amp;G474,O474))))))</x:f>
      </x:c>
      <x:c r="R474" s="42" t="str">
        <x:f>IF(A474="","",IF(P474="PAY",E474,IF(P474="OTHER",F474,IF(P474="CAPITAL","Capital - "&amp;G474,IF(P474="DUE","Due to - "&amp;G474,IF(P474="DRAW","Drawings - "&amp;G474,P474))))))</x:f>
      </x:c>
      <x:c r="S474" s="37" t="n">
        <x:f>IF(AND(N474="Approved",T474="OK"),D474,0)</x:f>
        <x:v>0</x:v>
      </x:c>
      <x:c r="T474" s="42" t="str">
        <x:f>IF(A474="","",IF(COUNTIFS($A$6:$A$505,A474)&lt;&gt;1,"Duplicate ID",IF(OR(NOT(ISNUMBER(B474)),D474&lt;=0,NOT(ISNUMBER(D474)),I474="",J474="",L474=""),"Missing date/amount/ref/details",IF(OR(COUNTIFS('Accounts'!$A$6:$A$105,Q474)&lt;&gt;1,COUNTIFS('Accounts'!$A$6:$A$105,R474)&lt;&gt;1,Q474=R474),"Check accounts/event",IF(AND(OR(Q474="Trade payables",R474="Trade payables",Q474="Customer receivables",R474="Customer receivables",Q474="Courier receivables",R474="Courier receivables",Q474="Supplier advances",R474="Supplier advances"),H474=""),"Contact ID required",IF(AND(N474="Approved",OR(M474="",M474=L474)),"Independent review needed",IF(OR(N474="Draft",N474="Approved",N474="Void"),"OK","Status required")))))))</x:f>
      </x:c>
    </x:row>
    <x:row r="475" ht="23" customHeight="1">
      <x:c r="A475" s="36"/>
      <x:c r="B475" s="40"/>
      <x:c r="C475" s="36"/>
      <x:c r="D475" s="41"/>
      <x:c r="E475" s="36"/>
      <x:c r="F475" s="36"/>
      <x:c r="G475" s="36"/>
      <x:c r="H475" s="36"/>
      <x:c r="I475" s="36"/>
      <x:c r="J475" s="36"/>
      <x:c r="K475" s="36"/>
      <x:c r="L475" s="36"/>
      <x:c r="M475" s="36"/>
      <x:c r="N475" s="36"/>
      <x:c r="O475" s="42" t="str">
        <x:f>IF(A475="","",IF(COUNTIFS('Event Guide'!$A$6:$A$29,C475)=1,VLOOKUP(C475,'Event Guide'!$A$6:$C$29,2,FALSE),"Unknown event"))</x:f>
      </x:c>
      <x:c r="P475" s="42" t="str">
        <x:f>IF(A475="","",IF(COUNTIFS('Event Guide'!$A$6:$A$29,C475)=1,VLOOKUP(C475,'Event Guide'!$A$6:$C$29,3,FALSE),"Unknown event"))</x:f>
      </x:c>
      <x:c r="Q475" s="42" t="str">
        <x:f>IF(A475="","",IF(O475="PAY",E475,IF(O475="OTHER",F475,IF(O475="CAPITAL","Capital - "&amp;G475,IF(O475="DUE","Due to - "&amp;G475,IF(O475="DRAW","Drawings - "&amp;G475,O475))))))</x:f>
      </x:c>
      <x:c r="R475" s="42" t="str">
        <x:f>IF(A475="","",IF(P475="PAY",E475,IF(P475="OTHER",F475,IF(P475="CAPITAL","Capital - "&amp;G475,IF(P475="DUE","Due to - "&amp;G475,IF(P475="DRAW","Drawings - "&amp;G475,P475))))))</x:f>
      </x:c>
      <x:c r="S475" s="37" t="n">
        <x:f>IF(AND(N475="Approved",T475="OK"),D475,0)</x:f>
        <x:v>0</x:v>
      </x:c>
      <x:c r="T475" s="42" t="str">
        <x:f>IF(A475="","",IF(COUNTIFS($A$6:$A$505,A475)&lt;&gt;1,"Duplicate ID",IF(OR(NOT(ISNUMBER(B475)),D475&lt;=0,NOT(ISNUMBER(D475)),I475="",J475="",L475=""),"Missing date/amount/ref/details",IF(OR(COUNTIFS('Accounts'!$A$6:$A$105,Q475)&lt;&gt;1,COUNTIFS('Accounts'!$A$6:$A$105,R475)&lt;&gt;1,Q475=R475),"Check accounts/event",IF(AND(OR(Q475="Trade payables",R475="Trade payables",Q475="Customer receivables",R475="Customer receivables",Q475="Courier receivables",R475="Courier receivables",Q475="Supplier advances",R475="Supplier advances"),H475=""),"Contact ID required",IF(AND(N475="Approved",OR(M475="",M475=L475)),"Independent review needed",IF(OR(N475="Draft",N475="Approved",N475="Void"),"OK","Status required")))))))</x:f>
      </x:c>
    </x:row>
    <x:row r="476" ht="23" customHeight="1">
      <x:c r="A476" s="36"/>
      <x:c r="B476" s="40"/>
      <x:c r="C476" s="36"/>
      <x:c r="D476" s="41"/>
      <x:c r="E476" s="36"/>
      <x:c r="F476" s="36"/>
      <x:c r="G476" s="36"/>
      <x:c r="H476" s="36"/>
      <x:c r="I476" s="36"/>
      <x:c r="J476" s="36"/>
      <x:c r="K476" s="36"/>
      <x:c r="L476" s="36"/>
      <x:c r="M476" s="36"/>
      <x:c r="N476" s="36"/>
      <x:c r="O476" s="42" t="str">
        <x:f>IF(A476="","",IF(COUNTIFS('Event Guide'!$A$6:$A$29,C476)=1,VLOOKUP(C476,'Event Guide'!$A$6:$C$29,2,FALSE),"Unknown event"))</x:f>
      </x:c>
      <x:c r="P476" s="42" t="str">
        <x:f>IF(A476="","",IF(COUNTIFS('Event Guide'!$A$6:$A$29,C476)=1,VLOOKUP(C476,'Event Guide'!$A$6:$C$29,3,FALSE),"Unknown event"))</x:f>
      </x:c>
      <x:c r="Q476" s="42" t="str">
        <x:f>IF(A476="","",IF(O476="PAY",E476,IF(O476="OTHER",F476,IF(O476="CAPITAL","Capital - "&amp;G476,IF(O476="DUE","Due to - "&amp;G476,IF(O476="DRAW","Drawings - "&amp;G476,O476))))))</x:f>
      </x:c>
      <x:c r="R476" s="42" t="str">
        <x:f>IF(A476="","",IF(P476="PAY",E476,IF(P476="OTHER",F476,IF(P476="CAPITAL","Capital - "&amp;G476,IF(P476="DUE","Due to - "&amp;G476,IF(P476="DRAW","Drawings - "&amp;G476,P476))))))</x:f>
      </x:c>
      <x:c r="S476" s="37" t="n">
        <x:f>IF(AND(N476="Approved",T476="OK"),D476,0)</x:f>
        <x:v>0</x:v>
      </x:c>
      <x:c r="T476" s="42" t="str">
        <x:f>IF(A476="","",IF(COUNTIFS($A$6:$A$505,A476)&lt;&gt;1,"Duplicate ID",IF(OR(NOT(ISNUMBER(B476)),D476&lt;=0,NOT(ISNUMBER(D476)),I476="",J476="",L476=""),"Missing date/amount/ref/details",IF(OR(COUNTIFS('Accounts'!$A$6:$A$105,Q476)&lt;&gt;1,COUNTIFS('Accounts'!$A$6:$A$105,R476)&lt;&gt;1,Q476=R476),"Check accounts/event",IF(AND(OR(Q476="Trade payables",R476="Trade payables",Q476="Customer receivables",R476="Customer receivables",Q476="Courier receivables",R476="Courier receivables",Q476="Supplier advances",R476="Supplier advances"),H476=""),"Contact ID required",IF(AND(N476="Approved",OR(M476="",M476=L476)),"Independent review needed",IF(OR(N476="Draft",N476="Approved",N476="Void"),"OK","Status required")))))))</x:f>
      </x:c>
    </x:row>
    <x:row r="477" ht="23" customHeight="1">
      <x:c r="A477" s="36"/>
      <x:c r="B477" s="40"/>
      <x:c r="C477" s="36"/>
      <x:c r="D477" s="41"/>
      <x:c r="E477" s="36"/>
      <x:c r="F477" s="36"/>
      <x:c r="G477" s="36"/>
      <x:c r="H477" s="36"/>
      <x:c r="I477" s="36"/>
      <x:c r="J477" s="36"/>
      <x:c r="K477" s="36"/>
      <x:c r="L477" s="36"/>
      <x:c r="M477" s="36"/>
      <x:c r="N477" s="36"/>
      <x:c r="O477" s="42" t="str">
        <x:f>IF(A477="","",IF(COUNTIFS('Event Guide'!$A$6:$A$29,C477)=1,VLOOKUP(C477,'Event Guide'!$A$6:$C$29,2,FALSE),"Unknown event"))</x:f>
      </x:c>
      <x:c r="P477" s="42" t="str">
        <x:f>IF(A477="","",IF(COUNTIFS('Event Guide'!$A$6:$A$29,C477)=1,VLOOKUP(C477,'Event Guide'!$A$6:$C$29,3,FALSE),"Unknown event"))</x:f>
      </x:c>
      <x:c r="Q477" s="42" t="str">
        <x:f>IF(A477="","",IF(O477="PAY",E477,IF(O477="OTHER",F477,IF(O477="CAPITAL","Capital - "&amp;G477,IF(O477="DUE","Due to - "&amp;G477,IF(O477="DRAW","Drawings - "&amp;G477,O477))))))</x:f>
      </x:c>
      <x:c r="R477" s="42" t="str">
        <x:f>IF(A477="","",IF(P477="PAY",E477,IF(P477="OTHER",F477,IF(P477="CAPITAL","Capital - "&amp;G477,IF(P477="DUE","Due to - "&amp;G477,IF(P477="DRAW","Drawings - "&amp;G477,P477))))))</x:f>
      </x:c>
      <x:c r="S477" s="37" t="n">
        <x:f>IF(AND(N477="Approved",T477="OK"),D477,0)</x:f>
        <x:v>0</x:v>
      </x:c>
      <x:c r="T477" s="42" t="str">
        <x:f>IF(A477="","",IF(COUNTIFS($A$6:$A$505,A477)&lt;&gt;1,"Duplicate ID",IF(OR(NOT(ISNUMBER(B477)),D477&lt;=0,NOT(ISNUMBER(D477)),I477="",J477="",L477=""),"Missing date/amount/ref/details",IF(OR(COUNTIFS('Accounts'!$A$6:$A$105,Q477)&lt;&gt;1,COUNTIFS('Accounts'!$A$6:$A$105,R477)&lt;&gt;1,Q477=R477),"Check accounts/event",IF(AND(OR(Q477="Trade payables",R477="Trade payables",Q477="Customer receivables",R477="Customer receivables",Q477="Courier receivables",R477="Courier receivables",Q477="Supplier advances",R477="Supplier advances"),H477=""),"Contact ID required",IF(AND(N477="Approved",OR(M477="",M477=L477)),"Independent review needed",IF(OR(N477="Draft",N477="Approved",N477="Void"),"OK","Status required")))))))</x:f>
      </x:c>
    </x:row>
    <x:row r="478" ht="23" customHeight="1">
      <x:c r="A478" s="36"/>
      <x:c r="B478" s="40"/>
      <x:c r="C478" s="36"/>
      <x:c r="D478" s="41"/>
      <x:c r="E478" s="36"/>
      <x:c r="F478" s="36"/>
      <x:c r="G478" s="36"/>
      <x:c r="H478" s="36"/>
      <x:c r="I478" s="36"/>
      <x:c r="J478" s="36"/>
      <x:c r="K478" s="36"/>
      <x:c r="L478" s="36"/>
      <x:c r="M478" s="36"/>
      <x:c r="N478" s="36"/>
      <x:c r="O478" s="42" t="str">
        <x:f>IF(A478="","",IF(COUNTIFS('Event Guide'!$A$6:$A$29,C478)=1,VLOOKUP(C478,'Event Guide'!$A$6:$C$29,2,FALSE),"Unknown event"))</x:f>
      </x:c>
      <x:c r="P478" s="42" t="str">
        <x:f>IF(A478="","",IF(COUNTIFS('Event Guide'!$A$6:$A$29,C478)=1,VLOOKUP(C478,'Event Guide'!$A$6:$C$29,3,FALSE),"Unknown event"))</x:f>
      </x:c>
      <x:c r="Q478" s="42" t="str">
        <x:f>IF(A478="","",IF(O478="PAY",E478,IF(O478="OTHER",F478,IF(O478="CAPITAL","Capital - "&amp;G478,IF(O478="DUE","Due to - "&amp;G478,IF(O478="DRAW","Drawings - "&amp;G478,O478))))))</x:f>
      </x:c>
      <x:c r="R478" s="42" t="str">
        <x:f>IF(A478="","",IF(P478="PAY",E478,IF(P478="OTHER",F478,IF(P478="CAPITAL","Capital - "&amp;G478,IF(P478="DUE","Due to - "&amp;G478,IF(P478="DRAW","Drawings - "&amp;G478,P478))))))</x:f>
      </x:c>
      <x:c r="S478" s="37" t="n">
        <x:f>IF(AND(N478="Approved",T478="OK"),D478,0)</x:f>
        <x:v>0</x:v>
      </x:c>
      <x:c r="T478" s="42" t="str">
        <x:f>IF(A478="","",IF(COUNTIFS($A$6:$A$505,A478)&lt;&gt;1,"Duplicate ID",IF(OR(NOT(ISNUMBER(B478)),D478&lt;=0,NOT(ISNUMBER(D478)),I478="",J478="",L478=""),"Missing date/amount/ref/details",IF(OR(COUNTIFS('Accounts'!$A$6:$A$105,Q478)&lt;&gt;1,COUNTIFS('Accounts'!$A$6:$A$105,R478)&lt;&gt;1,Q478=R478),"Check accounts/event",IF(AND(OR(Q478="Trade payables",R478="Trade payables",Q478="Customer receivables",R478="Customer receivables",Q478="Courier receivables",R478="Courier receivables",Q478="Supplier advances",R478="Supplier advances"),H478=""),"Contact ID required",IF(AND(N478="Approved",OR(M478="",M478=L478)),"Independent review needed",IF(OR(N478="Draft",N478="Approved",N478="Void"),"OK","Status required")))))))</x:f>
      </x:c>
    </x:row>
    <x:row r="479" ht="23" customHeight="1">
      <x:c r="A479" s="36"/>
      <x:c r="B479" s="40"/>
      <x:c r="C479" s="36"/>
      <x:c r="D479" s="41"/>
      <x:c r="E479" s="36"/>
      <x:c r="F479" s="36"/>
      <x:c r="G479" s="36"/>
      <x:c r="H479" s="36"/>
      <x:c r="I479" s="36"/>
      <x:c r="J479" s="36"/>
      <x:c r="K479" s="36"/>
      <x:c r="L479" s="36"/>
      <x:c r="M479" s="36"/>
      <x:c r="N479" s="36"/>
      <x:c r="O479" s="42" t="str">
        <x:f>IF(A479="","",IF(COUNTIFS('Event Guide'!$A$6:$A$29,C479)=1,VLOOKUP(C479,'Event Guide'!$A$6:$C$29,2,FALSE),"Unknown event"))</x:f>
      </x:c>
      <x:c r="P479" s="42" t="str">
        <x:f>IF(A479="","",IF(COUNTIFS('Event Guide'!$A$6:$A$29,C479)=1,VLOOKUP(C479,'Event Guide'!$A$6:$C$29,3,FALSE),"Unknown event"))</x:f>
      </x:c>
      <x:c r="Q479" s="42" t="str">
        <x:f>IF(A479="","",IF(O479="PAY",E479,IF(O479="OTHER",F479,IF(O479="CAPITAL","Capital - "&amp;G479,IF(O479="DUE","Due to - "&amp;G479,IF(O479="DRAW","Drawings - "&amp;G479,O479))))))</x:f>
      </x:c>
      <x:c r="R479" s="42" t="str">
        <x:f>IF(A479="","",IF(P479="PAY",E479,IF(P479="OTHER",F479,IF(P479="CAPITAL","Capital - "&amp;G479,IF(P479="DUE","Due to - "&amp;G479,IF(P479="DRAW","Drawings - "&amp;G479,P479))))))</x:f>
      </x:c>
      <x:c r="S479" s="37" t="n">
        <x:f>IF(AND(N479="Approved",T479="OK"),D479,0)</x:f>
        <x:v>0</x:v>
      </x:c>
      <x:c r="T479" s="42" t="str">
        <x:f>IF(A479="","",IF(COUNTIFS($A$6:$A$505,A479)&lt;&gt;1,"Duplicate ID",IF(OR(NOT(ISNUMBER(B479)),D479&lt;=0,NOT(ISNUMBER(D479)),I479="",J479="",L479=""),"Missing date/amount/ref/details",IF(OR(COUNTIFS('Accounts'!$A$6:$A$105,Q479)&lt;&gt;1,COUNTIFS('Accounts'!$A$6:$A$105,R479)&lt;&gt;1,Q479=R479),"Check accounts/event",IF(AND(OR(Q479="Trade payables",R479="Trade payables",Q479="Customer receivables",R479="Customer receivables",Q479="Courier receivables",R479="Courier receivables",Q479="Supplier advances",R479="Supplier advances"),H479=""),"Contact ID required",IF(AND(N479="Approved",OR(M479="",M479=L479)),"Independent review needed",IF(OR(N479="Draft",N479="Approved",N479="Void"),"OK","Status required")))))))</x:f>
      </x:c>
    </x:row>
    <x:row r="480" ht="23" customHeight="1">
      <x:c r="A480" s="36"/>
      <x:c r="B480" s="40"/>
      <x:c r="C480" s="36"/>
      <x:c r="D480" s="41"/>
      <x:c r="E480" s="36"/>
      <x:c r="F480" s="36"/>
      <x:c r="G480" s="36"/>
      <x:c r="H480" s="36"/>
      <x:c r="I480" s="36"/>
      <x:c r="J480" s="36"/>
      <x:c r="K480" s="36"/>
      <x:c r="L480" s="36"/>
      <x:c r="M480" s="36"/>
      <x:c r="N480" s="36"/>
      <x:c r="O480" s="42" t="str">
        <x:f>IF(A480="","",IF(COUNTIFS('Event Guide'!$A$6:$A$29,C480)=1,VLOOKUP(C480,'Event Guide'!$A$6:$C$29,2,FALSE),"Unknown event"))</x:f>
      </x:c>
      <x:c r="P480" s="42" t="str">
        <x:f>IF(A480="","",IF(COUNTIFS('Event Guide'!$A$6:$A$29,C480)=1,VLOOKUP(C480,'Event Guide'!$A$6:$C$29,3,FALSE),"Unknown event"))</x:f>
      </x:c>
      <x:c r="Q480" s="42" t="str">
        <x:f>IF(A480="","",IF(O480="PAY",E480,IF(O480="OTHER",F480,IF(O480="CAPITAL","Capital - "&amp;G480,IF(O480="DUE","Due to - "&amp;G480,IF(O480="DRAW","Drawings - "&amp;G480,O480))))))</x:f>
      </x:c>
      <x:c r="R480" s="42" t="str">
        <x:f>IF(A480="","",IF(P480="PAY",E480,IF(P480="OTHER",F480,IF(P480="CAPITAL","Capital - "&amp;G480,IF(P480="DUE","Due to - "&amp;G480,IF(P480="DRAW","Drawings - "&amp;G480,P480))))))</x:f>
      </x:c>
      <x:c r="S480" s="37" t="n">
        <x:f>IF(AND(N480="Approved",T480="OK"),D480,0)</x:f>
        <x:v>0</x:v>
      </x:c>
      <x:c r="T480" s="42" t="str">
        <x:f>IF(A480="","",IF(COUNTIFS($A$6:$A$505,A480)&lt;&gt;1,"Duplicate ID",IF(OR(NOT(ISNUMBER(B480)),D480&lt;=0,NOT(ISNUMBER(D480)),I480="",J480="",L480=""),"Missing date/amount/ref/details",IF(OR(COUNTIFS('Accounts'!$A$6:$A$105,Q480)&lt;&gt;1,COUNTIFS('Accounts'!$A$6:$A$105,R480)&lt;&gt;1,Q480=R480),"Check accounts/event",IF(AND(OR(Q480="Trade payables",R480="Trade payables",Q480="Customer receivables",R480="Customer receivables",Q480="Courier receivables",R480="Courier receivables",Q480="Supplier advances",R480="Supplier advances"),H480=""),"Contact ID required",IF(AND(N480="Approved",OR(M480="",M480=L480)),"Independent review needed",IF(OR(N480="Draft",N480="Approved",N480="Void"),"OK","Status required")))))))</x:f>
      </x:c>
    </x:row>
    <x:row r="481" ht="23" customHeight="1">
      <x:c r="A481" s="36"/>
      <x:c r="B481" s="40"/>
      <x:c r="C481" s="36"/>
      <x:c r="D481" s="41"/>
      <x:c r="E481" s="36"/>
      <x:c r="F481" s="36"/>
      <x:c r="G481" s="36"/>
      <x:c r="H481" s="36"/>
      <x:c r="I481" s="36"/>
      <x:c r="J481" s="36"/>
      <x:c r="K481" s="36"/>
      <x:c r="L481" s="36"/>
      <x:c r="M481" s="36"/>
      <x:c r="N481" s="36"/>
      <x:c r="O481" s="42" t="str">
        <x:f>IF(A481="","",IF(COUNTIFS('Event Guide'!$A$6:$A$29,C481)=1,VLOOKUP(C481,'Event Guide'!$A$6:$C$29,2,FALSE),"Unknown event"))</x:f>
      </x:c>
      <x:c r="P481" s="42" t="str">
        <x:f>IF(A481="","",IF(COUNTIFS('Event Guide'!$A$6:$A$29,C481)=1,VLOOKUP(C481,'Event Guide'!$A$6:$C$29,3,FALSE),"Unknown event"))</x:f>
      </x:c>
      <x:c r="Q481" s="42" t="str">
        <x:f>IF(A481="","",IF(O481="PAY",E481,IF(O481="OTHER",F481,IF(O481="CAPITAL","Capital - "&amp;G481,IF(O481="DUE","Due to - "&amp;G481,IF(O481="DRAW","Drawings - "&amp;G481,O481))))))</x:f>
      </x:c>
      <x:c r="R481" s="42" t="str">
        <x:f>IF(A481="","",IF(P481="PAY",E481,IF(P481="OTHER",F481,IF(P481="CAPITAL","Capital - "&amp;G481,IF(P481="DUE","Due to - "&amp;G481,IF(P481="DRAW","Drawings - "&amp;G481,P481))))))</x:f>
      </x:c>
      <x:c r="S481" s="37" t="n">
        <x:f>IF(AND(N481="Approved",T481="OK"),D481,0)</x:f>
        <x:v>0</x:v>
      </x:c>
      <x:c r="T481" s="42" t="str">
        <x:f>IF(A481="","",IF(COUNTIFS($A$6:$A$505,A481)&lt;&gt;1,"Duplicate ID",IF(OR(NOT(ISNUMBER(B481)),D481&lt;=0,NOT(ISNUMBER(D481)),I481="",J481="",L481=""),"Missing date/amount/ref/details",IF(OR(COUNTIFS('Accounts'!$A$6:$A$105,Q481)&lt;&gt;1,COUNTIFS('Accounts'!$A$6:$A$105,R481)&lt;&gt;1,Q481=R481),"Check accounts/event",IF(AND(OR(Q481="Trade payables",R481="Trade payables",Q481="Customer receivables",R481="Customer receivables",Q481="Courier receivables",R481="Courier receivables",Q481="Supplier advances",R481="Supplier advances"),H481=""),"Contact ID required",IF(AND(N481="Approved",OR(M481="",M481=L481)),"Independent review needed",IF(OR(N481="Draft",N481="Approved",N481="Void"),"OK","Status required")))))))</x:f>
      </x:c>
    </x:row>
    <x:row r="482" ht="23" customHeight="1">
      <x:c r="A482" s="36"/>
      <x:c r="B482" s="40"/>
      <x:c r="C482" s="36"/>
      <x:c r="D482" s="41"/>
      <x:c r="E482" s="36"/>
      <x:c r="F482" s="36"/>
      <x:c r="G482" s="36"/>
      <x:c r="H482" s="36"/>
      <x:c r="I482" s="36"/>
      <x:c r="J482" s="36"/>
      <x:c r="K482" s="36"/>
      <x:c r="L482" s="36"/>
      <x:c r="M482" s="36"/>
      <x:c r="N482" s="36"/>
      <x:c r="O482" s="42" t="str">
        <x:f>IF(A482="","",IF(COUNTIFS('Event Guide'!$A$6:$A$29,C482)=1,VLOOKUP(C482,'Event Guide'!$A$6:$C$29,2,FALSE),"Unknown event"))</x:f>
      </x:c>
      <x:c r="P482" s="42" t="str">
        <x:f>IF(A482="","",IF(COUNTIFS('Event Guide'!$A$6:$A$29,C482)=1,VLOOKUP(C482,'Event Guide'!$A$6:$C$29,3,FALSE),"Unknown event"))</x:f>
      </x:c>
      <x:c r="Q482" s="42" t="str">
        <x:f>IF(A482="","",IF(O482="PAY",E482,IF(O482="OTHER",F482,IF(O482="CAPITAL","Capital - "&amp;G482,IF(O482="DUE","Due to - "&amp;G482,IF(O482="DRAW","Drawings - "&amp;G482,O482))))))</x:f>
      </x:c>
      <x:c r="R482" s="42" t="str">
        <x:f>IF(A482="","",IF(P482="PAY",E482,IF(P482="OTHER",F482,IF(P482="CAPITAL","Capital - "&amp;G482,IF(P482="DUE","Due to - "&amp;G482,IF(P482="DRAW","Drawings - "&amp;G482,P482))))))</x:f>
      </x:c>
      <x:c r="S482" s="37" t="n">
        <x:f>IF(AND(N482="Approved",T482="OK"),D482,0)</x:f>
        <x:v>0</x:v>
      </x:c>
      <x:c r="T482" s="42" t="str">
        <x:f>IF(A482="","",IF(COUNTIFS($A$6:$A$505,A482)&lt;&gt;1,"Duplicate ID",IF(OR(NOT(ISNUMBER(B482)),D482&lt;=0,NOT(ISNUMBER(D482)),I482="",J482="",L482=""),"Missing date/amount/ref/details",IF(OR(COUNTIFS('Accounts'!$A$6:$A$105,Q482)&lt;&gt;1,COUNTIFS('Accounts'!$A$6:$A$105,R482)&lt;&gt;1,Q482=R482),"Check accounts/event",IF(AND(OR(Q482="Trade payables",R482="Trade payables",Q482="Customer receivables",R482="Customer receivables",Q482="Courier receivables",R482="Courier receivables",Q482="Supplier advances",R482="Supplier advances"),H482=""),"Contact ID required",IF(AND(N482="Approved",OR(M482="",M482=L482)),"Independent review needed",IF(OR(N482="Draft",N482="Approved",N482="Void"),"OK","Status required")))))))</x:f>
      </x:c>
    </x:row>
    <x:row r="483" ht="23" customHeight="1">
      <x:c r="A483" s="36"/>
      <x:c r="B483" s="40"/>
      <x:c r="C483" s="36"/>
      <x:c r="D483" s="41"/>
      <x:c r="E483" s="36"/>
      <x:c r="F483" s="36"/>
      <x:c r="G483" s="36"/>
      <x:c r="H483" s="36"/>
      <x:c r="I483" s="36"/>
      <x:c r="J483" s="36"/>
      <x:c r="K483" s="36"/>
      <x:c r="L483" s="36"/>
      <x:c r="M483" s="36"/>
      <x:c r="N483" s="36"/>
      <x:c r="O483" s="42" t="str">
        <x:f>IF(A483="","",IF(COUNTIFS('Event Guide'!$A$6:$A$29,C483)=1,VLOOKUP(C483,'Event Guide'!$A$6:$C$29,2,FALSE),"Unknown event"))</x:f>
      </x:c>
      <x:c r="P483" s="42" t="str">
        <x:f>IF(A483="","",IF(COUNTIFS('Event Guide'!$A$6:$A$29,C483)=1,VLOOKUP(C483,'Event Guide'!$A$6:$C$29,3,FALSE),"Unknown event"))</x:f>
      </x:c>
      <x:c r="Q483" s="42" t="str">
        <x:f>IF(A483="","",IF(O483="PAY",E483,IF(O483="OTHER",F483,IF(O483="CAPITAL","Capital - "&amp;G483,IF(O483="DUE","Due to - "&amp;G483,IF(O483="DRAW","Drawings - "&amp;G483,O483))))))</x:f>
      </x:c>
      <x:c r="R483" s="42" t="str">
        <x:f>IF(A483="","",IF(P483="PAY",E483,IF(P483="OTHER",F483,IF(P483="CAPITAL","Capital - "&amp;G483,IF(P483="DUE","Due to - "&amp;G483,IF(P483="DRAW","Drawings - "&amp;G483,P483))))))</x:f>
      </x:c>
      <x:c r="S483" s="37" t="n">
        <x:f>IF(AND(N483="Approved",T483="OK"),D483,0)</x:f>
        <x:v>0</x:v>
      </x:c>
      <x:c r="T483" s="42" t="str">
        <x:f>IF(A483="","",IF(COUNTIFS($A$6:$A$505,A483)&lt;&gt;1,"Duplicate ID",IF(OR(NOT(ISNUMBER(B483)),D483&lt;=0,NOT(ISNUMBER(D483)),I483="",J483="",L483=""),"Missing date/amount/ref/details",IF(OR(COUNTIFS('Accounts'!$A$6:$A$105,Q483)&lt;&gt;1,COUNTIFS('Accounts'!$A$6:$A$105,R483)&lt;&gt;1,Q483=R483),"Check accounts/event",IF(AND(OR(Q483="Trade payables",R483="Trade payables",Q483="Customer receivables",R483="Customer receivables",Q483="Courier receivables",R483="Courier receivables",Q483="Supplier advances",R483="Supplier advances"),H483=""),"Contact ID required",IF(AND(N483="Approved",OR(M483="",M483=L483)),"Independent review needed",IF(OR(N483="Draft",N483="Approved",N483="Void"),"OK","Status required")))))))</x:f>
      </x:c>
    </x:row>
    <x:row r="484" ht="23" customHeight="1">
      <x:c r="A484" s="36"/>
      <x:c r="B484" s="40"/>
      <x:c r="C484" s="36"/>
      <x:c r="D484" s="41"/>
      <x:c r="E484" s="36"/>
      <x:c r="F484" s="36"/>
      <x:c r="G484" s="36"/>
      <x:c r="H484" s="36"/>
      <x:c r="I484" s="36"/>
      <x:c r="J484" s="36"/>
      <x:c r="K484" s="36"/>
      <x:c r="L484" s="36"/>
      <x:c r="M484" s="36"/>
      <x:c r="N484" s="36"/>
      <x:c r="O484" s="42" t="str">
        <x:f>IF(A484="","",IF(COUNTIFS('Event Guide'!$A$6:$A$29,C484)=1,VLOOKUP(C484,'Event Guide'!$A$6:$C$29,2,FALSE),"Unknown event"))</x:f>
      </x:c>
      <x:c r="P484" s="42" t="str">
        <x:f>IF(A484="","",IF(COUNTIFS('Event Guide'!$A$6:$A$29,C484)=1,VLOOKUP(C484,'Event Guide'!$A$6:$C$29,3,FALSE),"Unknown event"))</x:f>
      </x:c>
      <x:c r="Q484" s="42" t="str">
        <x:f>IF(A484="","",IF(O484="PAY",E484,IF(O484="OTHER",F484,IF(O484="CAPITAL","Capital - "&amp;G484,IF(O484="DUE","Due to - "&amp;G484,IF(O484="DRAW","Drawings - "&amp;G484,O484))))))</x:f>
      </x:c>
      <x:c r="R484" s="42" t="str">
        <x:f>IF(A484="","",IF(P484="PAY",E484,IF(P484="OTHER",F484,IF(P484="CAPITAL","Capital - "&amp;G484,IF(P484="DUE","Due to - "&amp;G484,IF(P484="DRAW","Drawings - "&amp;G484,P484))))))</x:f>
      </x:c>
      <x:c r="S484" s="37" t="n">
        <x:f>IF(AND(N484="Approved",T484="OK"),D484,0)</x:f>
        <x:v>0</x:v>
      </x:c>
      <x:c r="T484" s="42" t="str">
        <x:f>IF(A484="","",IF(COUNTIFS($A$6:$A$505,A484)&lt;&gt;1,"Duplicate ID",IF(OR(NOT(ISNUMBER(B484)),D484&lt;=0,NOT(ISNUMBER(D484)),I484="",J484="",L484=""),"Missing date/amount/ref/details",IF(OR(COUNTIFS('Accounts'!$A$6:$A$105,Q484)&lt;&gt;1,COUNTIFS('Accounts'!$A$6:$A$105,R484)&lt;&gt;1,Q484=R484),"Check accounts/event",IF(AND(OR(Q484="Trade payables",R484="Trade payables",Q484="Customer receivables",R484="Customer receivables",Q484="Courier receivables",R484="Courier receivables",Q484="Supplier advances",R484="Supplier advances"),H484=""),"Contact ID required",IF(AND(N484="Approved",OR(M484="",M484=L484)),"Independent review needed",IF(OR(N484="Draft",N484="Approved",N484="Void"),"OK","Status required")))))))</x:f>
      </x:c>
    </x:row>
    <x:row r="485" ht="23" customHeight="1">
      <x:c r="A485" s="36"/>
      <x:c r="B485" s="40"/>
      <x:c r="C485" s="36"/>
      <x:c r="D485" s="41"/>
      <x:c r="E485" s="36"/>
      <x:c r="F485" s="36"/>
      <x:c r="G485" s="36"/>
      <x:c r="H485" s="36"/>
      <x:c r="I485" s="36"/>
      <x:c r="J485" s="36"/>
      <x:c r="K485" s="36"/>
      <x:c r="L485" s="36"/>
      <x:c r="M485" s="36"/>
      <x:c r="N485" s="36"/>
      <x:c r="O485" s="42" t="str">
        <x:f>IF(A485="","",IF(COUNTIFS('Event Guide'!$A$6:$A$29,C485)=1,VLOOKUP(C485,'Event Guide'!$A$6:$C$29,2,FALSE),"Unknown event"))</x:f>
      </x:c>
      <x:c r="P485" s="42" t="str">
        <x:f>IF(A485="","",IF(COUNTIFS('Event Guide'!$A$6:$A$29,C485)=1,VLOOKUP(C485,'Event Guide'!$A$6:$C$29,3,FALSE),"Unknown event"))</x:f>
      </x:c>
      <x:c r="Q485" s="42" t="str">
        <x:f>IF(A485="","",IF(O485="PAY",E485,IF(O485="OTHER",F485,IF(O485="CAPITAL","Capital - "&amp;G485,IF(O485="DUE","Due to - "&amp;G485,IF(O485="DRAW","Drawings - "&amp;G485,O485))))))</x:f>
      </x:c>
      <x:c r="R485" s="42" t="str">
        <x:f>IF(A485="","",IF(P485="PAY",E485,IF(P485="OTHER",F485,IF(P485="CAPITAL","Capital - "&amp;G485,IF(P485="DUE","Due to - "&amp;G485,IF(P485="DRAW","Drawings - "&amp;G485,P485))))))</x:f>
      </x:c>
      <x:c r="S485" s="37" t="n">
        <x:f>IF(AND(N485="Approved",T485="OK"),D485,0)</x:f>
        <x:v>0</x:v>
      </x:c>
      <x:c r="T485" s="42" t="str">
        <x:f>IF(A485="","",IF(COUNTIFS($A$6:$A$505,A485)&lt;&gt;1,"Duplicate ID",IF(OR(NOT(ISNUMBER(B485)),D485&lt;=0,NOT(ISNUMBER(D485)),I485="",J485="",L485=""),"Missing date/amount/ref/details",IF(OR(COUNTIFS('Accounts'!$A$6:$A$105,Q485)&lt;&gt;1,COUNTIFS('Accounts'!$A$6:$A$105,R485)&lt;&gt;1,Q485=R485),"Check accounts/event",IF(AND(OR(Q485="Trade payables",R485="Trade payables",Q485="Customer receivables",R485="Customer receivables",Q485="Courier receivables",R485="Courier receivables",Q485="Supplier advances",R485="Supplier advances"),H485=""),"Contact ID required",IF(AND(N485="Approved",OR(M485="",M485=L485)),"Independent review needed",IF(OR(N485="Draft",N485="Approved",N485="Void"),"OK","Status required")))))))</x:f>
      </x:c>
    </x:row>
    <x:row r="486" ht="23" customHeight="1">
      <x:c r="A486" s="36"/>
      <x:c r="B486" s="40"/>
      <x:c r="C486" s="36"/>
      <x:c r="D486" s="41"/>
      <x:c r="E486" s="36"/>
      <x:c r="F486" s="36"/>
      <x:c r="G486" s="36"/>
      <x:c r="H486" s="36"/>
      <x:c r="I486" s="36"/>
      <x:c r="J486" s="36"/>
      <x:c r="K486" s="36"/>
      <x:c r="L486" s="36"/>
      <x:c r="M486" s="36"/>
      <x:c r="N486" s="36"/>
      <x:c r="O486" s="42" t="str">
        <x:f>IF(A486="","",IF(COUNTIFS('Event Guide'!$A$6:$A$29,C486)=1,VLOOKUP(C486,'Event Guide'!$A$6:$C$29,2,FALSE),"Unknown event"))</x:f>
      </x:c>
      <x:c r="P486" s="42" t="str">
        <x:f>IF(A486="","",IF(COUNTIFS('Event Guide'!$A$6:$A$29,C486)=1,VLOOKUP(C486,'Event Guide'!$A$6:$C$29,3,FALSE),"Unknown event"))</x:f>
      </x:c>
      <x:c r="Q486" s="42" t="str">
        <x:f>IF(A486="","",IF(O486="PAY",E486,IF(O486="OTHER",F486,IF(O486="CAPITAL","Capital - "&amp;G486,IF(O486="DUE","Due to - "&amp;G486,IF(O486="DRAW","Drawings - "&amp;G486,O486))))))</x:f>
      </x:c>
      <x:c r="R486" s="42" t="str">
        <x:f>IF(A486="","",IF(P486="PAY",E486,IF(P486="OTHER",F486,IF(P486="CAPITAL","Capital - "&amp;G486,IF(P486="DUE","Due to - "&amp;G486,IF(P486="DRAW","Drawings - "&amp;G486,P486))))))</x:f>
      </x:c>
      <x:c r="S486" s="37" t="n">
        <x:f>IF(AND(N486="Approved",T486="OK"),D486,0)</x:f>
        <x:v>0</x:v>
      </x:c>
      <x:c r="T486" s="42" t="str">
        <x:f>IF(A486="","",IF(COUNTIFS($A$6:$A$505,A486)&lt;&gt;1,"Duplicate ID",IF(OR(NOT(ISNUMBER(B486)),D486&lt;=0,NOT(ISNUMBER(D486)),I486="",J486="",L486=""),"Missing date/amount/ref/details",IF(OR(COUNTIFS('Accounts'!$A$6:$A$105,Q486)&lt;&gt;1,COUNTIFS('Accounts'!$A$6:$A$105,R486)&lt;&gt;1,Q486=R486),"Check accounts/event",IF(AND(OR(Q486="Trade payables",R486="Trade payables",Q486="Customer receivables",R486="Customer receivables",Q486="Courier receivables",R486="Courier receivables",Q486="Supplier advances",R486="Supplier advances"),H486=""),"Contact ID required",IF(AND(N486="Approved",OR(M486="",M486=L486)),"Independent review needed",IF(OR(N486="Draft",N486="Approved",N486="Void"),"OK","Status required")))))))</x:f>
      </x:c>
    </x:row>
    <x:row r="487" ht="23" customHeight="1">
      <x:c r="A487" s="36"/>
      <x:c r="B487" s="40"/>
      <x:c r="C487" s="36"/>
      <x:c r="D487" s="41"/>
      <x:c r="E487" s="36"/>
      <x:c r="F487" s="36"/>
      <x:c r="G487" s="36"/>
      <x:c r="H487" s="36"/>
      <x:c r="I487" s="36"/>
      <x:c r="J487" s="36"/>
      <x:c r="K487" s="36"/>
      <x:c r="L487" s="36"/>
      <x:c r="M487" s="36"/>
      <x:c r="N487" s="36"/>
      <x:c r="O487" s="42" t="str">
        <x:f>IF(A487="","",IF(COUNTIFS('Event Guide'!$A$6:$A$29,C487)=1,VLOOKUP(C487,'Event Guide'!$A$6:$C$29,2,FALSE),"Unknown event"))</x:f>
      </x:c>
      <x:c r="P487" s="42" t="str">
        <x:f>IF(A487="","",IF(COUNTIFS('Event Guide'!$A$6:$A$29,C487)=1,VLOOKUP(C487,'Event Guide'!$A$6:$C$29,3,FALSE),"Unknown event"))</x:f>
      </x:c>
      <x:c r="Q487" s="42" t="str">
        <x:f>IF(A487="","",IF(O487="PAY",E487,IF(O487="OTHER",F487,IF(O487="CAPITAL","Capital - "&amp;G487,IF(O487="DUE","Due to - "&amp;G487,IF(O487="DRAW","Drawings - "&amp;G487,O487))))))</x:f>
      </x:c>
      <x:c r="R487" s="42" t="str">
        <x:f>IF(A487="","",IF(P487="PAY",E487,IF(P487="OTHER",F487,IF(P487="CAPITAL","Capital - "&amp;G487,IF(P487="DUE","Due to - "&amp;G487,IF(P487="DRAW","Drawings - "&amp;G487,P487))))))</x:f>
      </x:c>
      <x:c r="S487" s="37" t="n">
        <x:f>IF(AND(N487="Approved",T487="OK"),D487,0)</x:f>
        <x:v>0</x:v>
      </x:c>
      <x:c r="T487" s="42" t="str">
        <x:f>IF(A487="","",IF(COUNTIFS($A$6:$A$505,A487)&lt;&gt;1,"Duplicate ID",IF(OR(NOT(ISNUMBER(B487)),D487&lt;=0,NOT(ISNUMBER(D487)),I487="",J487="",L487=""),"Missing date/amount/ref/details",IF(OR(COUNTIFS('Accounts'!$A$6:$A$105,Q487)&lt;&gt;1,COUNTIFS('Accounts'!$A$6:$A$105,R487)&lt;&gt;1,Q487=R487),"Check accounts/event",IF(AND(OR(Q487="Trade payables",R487="Trade payables",Q487="Customer receivables",R487="Customer receivables",Q487="Courier receivables",R487="Courier receivables",Q487="Supplier advances",R487="Supplier advances"),H487=""),"Contact ID required",IF(AND(N487="Approved",OR(M487="",M487=L487)),"Independent review needed",IF(OR(N487="Draft",N487="Approved",N487="Void"),"OK","Status required")))))))</x:f>
      </x:c>
    </x:row>
    <x:row r="488" ht="23" customHeight="1">
      <x:c r="A488" s="36"/>
      <x:c r="B488" s="40"/>
      <x:c r="C488" s="36"/>
      <x:c r="D488" s="41"/>
      <x:c r="E488" s="36"/>
      <x:c r="F488" s="36"/>
      <x:c r="G488" s="36"/>
      <x:c r="H488" s="36"/>
      <x:c r="I488" s="36"/>
      <x:c r="J488" s="36"/>
      <x:c r="K488" s="36"/>
      <x:c r="L488" s="36"/>
      <x:c r="M488" s="36"/>
      <x:c r="N488" s="36"/>
      <x:c r="O488" s="42" t="str">
        <x:f>IF(A488="","",IF(COUNTIFS('Event Guide'!$A$6:$A$29,C488)=1,VLOOKUP(C488,'Event Guide'!$A$6:$C$29,2,FALSE),"Unknown event"))</x:f>
      </x:c>
      <x:c r="P488" s="42" t="str">
        <x:f>IF(A488="","",IF(COUNTIFS('Event Guide'!$A$6:$A$29,C488)=1,VLOOKUP(C488,'Event Guide'!$A$6:$C$29,3,FALSE),"Unknown event"))</x:f>
      </x:c>
      <x:c r="Q488" s="42" t="str">
        <x:f>IF(A488="","",IF(O488="PAY",E488,IF(O488="OTHER",F488,IF(O488="CAPITAL","Capital - "&amp;G488,IF(O488="DUE","Due to - "&amp;G488,IF(O488="DRAW","Drawings - "&amp;G488,O488))))))</x:f>
      </x:c>
      <x:c r="R488" s="42" t="str">
        <x:f>IF(A488="","",IF(P488="PAY",E488,IF(P488="OTHER",F488,IF(P488="CAPITAL","Capital - "&amp;G488,IF(P488="DUE","Due to - "&amp;G488,IF(P488="DRAW","Drawings - "&amp;G488,P488))))))</x:f>
      </x:c>
      <x:c r="S488" s="37" t="n">
        <x:f>IF(AND(N488="Approved",T488="OK"),D488,0)</x:f>
        <x:v>0</x:v>
      </x:c>
      <x:c r="T488" s="42" t="str">
        <x:f>IF(A488="","",IF(COUNTIFS($A$6:$A$505,A488)&lt;&gt;1,"Duplicate ID",IF(OR(NOT(ISNUMBER(B488)),D488&lt;=0,NOT(ISNUMBER(D488)),I488="",J488="",L488=""),"Missing date/amount/ref/details",IF(OR(COUNTIFS('Accounts'!$A$6:$A$105,Q488)&lt;&gt;1,COUNTIFS('Accounts'!$A$6:$A$105,R488)&lt;&gt;1,Q488=R488),"Check accounts/event",IF(AND(OR(Q488="Trade payables",R488="Trade payables",Q488="Customer receivables",R488="Customer receivables",Q488="Courier receivables",R488="Courier receivables",Q488="Supplier advances",R488="Supplier advances"),H488=""),"Contact ID required",IF(AND(N488="Approved",OR(M488="",M488=L488)),"Independent review needed",IF(OR(N488="Draft",N488="Approved",N488="Void"),"OK","Status required")))))))</x:f>
      </x:c>
    </x:row>
    <x:row r="489" ht="23" customHeight="1">
      <x:c r="A489" s="36"/>
      <x:c r="B489" s="40"/>
      <x:c r="C489" s="36"/>
      <x:c r="D489" s="41"/>
      <x:c r="E489" s="36"/>
      <x:c r="F489" s="36"/>
      <x:c r="G489" s="36"/>
      <x:c r="H489" s="36"/>
      <x:c r="I489" s="36"/>
      <x:c r="J489" s="36"/>
      <x:c r="K489" s="36"/>
      <x:c r="L489" s="36"/>
      <x:c r="M489" s="36"/>
      <x:c r="N489" s="36"/>
      <x:c r="O489" s="42" t="str">
        <x:f>IF(A489="","",IF(COUNTIFS('Event Guide'!$A$6:$A$29,C489)=1,VLOOKUP(C489,'Event Guide'!$A$6:$C$29,2,FALSE),"Unknown event"))</x:f>
      </x:c>
      <x:c r="P489" s="42" t="str">
        <x:f>IF(A489="","",IF(COUNTIFS('Event Guide'!$A$6:$A$29,C489)=1,VLOOKUP(C489,'Event Guide'!$A$6:$C$29,3,FALSE),"Unknown event"))</x:f>
      </x:c>
      <x:c r="Q489" s="42" t="str">
        <x:f>IF(A489="","",IF(O489="PAY",E489,IF(O489="OTHER",F489,IF(O489="CAPITAL","Capital - "&amp;G489,IF(O489="DUE","Due to - "&amp;G489,IF(O489="DRAW","Drawings - "&amp;G489,O489))))))</x:f>
      </x:c>
      <x:c r="R489" s="42" t="str">
        <x:f>IF(A489="","",IF(P489="PAY",E489,IF(P489="OTHER",F489,IF(P489="CAPITAL","Capital - "&amp;G489,IF(P489="DUE","Due to - "&amp;G489,IF(P489="DRAW","Drawings - "&amp;G489,P489))))))</x:f>
      </x:c>
      <x:c r="S489" s="37" t="n">
        <x:f>IF(AND(N489="Approved",T489="OK"),D489,0)</x:f>
        <x:v>0</x:v>
      </x:c>
      <x:c r="T489" s="42" t="str">
        <x:f>IF(A489="","",IF(COUNTIFS($A$6:$A$505,A489)&lt;&gt;1,"Duplicate ID",IF(OR(NOT(ISNUMBER(B489)),D489&lt;=0,NOT(ISNUMBER(D489)),I489="",J489="",L489=""),"Missing date/amount/ref/details",IF(OR(COUNTIFS('Accounts'!$A$6:$A$105,Q489)&lt;&gt;1,COUNTIFS('Accounts'!$A$6:$A$105,R489)&lt;&gt;1,Q489=R489),"Check accounts/event",IF(AND(OR(Q489="Trade payables",R489="Trade payables",Q489="Customer receivables",R489="Customer receivables",Q489="Courier receivables",R489="Courier receivables",Q489="Supplier advances",R489="Supplier advances"),H489=""),"Contact ID required",IF(AND(N489="Approved",OR(M489="",M489=L489)),"Independent review needed",IF(OR(N489="Draft",N489="Approved",N489="Void"),"OK","Status required")))))))</x:f>
      </x:c>
    </x:row>
    <x:row r="490" ht="23" customHeight="1">
      <x:c r="A490" s="36"/>
      <x:c r="B490" s="40"/>
      <x:c r="C490" s="36"/>
      <x:c r="D490" s="41"/>
      <x:c r="E490" s="36"/>
      <x:c r="F490" s="36"/>
      <x:c r="G490" s="36"/>
      <x:c r="H490" s="36"/>
      <x:c r="I490" s="36"/>
      <x:c r="J490" s="36"/>
      <x:c r="K490" s="36"/>
      <x:c r="L490" s="36"/>
      <x:c r="M490" s="36"/>
      <x:c r="N490" s="36"/>
      <x:c r="O490" s="42" t="str">
        <x:f>IF(A490="","",IF(COUNTIFS('Event Guide'!$A$6:$A$29,C490)=1,VLOOKUP(C490,'Event Guide'!$A$6:$C$29,2,FALSE),"Unknown event"))</x:f>
      </x:c>
      <x:c r="P490" s="42" t="str">
        <x:f>IF(A490="","",IF(COUNTIFS('Event Guide'!$A$6:$A$29,C490)=1,VLOOKUP(C490,'Event Guide'!$A$6:$C$29,3,FALSE),"Unknown event"))</x:f>
      </x:c>
      <x:c r="Q490" s="42" t="str">
        <x:f>IF(A490="","",IF(O490="PAY",E490,IF(O490="OTHER",F490,IF(O490="CAPITAL","Capital - "&amp;G490,IF(O490="DUE","Due to - "&amp;G490,IF(O490="DRAW","Drawings - "&amp;G490,O490))))))</x:f>
      </x:c>
      <x:c r="R490" s="42" t="str">
        <x:f>IF(A490="","",IF(P490="PAY",E490,IF(P490="OTHER",F490,IF(P490="CAPITAL","Capital - "&amp;G490,IF(P490="DUE","Due to - "&amp;G490,IF(P490="DRAW","Drawings - "&amp;G490,P490))))))</x:f>
      </x:c>
      <x:c r="S490" s="37" t="n">
        <x:f>IF(AND(N490="Approved",T490="OK"),D490,0)</x:f>
        <x:v>0</x:v>
      </x:c>
      <x:c r="T490" s="42" t="str">
        <x:f>IF(A490="","",IF(COUNTIFS($A$6:$A$505,A490)&lt;&gt;1,"Duplicate ID",IF(OR(NOT(ISNUMBER(B490)),D490&lt;=0,NOT(ISNUMBER(D490)),I490="",J490="",L490=""),"Missing date/amount/ref/details",IF(OR(COUNTIFS('Accounts'!$A$6:$A$105,Q490)&lt;&gt;1,COUNTIFS('Accounts'!$A$6:$A$105,R490)&lt;&gt;1,Q490=R490),"Check accounts/event",IF(AND(OR(Q490="Trade payables",R490="Trade payables",Q490="Customer receivables",R490="Customer receivables",Q490="Courier receivables",R490="Courier receivables",Q490="Supplier advances",R490="Supplier advances"),H490=""),"Contact ID required",IF(AND(N490="Approved",OR(M490="",M490=L490)),"Independent review needed",IF(OR(N490="Draft",N490="Approved",N490="Void"),"OK","Status required")))))))</x:f>
      </x:c>
    </x:row>
    <x:row r="491" ht="23" customHeight="1">
      <x:c r="A491" s="36"/>
      <x:c r="B491" s="40"/>
      <x:c r="C491" s="36"/>
      <x:c r="D491" s="41"/>
      <x:c r="E491" s="36"/>
      <x:c r="F491" s="36"/>
      <x:c r="G491" s="36"/>
      <x:c r="H491" s="36"/>
      <x:c r="I491" s="36"/>
      <x:c r="J491" s="36"/>
      <x:c r="K491" s="36"/>
      <x:c r="L491" s="36"/>
      <x:c r="M491" s="36"/>
      <x:c r="N491" s="36"/>
      <x:c r="O491" s="42" t="str">
        <x:f>IF(A491="","",IF(COUNTIFS('Event Guide'!$A$6:$A$29,C491)=1,VLOOKUP(C491,'Event Guide'!$A$6:$C$29,2,FALSE),"Unknown event"))</x:f>
      </x:c>
      <x:c r="P491" s="42" t="str">
        <x:f>IF(A491="","",IF(COUNTIFS('Event Guide'!$A$6:$A$29,C491)=1,VLOOKUP(C491,'Event Guide'!$A$6:$C$29,3,FALSE),"Unknown event"))</x:f>
      </x:c>
      <x:c r="Q491" s="42" t="str">
        <x:f>IF(A491="","",IF(O491="PAY",E491,IF(O491="OTHER",F491,IF(O491="CAPITAL","Capital - "&amp;G491,IF(O491="DUE","Due to - "&amp;G491,IF(O491="DRAW","Drawings - "&amp;G491,O491))))))</x:f>
      </x:c>
      <x:c r="R491" s="42" t="str">
        <x:f>IF(A491="","",IF(P491="PAY",E491,IF(P491="OTHER",F491,IF(P491="CAPITAL","Capital - "&amp;G491,IF(P491="DUE","Due to - "&amp;G491,IF(P491="DRAW","Drawings - "&amp;G491,P491))))))</x:f>
      </x:c>
      <x:c r="S491" s="37" t="n">
        <x:f>IF(AND(N491="Approved",T491="OK"),D491,0)</x:f>
        <x:v>0</x:v>
      </x:c>
      <x:c r="T491" s="42" t="str">
        <x:f>IF(A491="","",IF(COUNTIFS($A$6:$A$505,A491)&lt;&gt;1,"Duplicate ID",IF(OR(NOT(ISNUMBER(B491)),D491&lt;=0,NOT(ISNUMBER(D491)),I491="",J491="",L491=""),"Missing date/amount/ref/details",IF(OR(COUNTIFS('Accounts'!$A$6:$A$105,Q491)&lt;&gt;1,COUNTIFS('Accounts'!$A$6:$A$105,R491)&lt;&gt;1,Q491=R491),"Check accounts/event",IF(AND(OR(Q491="Trade payables",R491="Trade payables",Q491="Customer receivables",R491="Customer receivables",Q491="Courier receivables",R491="Courier receivables",Q491="Supplier advances",R491="Supplier advances"),H491=""),"Contact ID required",IF(AND(N491="Approved",OR(M491="",M491=L491)),"Independent review needed",IF(OR(N491="Draft",N491="Approved",N491="Void"),"OK","Status required")))))))</x:f>
      </x:c>
    </x:row>
    <x:row r="492" ht="23" customHeight="1">
      <x:c r="A492" s="36"/>
      <x:c r="B492" s="40"/>
      <x:c r="C492" s="36"/>
      <x:c r="D492" s="41"/>
      <x:c r="E492" s="36"/>
      <x:c r="F492" s="36"/>
      <x:c r="G492" s="36"/>
      <x:c r="H492" s="36"/>
      <x:c r="I492" s="36"/>
      <x:c r="J492" s="36"/>
      <x:c r="K492" s="36"/>
      <x:c r="L492" s="36"/>
      <x:c r="M492" s="36"/>
      <x:c r="N492" s="36"/>
      <x:c r="O492" s="42" t="str">
        <x:f>IF(A492="","",IF(COUNTIFS('Event Guide'!$A$6:$A$29,C492)=1,VLOOKUP(C492,'Event Guide'!$A$6:$C$29,2,FALSE),"Unknown event"))</x:f>
      </x:c>
      <x:c r="P492" s="42" t="str">
        <x:f>IF(A492="","",IF(COUNTIFS('Event Guide'!$A$6:$A$29,C492)=1,VLOOKUP(C492,'Event Guide'!$A$6:$C$29,3,FALSE),"Unknown event"))</x:f>
      </x:c>
      <x:c r="Q492" s="42" t="str">
        <x:f>IF(A492="","",IF(O492="PAY",E492,IF(O492="OTHER",F492,IF(O492="CAPITAL","Capital - "&amp;G492,IF(O492="DUE","Due to - "&amp;G492,IF(O492="DRAW","Drawings - "&amp;G492,O492))))))</x:f>
      </x:c>
      <x:c r="R492" s="42" t="str">
        <x:f>IF(A492="","",IF(P492="PAY",E492,IF(P492="OTHER",F492,IF(P492="CAPITAL","Capital - "&amp;G492,IF(P492="DUE","Due to - "&amp;G492,IF(P492="DRAW","Drawings - "&amp;G492,P492))))))</x:f>
      </x:c>
      <x:c r="S492" s="37" t="n">
        <x:f>IF(AND(N492="Approved",T492="OK"),D492,0)</x:f>
        <x:v>0</x:v>
      </x:c>
      <x:c r="T492" s="42" t="str">
        <x:f>IF(A492="","",IF(COUNTIFS($A$6:$A$505,A492)&lt;&gt;1,"Duplicate ID",IF(OR(NOT(ISNUMBER(B492)),D492&lt;=0,NOT(ISNUMBER(D492)),I492="",J492="",L492=""),"Missing date/amount/ref/details",IF(OR(COUNTIFS('Accounts'!$A$6:$A$105,Q492)&lt;&gt;1,COUNTIFS('Accounts'!$A$6:$A$105,R492)&lt;&gt;1,Q492=R492),"Check accounts/event",IF(AND(OR(Q492="Trade payables",R492="Trade payables",Q492="Customer receivables",R492="Customer receivables",Q492="Courier receivables",R492="Courier receivables",Q492="Supplier advances",R492="Supplier advances"),H492=""),"Contact ID required",IF(AND(N492="Approved",OR(M492="",M492=L492)),"Independent review needed",IF(OR(N492="Draft",N492="Approved",N492="Void"),"OK","Status required")))))))</x:f>
      </x:c>
    </x:row>
    <x:row r="493" ht="23" customHeight="1">
      <x:c r="A493" s="36"/>
      <x:c r="B493" s="40"/>
      <x:c r="C493" s="36"/>
      <x:c r="D493" s="41"/>
      <x:c r="E493" s="36"/>
      <x:c r="F493" s="36"/>
      <x:c r="G493" s="36"/>
      <x:c r="H493" s="36"/>
      <x:c r="I493" s="36"/>
      <x:c r="J493" s="36"/>
      <x:c r="K493" s="36"/>
      <x:c r="L493" s="36"/>
      <x:c r="M493" s="36"/>
      <x:c r="N493" s="36"/>
      <x:c r="O493" s="42" t="str">
        <x:f>IF(A493="","",IF(COUNTIFS('Event Guide'!$A$6:$A$29,C493)=1,VLOOKUP(C493,'Event Guide'!$A$6:$C$29,2,FALSE),"Unknown event"))</x:f>
      </x:c>
      <x:c r="P493" s="42" t="str">
        <x:f>IF(A493="","",IF(COUNTIFS('Event Guide'!$A$6:$A$29,C493)=1,VLOOKUP(C493,'Event Guide'!$A$6:$C$29,3,FALSE),"Unknown event"))</x:f>
      </x:c>
      <x:c r="Q493" s="42" t="str">
        <x:f>IF(A493="","",IF(O493="PAY",E493,IF(O493="OTHER",F493,IF(O493="CAPITAL","Capital - "&amp;G493,IF(O493="DUE","Due to - "&amp;G493,IF(O493="DRAW","Drawings - "&amp;G493,O493))))))</x:f>
      </x:c>
      <x:c r="R493" s="42" t="str">
        <x:f>IF(A493="","",IF(P493="PAY",E493,IF(P493="OTHER",F493,IF(P493="CAPITAL","Capital - "&amp;G493,IF(P493="DUE","Due to - "&amp;G493,IF(P493="DRAW","Drawings - "&amp;G493,P493))))))</x:f>
      </x:c>
      <x:c r="S493" s="37" t="n">
        <x:f>IF(AND(N493="Approved",T493="OK"),D493,0)</x:f>
        <x:v>0</x:v>
      </x:c>
      <x:c r="T493" s="42" t="str">
        <x:f>IF(A493="","",IF(COUNTIFS($A$6:$A$505,A493)&lt;&gt;1,"Duplicate ID",IF(OR(NOT(ISNUMBER(B493)),D493&lt;=0,NOT(ISNUMBER(D493)),I493="",J493="",L493=""),"Missing date/amount/ref/details",IF(OR(COUNTIFS('Accounts'!$A$6:$A$105,Q493)&lt;&gt;1,COUNTIFS('Accounts'!$A$6:$A$105,R493)&lt;&gt;1,Q493=R493),"Check accounts/event",IF(AND(OR(Q493="Trade payables",R493="Trade payables",Q493="Customer receivables",R493="Customer receivables",Q493="Courier receivables",R493="Courier receivables",Q493="Supplier advances",R493="Supplier advances"),H493=""),"Contact ID required",IF(AND(N493="Approved",OR(M493="",M493=L493)),"Independent review needed",IF(OR(N493="Draft",N493="Approved",N493="Void"),"OK","Status required")))))))</x:f>
      </x:c>
    </x:row>
    <x:row r="494" ht="23" customHeight="1">
      <x:c r="A494" s="36"/>
      <x:c r="B494" s="40"/>
      <x:c r="C494" s="36"/>
      <x:c r="D494" s="41"/>
      <x:c r="E494" s="36"/>
      <x:c r="F494" s="36"/>
      <x:c r="G494" s="36"/>
      <x:c r="H494" s="36"/>
      <x:c r="I494" s="36"/>
      <x:c r="J494" s="36"/>
      <x:c r="K494" s="36"/>
      <x:c r="L494" s="36"/>
      <x:c r="M494" s="36"/>
      <x:c r="N494" s="36"/>
      <x:c r="O494" s="42" t="str">
        <x:f>IF(A494="","",IF(COUNTIFS('Event Guide'!$A$6:$A$29,C494)=1,VLOOKUP(C494,'Event Guide'!$A$6:$C$29,2,FALSE),"Unknown event"))</x:f>
      </x:c>
      <x:c r="P494" s="42" t="str">
        <x:f>IF(A494="","",IF(COUNTIFS('Event Guide'!$A$6:$A$29,C494)=1,VLOOKUP(C494,'Event Guide'!$A$6:$C$29,3,FALSE),"Unknown event"))</x:f>
      </x:c>
      <x:c r="Q494" s="42" t="str">
        <x:f>IF(A494="","",IF(O494="PAY",E494,IF(O494="OTHER",F494,IF(O494="CAPITAL","Capital - "&amp;G494,IF(O494="DUE","Due to - "&amp;G494,IF(O494="DRAW","Drawings - "&amp;G494,O494))))))</x:f>
      </x:c>
      <x:c r="R494" s="42" t="str">
        <x:f>IF(A494="","",IF(P494="PAY",E494,IF(P494="OTHER",F494,IF(P494="CAPITAL","Capital - "&amp;G494,IF(P494="DUE","Due to - "&amp;G494,IF(P494="DRAW","Drawings - "&amp;G494,P494))))))</x:f>
      </x:c>
      <x:c r="S494" s="37" t="n">
        <x:f>IF(AND(N494="Approved",T494="OK"),D494,0)</x:f>
        <x:v>0</x:v>
      </x:c>
      <x:c r="T494" s="42" t="str">
        <x:f>IF(A494="","",IF(COUNTIFS($A$6:$A$505,A494)&lt;&gt;1,"Duplicate ID",IF(OR(NOT(ISNUMBER(B494)),D494&lt;=0,NOT(ISNUMBER(D494)),I494="",J494="",L494=""),"Missing date/amount/ref/details",IF(OR(COUNTIFS('Accounts'!$A$6:$A$105,Q494)&lt;&gt;1,COUNTIFS('Accounts'!$A$6:$A$105,R494)&lt;&gt;1,Q494=R494),"Check accounts/event",IF(AND(OR(Q494="Trade payables",R494="Trade payables",Q494="Customer receivables",R494="Customer receivables",Q494="Courier receivables",R494="Courier receivables",Q494="Supplier advances",R494="Supplier advances"),H494=""),"Contact ID required",IF(AND(N494="Approved",OR(M494="",M494=L494)),"Independent review needed",IF(OR(N494="Draft",N494="Approved",N494="Void"),"OK","Status required")))))))</x:f>
      </x:c>
    </x:row>
    <x:row r="495" ht="23" customHeight="1">
      <x:c r="A495" s="36"/>
      <x:c r="B495" s="40"/>
      <x:c r="C495" s="36"/>
      <x:c r="D495" s="41"/>
      <x:c r="E495" s="36"/>
      <x:c r="F495" s="36"/>
      <x:c r="G495" s="36"/>
      <x:c r="H495" s="36"/>
      <x:c r="I495" s="36"/>
      <x:c r="J495" s="36"/>
      <x:c r="K495" s="36"/>
      <x:c r="L495" s="36"/>
      <x:c r="M495" s="36"/>
      <x:c r="N495" s="36"/>
      <x:c r="O495" s="42" t="str">
        <x:f>IF(A495="","",IF(COUNTIFS('Event Guide'!$A$6:$A$29,C495)=1,VLOOKUP(C495,'Event Guide'!$A$6:$C$29,2,FALSE),"Unknown event"))</x:f>
      </x:c>
      <x:c r="P495" s="42" t="str">
        <x:f>IF(A495="","",IF(COUNTIFS('Event Guide'!$A$6:$A$29,C495)=1,VLOOKUP(C495,'Event Guide'!$A$6:$C$29,3,FALSE),"Unknown event"))</x:f>
      </x:c>
      <x:c r="Q495" s="42" t="str">
        <x:f>IF(A495="","",IF(O495="PAY",E495,IF(O495="OTHER",F495,IF(O495="CAPITAL","Capital - "&amp;G495,IF(O495="DUE","Due to - "&amp;G495,IF(O495="DRAW","Drawings - "&amp;G495,O495))))))</x:f>
      </x:c>
      <x:c r="R495" s="42" t="str">
        <x:f>IF(A495="","",IF(P495="PAY",E495,IF(P495="OTHER",F495,IF(P495="CAPITAL","Capital - "&amp;G495,IF(P495="DUE","Due to - "&amp;G495,IF(P495="DRAW","Drawings - "&amp;G495,P495))))))</x:f>
      </x:c>
      <x:c r="S495" s="37" t="n">
        <x:f>IF(AND(N495="Approved",T495="OK"),D495,0)</x:f>
        <x:v>0</x:v>
      </x:c>
      <x:c r="T495" s="42" t="str">
        <x:f>IF(A495="","",IF(COUNTIFS($A$6:$A$505,A495)&lt;&gt;1,"Duplicate ID",IF(OR(NOT(ISNUMBER(B495)),D495&lt;=0,NOT(ISNUMBER(D495)),I495="",J495="",L495=""),"Missing date/amount/ref/details",IF(OR(COUNTIFS('Accounts'!$A$6:$A$105,Q495)&lt;&gt;1,COUNTIFS('Accounts'!$A$6:$A$105,R495)&lt;&gt;1,Q495=R495),"Check accounts/event",IF(AND(OR(Q495="Trade payables",R495="Trade payables",Q495="Customer receivables",R495="Customer receivables",Q495="Courier receivables",R495="Courier receivables",Q495="Supplier advances",R495="Supplier advances"),H495=""),"Contact ID required",IF(AND(N495="Approved",OR(M495="",M495=L495)),"Independent review needed",IF(OR(N495="Draft",N495="Approved",N495="Void"),"OK","Status required")))))))</x:f>
      </x:c>
    </x:row>
    <x:row r="496" ht="23" customHeight="1">
      <x:c r="A496" s="36"/>
      <x:c r="B496" s="40"/>
      <x:c r="C496" s="36"/>
      <x:c r="D496" s="41"/>
      <x:c r="E496" s="36"/>
      <x:c r="F496" s="36"/>
      <x:c r="G496" s="36"/>
      <x:c r="H496" s="36"/>
      <x:c r="I496" s="36"/>
      <x:c r="J496" s="36"/>
      <x:c r="K496" s="36"/>
      <x:c r="L496" s="36"/>
      <x:c r="M496" s="36"/>
      <x:c r="N496" s="36"/>
      <x:c r="O496" s="42" t="str">
        <x:f>IF(A496="","",IF(COUNTIFS('Event Guide'!$A$6:$A$29,C496)=1,VLOOKUP(C496,'Event Guide'!$A$6:$C$29,2,FALSE),"Unknown event"))</x:f>
      </x:c>
      <x:c r="P496" s="42" t="str">
        <x:f>IF(A496="","",IF(COUNTIFS('Event Guide'!$A$6:$A$29,C496)=1,VLOOKUP(C496,'Event Guide'!$A$6:$C$29,3,FALSE),"Unknown event"))</x:f>
      </x:c>
      <x:c r="Q496" s="42" t="str">
        <x:f>IF(A496="","",IF(O496="PAY",E496,IF(O496="OTHER",F496,IF(O496="CAPITAL","Capital - "&amp;G496,IF(O496="DUE","Due to - "&amp;G496,IF(O496="DRAW","Drawings - "&amp;G496,O496))))))</x:f>
      </x:c>
      <x:c r="R496" s="42" t="str">
        <x:f>IF(A496="","",IF(P496="PAY",E496,IF(P496="OTHER",F496,IF(P496="CAPITAL","Capital - "&amp;G496,IF(P496="DUE","Due to - "&amp;G496,IF(P496="DRAW","Drawings - "&amp;G496,P496))))))</x:f>
      </x:c>
      <x:c r="S496" s="37" t="n">
        <x:f>IF(AND(N496="Approved",T496="OK"),D496,0)</x:f>
        <x:v>0</x:v>
      </x:c>
      <x:c r="T496" s="42" t="str">
        <x:f>IF(A496="","",IF(COUNTIFS($A$6:$A$505,A496)&lt;&gt;1,"Duplicate ID",IF(OR(NOT(ISNUMBER(B496)),D496&lt;=0,NOT(ISNUMBER(D496)),I496="",J496="",L496=""),"Missing date/amount/ref/details",IF(OR(COUNTIFS('Accounts'!$A$6:$A$105,Q496)&lt;&gt;1,COUNTIFS('Accounts'!$A$6:$A$105,R496)&lt;&gt;1,Q496=R496),"Check accounts/event",IF(AND(OR(Q496="Trade payables",R496="Trade payables",Q496="Customer receivables",R496="Customer receivables",Q496="Courier receivables",R496="Courier receivables",Q496="Supplier advances",R496="Supplier advances"),H496=""),"Contact ID required",IF(AND(N496="Approved",OR(M496="",M496=L496)),"Independent review needed",IF(OR(N496="Draft",N496="Approved",N496="Void"),"OK","Status required")))))))</x:f>
      </x:c>
    </x:row>
    <x:row r="497" ht="23" customHeight="1">
      <x:c r="A497" s="36"/>
      <x:c r="B497" s="40"/>
      <x:c r="C497" s="36"/>
      <x:c r="D497" s="41"/>
      <x:c r="E497" s="36"/>
      <x:c r="F497" s="36"/>
      <x:c r="G497" s="36"/>
      <x:c r="H497" s="36"/>
      <x:c r="I497" s="36"/>
      <x:c r="J497" s="36"/>
      <x:c r="K497" s="36"/>
      <x:c r="L497" s="36"/>
      <x:c r="M497" s="36"/>
      <x:c r="N497" s="36"/>
      <x:c r="O497" s="42" t="str">
        <x:f>IF(A497="","",IF(COUNTIFS('Event Guide'!$A$6:$A$29,C497)=1,VLOOKUP(C497,'Event Guide'!$A$6:$C$29,2,FALSE),"Unknown event"))</x:f>
      </x:c>
      <x:c r="P497" s="42" t="str">
        <x:f>IF(A497="","",IF(COUNTIFS('Event Guide'!$A$6:$A$29,C497)=1,VLOOKUP(C497,'Event Guide'!$A$6:$C$29,3,FALSE),"Unknown event"))</x:f>
      </x:c>
      <x:c r="Q497" s="42" t="str">
        <x:f>IF(A497="","",IF(O497="PAY",E497,IF(O497="OTHER",F497,IF(O497="CAPITAL","Capital - "&amp;G497,IF(O497="DUE","Due to - "&amp;G497,IF(O497="DRAW","Drawings - "&amp;G497,O497))))))</x:f>
      </x:c>
      <x:c r="R497" s="42" t="str">
        <x:f>IF(A497="","",IF(P497="PAY",E497,IF(P497="OTHER",F497,IF(P497="CAPITAL","Capital - "&amp;G497,IF(P497="DUE","Due to - "&amp;G497,IF(P497="DRAW","Drawings - "&amp;G497,P497))))))</x:f>
      </x:c>
      <x:c r="S497" s="37" t="n">
        <x:f>IF(AND(N497="Approved",T497="OK"),D497,0)</x:f>
        <x:v>0</x:v>
      </x:c>
      <x:c r="T497" s="42" t="str">
        <x:f>IF(A497="","",IF(COUNTIFS($A$6:$A$505,A497)&lt;&gt;1,"Duplicate ID",IF(OR(NOT(ISNUMBER(B497)),D497&lt;=0,NOT(ISNUMBER(D497)),I497="",J497="",L497=""),"Missing date/amount/ref/details",IF(OR(COUNTIFS('Accounts'!$A$6:$A$105,Q497)&lt;&gt;1,COUNTIFS('Accounts'!$A$6:$A$105,R497)&lt;&gt;1,Q497=R497),"Check accounts/event",IF(AND(OR(Q497="Trade payables",R497="Trade payables",Q497="Customer receivables",R497="Customer receivables",Q497="Courier receivables",R497="Courier receivables",Q497="Supplier advances",R497="Supplier advances"),H497=""),"Contact ID required",IF(AND(N497="Approved",OR(M497="",M497=L497)),"Independent review needed",IF(OR(N497="Draft",N497="Approved",N497="Void"),"OK","Status required")))))))</x:f>
      </x:c>
    </x:row>
    <x:row r="498" ht="23" customHeight="1">
      <x:c r="A498" s="36"/>
      <x:c r="B498" s="40"/>
      <x:c r="C498" s="36"/>
      <x:c r="D498" s="41"/>
      <x:c r="E498" s="36"/>
      <x:c r="F498" s="36"/>
      <x:c r="G498" s="36"/>
      <x:c r="H498" s="36"/>
      <x:c r="I498" s="36"/>
      <x:c r="J498" s="36"/>
      <x:c r="K498" s="36"/>
      <x:c r="L498" s="36"/>
      <x:c r="M498" s="36"/>
      <x:c r="N498" s="36"/>
      <x:c r="O498" s="42" t="str">
        <x:f>IF(A498="","",IF(COUNTIFS('Event Guide'!$A$6:$A$29,C498)=1,VLOOKUP(C498,'Event Guide'!$A$6:$C$29,2,FALSE),"Unknown event"))</x:f>
      </x:c>
      <x:c r="P498" s="42" t="str">
        <x:f>IF(A498="","",IF(COUNTIFS('Event Guide'!$A$6:$A$29,C498)=1,VLOOKUP(C498,'Event Guide'!$A$6:$C$29,3,FALSE),"Unknown event"))</x:f>
      </x:c>
      <x:c r="Q498" s="42" t="str">
        <x:f>IF(A498="","",IF(O498="PAY",E498,IF(O498="OTHER",F498,IF(O498="CAPITAL","Capital - "&amp;G498,IF(O498="DUE","Due to - "&amp;G498,IF(O498="DRAW","Drawings - "&amp;G498,O498))))))</x:f>
      </x:c>
      <x:c r="R498" s="42" t="str">
        <x:f>IF(A498="","",IF(P498="PAY",E498,IF(P498="OTHER",F498,IF(P498="CAPITAL","Capital - "&amp;G498,IF(P498="DUE","Due to - "&amp;G498,IF(P498="DRAW","Drawings - "&amp;G498,P498))))))</x:f>
      </x:c>
      <x:c r="S498" s="37" t="n">
        <x:f>IF(AND(N498="Approved",T498="OK"),D498,0)</x:f>
        <x:v>0</x:v>
      </x:c>
      <x:c r="T498" s="42" t="str">
        <x:f>IF(A498="","",IF(COUNTIFS($A$6:$A$505,A498)&lt;&gt;1,"Duplicate ID",IF(OR(NOT(ISNUMBER(B498)),D498&lt;=0,NOT(ISNUMBER(D498)),I498="",J498="",L498=""),"Missing date/amount/ref/details",IF(OR(COUNTIFS('Accounts'!$A$6:$A$105,Q498)&lt;&gt;1,COUNTIFS('Accounts'!$A$6:$A$105,R498)&lt;&gt;1,Q498=R498),"Check accounts/event",IF(AND(OR(Q498="Trade payables",R498="Trade payables",Q498="Customer receivables",R498="Customer receivables",Q498="Courier receivables",R498="Courier receivables",Q498="Supplier advances",R498="Supplier advances"),H498=""),"Contact ID required",IF(AND(N498="Approved",OR(M498="",M498=L498)),"Independent review needed",IF(OR(N498="Draft",N498="Approved",N498="Void"),"OK","Status required")))))))</x:f>
      </x:c>
    </x:row>
    <x:row r="499" ht="23" customHeight="1">
      <x:c r="A499" s="36"/>
      <x:c r="B499" s="40"/>
      <x:c r="C499" s="36"/>
      <x:c r="D499" s="41"/>
      <x:c r="E499" s="36"/>
      <x:c r="F499" s="36"/>
      <x:c r="G499" s="36"/>
      <x:c r="H499" s="36"/>
      <x:c r="I499" s="36"/>
      <x:c r="J499" s="36"/>
      <x:c r="K499" s="36"/>
      <x:c r="L499" s="36"/>
      <x:c r="M499" s="36"/>
      <x:c r="N499" s="36"/>
      <x:c r="O499" s="42" t="str">
        <x:f>IF(A499="","",IF(COUNTIFS('Event Guide'!$A$6:$A$29,C499)=1,VLOOKUP(C499,'Event Guide'!$A$6:$C$29,2,FALSE),"Unknown event"))</x:f>
      </x:c>
      <x:c r="P499" s="42" t="str">
        <x:f>IF(A499="","",IF(COUNTIFS('Event Guide'!$A$6:$A$29,C499)=1,VLOOKUP(C499,'Event Guide'!$A$6:$C$29,3,FALSE),"Unknown event"))</x:f>
      </x:c>
      <x:c r="Q499" s="42" t="str">
        <x:f>IF(A499="","",IF(O499="PAY",E499,IF(O499="OTHER",F499,IF(O499="CAPITAL","Capital - "&amp;G499,IF(O499="DUE","Due to - "&amp;G499,IF(O499="DRAW","Drawings - "&amp;G499,O499))))))</x:f>
      </x:c>
      <x:c r="R499" s="42" t="str">
        <x:f>IF(A499="","",IF(P499="PAY",E499,IF(P499="OTHER",F499,IF(P499="CAPITAL","Capital - "&amp;G499,IF(P499="DUE","Due to - "&amp;G499,IF(P499="DRAW","Drawings - "&amp;G499,P499))))))</x:f>
      </x:c>
      <x:c r="S499" s="37" t="n">
        <x:f>IF(AND(N499="Approved",T499="OK"),D499,0)</x:f>
        <x:v>0</x:v>
      </x:c>
      <x:c r="T499" s="42" t="str">
        <x:f>IF(A499="","",IF(COUNTIFS($A$6:$A$505,A499)&lt;&gt;1,"Duplicate ID",IF(OR(NOT(ISNUMBER(B499)),D499&lt;=0,NOT(ISNUMBER(D499)),I499="",J499="",L499=""),"Missing date/amount/ref/details",IF(OR(COUNTIFS('Accounts'!$A$6:$A$105,Q499)&lt;&gt;1,COUNTIFS('Accounts'!$A$6:$A$105,R499)&lt;&gt;1,Q499=R499),"Check accounts/event",IF(AND(OR(Q499="Trade payables",R499="Trade payables",Q499="Customer receivables",R499="Customer receivables",Q499="Courier receivables",R499="Courier receivables",Q499="Supplier advances",R499="Supplier advances"),H499=""),"Contact ID required",IF(AND(N499="Approved",OR(M499="",M499=L499)),"Independent review needed",IF(OR(N499="Draft",N499="Approved",N499="Void"),"OK","Status required")))))))</x:f>
      </x:c>
    </x:row>
    <x:row r="500" ht="23" customHeight="1">
      <x:c r="A500" s="36"/>
      <x:c r="B500" s="40"/>
      <x:c r="C500" s="36"/>
      <x:c r="D500" s="41"/>
      <x:c r="E500" s="36"/>
      <x:c r="F500" s="36"/>
      <x:c r="G500" s="36"/>
      <x:c r="H500" s="36"/>
      <x:c r="I500" s="36"/>
      <x:c r="J500" s="36"/>
      <x:c r="K500" s="36"/>
      <x:c r="L500" s="36"/>
      <x:c r="M500" s="36"/>
      <x:c r="N500" s="36"/>
      <x:c r="O500" s="42" t="str">
        <x:f>IF(A500="","",IF(COUNTIFS('Event Guide'!$A$6:$A$29,C500)=1,VLOOKUP(C500,'Event Guide'!$A$6:$C$29,2,FALSE),"Unknown event"))</x:f>
      </x:c>
      <x:c r="P500" s="42" t="str">
        <x:f>IF(A500="","",IF(COUNTIFS('Event Guide'!$A$6:$A$29,C500)=1,VLOOKUP(C500,'Event Guide'!$A$6:$C$29,3,FALSE),"Unknown event"))</x:f>
      </x:c>
      <x:c r="Q500" s="42" t="str">
        <x:f>IF(A500="","",IF(O500="PAY",E500,IF(O500="OTHER",F500,IF(O500="CAPITAL","Capital - "&amp;G500,IF(O500="DUE","Due to - "&amp;G500,IF(O500="DRAW","Drawings - "&amp;G500,O500))))))</x:f>
      </x:c>
      <x:c r="R500" s="42" t="str">
        <x:f>IF(A500="","",IF(P500="PAY",E500,IF(P500="OTHER",F500,IF(P500="CAPITAL","Capital - "&amp;G500,IF(P500="DUE","Due to - "&amp;G500,IF(P500="DRAW","Drawings - "&amp;G500,P500))))))</x:f>
      </x:c>
      <x:c r="S500" s="37" t="n">
        <x:f>IF(AND(N500="Approved",T500="OK"),D500,0)</x:f>
        <x:v>0</x:v>
      </x:c>
      <x:c r="T500" s="42" t="str">
        <x:f>IF(A500="","",IF(COUNTIFS($A$6:$A$505,A500)&lt;&gt;1,"Duplicate ID",IF(OR(NOT(ISNUMBER(B500)),D500&lt;=0,NOT(ISNUMBER(D500)),I500="",J500="",L500=""),"Missing date/amount/ref/details",IF(OR(COUNTIFS('Accounts'!$A$6:$A$105,Q500)&lt;&gt;1,COUNTIFS('Accounts'!$A$6:$A$105,R500)&lt;&gt;1,Q500=R500),"Check accounts/event",IF(AND(OR(Q500="Trade payables",R500="Trade payables",Q500="Customer receivables",R500="Customer receivables",Q500="Courier receivables",R500="Courier receivables",Q500="Supplier advances",R500="Supplier advances"),H500=""),"Contact ID required",IF(AND(N500="Approved",OR(M500="",M500=L500)),"Independent review needed",IF(OR(N500="Draft",N500="Approved",N500="Void"),"OK","Status required")))))))</x:f>
      </x:c>
    </x:row>
    <x:row r="501" ht="23" customHeight="1">
      <x:c r="A501" s="36"/>
      <x:c r="B501" s="40"/>
      <x:c r="C501" s="36"/>
      <x:c r="D501" s="41"/>
      <x:c r="E501" s="36"/>
      <x:c r="F501" s="36"/>
      <x:c r="G501" s="36"/>
      <x:c r="H501" s="36"/>
      <x:c r="I501" s="36"/>
      <x:c r="J501" s="36"/>
      <x:c r="K501" s="36"/>
      <x:c r="L501" s="36"/>
      <x:c r="M501" s="36"/>
      <x:c r="N501" s="36"/>
      <x:c r="O501" s="42" t="str">
        <x:f>IF(A501="","",IF(COUNTIFS('Event Guide'!$A$6:$A$29,C501)=1,VLOOKUP(C501,'Event Guide'!$A$6:$C$29,2,FALSE),"Unknown event"))</x:f>
      </x:c>
      <x:c r="P501" s="42" t="str">
        <x:f>IF(A501="","",IF(COUNTIFS('Event Guide'!$A$6:$A$29,C501)=1,VLOOKUP(C501,'Event Guide'!$A$6:$C$29,3,FALSE),"Unknown event"))</x:f>
      </x:c>
      <x:c r="Q501" s="42" t="str">
        <x:f>IF(A501="","",IF(O501="PAY",E501,IF(O501="OTHER",F501,IF(O501="CAPITAL","Capital - "&amp;G501,IF(O501="DUE","Due to - "&amp;G501,IF(O501="DRAW","Drawings - "&amp;G501,O501))))))</x:f>
      </x:c>
      <x:c r="R501" s="42" t="str">
        <x:f>IF(A501="","",IF(P501="PAY",E501,IF(P501="OTHER",F501,IF(P501="CAPITAL","Capital - "&amp;G501,IF(P501="DUE","Due to - "&amp;G501,IF(P501="DRAW","Drawings - "&amp;G501,P501))))))</x:f>
      </x:c>
      <x:c r="S501" s="37" t="n">
        <x:f>IF(AND(N501="Approved",T501="OK"),D501,0)</x:f>
        <x:v>0</x:v>
      </x:c>
      <x:c r="T501" s="42" t="str">
        <x:f>IF(A501="","",IF(COUNTIFS($A$6:$A$505,A501)&lt;&gt;1,"Duplicate ID",IF(OR(NOT(ISNUMBER(B501)),D501&lt;=0,NOT(ISNUMBER(D501)),I501="",J501="",L501=""),"Missing date/amount/ref/details",IF(OR(COUNTIFS('Accounts'!$A$6:$A$105,Q501)&lt;&gt;1,COUNTIFS('Accounts'!$A$6:$A$105,R501)&lt;&gt;1,Q501=R501),"Check accounts/event",IF(AND(OR(Q501="Trade payables",R501="Trade payables",Q501="Customer receivables",R501="Customer receivables",Q501="Courier receivables",R501="Courier receivables",Q501="Supplier advances",R501="Supplier advances"),H501=""),"Contact ID required",IF(AND(N501="Approved",OR(M501="",M501=L501)),"Independent review needed",IF(OR(N501="Draft",N501="Approved",N501="Void"),"OK","Status required")))))))</x:f>
      </x:c>
    </x:row>
    <x:row r="502" ht="23" customHeight="1">
      <x:c r="A502" s="36"/>
      <x:c r="B502" s="40"/>
      <x:c r="C502" s="36"/>
      <x:c r="D502" s="41"/>
      <x:c r="E502" s="36"/>
      <x:c r="F502" s="36"/>
      <x:c r="G502" s="36"/>
      <x:c r="H502" s="36"/>
      <x:c r="I502" s="36"/>
      <x:c r="J502" s="36"/>
      <x:c r="K502" s="36"/>
      <x:c r="L502" s="36"/>
      <x:c r="M502" s="36"/>
      <x:c r="N502" s="36"/>
      <x:c r="O502" s="42" t="str">
        <x:f>IF(A502="","",IF(COUNTIFS('Event Guide'!$A$6:$A$29,C502)=1,VLOOKUP(C502,'Event Guide'!$A$6:$C$29,2,FALSE),"Unknown event"))</x:f>
      </x:c>
      <x:c r="P502" s="42" t="str">
        <x:f>IF(A502="","",IF(COUNTIFS('Event Guide'!$A$6:$A$29,C502)=1,VLOOKUP(C502,'Event Guide'!$A$6:$C$29,3,FALSE),"Unknown event"))</x:f>
      </x:c>
      <x:c r="Q502" s="42" t="str">
        <x:f>IF(A502="","",IF(O502="PAY",E502,IF(O502="OTHER",F502,IF(O502="CAPITAL","Capital - "&amp;G502,IF(O502="DUE","Due to - "&amp;G502,IF(O502="DRAW","Drawings - "&amp;G502,O502))))))</x:f>
      </x:c>
      <x:c r="R502" s="42" t="str">
        <x:f>IF(A502="","",IF(P502="PAY",E502,IF(P502="OTHER",F502,IF(P502="CAPITAL","Capital - "&amp;G502,IF(P502="DUE","Due to - "&amp;G502,IF(P502="DRAW","Drawings - "&amp;G502,P502))))))</x:f>
      </x:c>
      <x:c r="S502" s="37" t="n">
        <x:f>IF(AND(N502="Approved",T502="OK"),D502,0)</x:f>
        <x:v>0</x:v>
      </x:c>
      <x:c r="T502" s="42" t="str">
        <x:f>IF(A502="","",IF(COUNTIFS($A$6:$A$505,A502)&lt;&gt;1,"Duplicate ID",IF(OR(NOT(ISNUMBER(B502)),D502&lt;=0,NOT(ISNUMBER(D502)),I502="",J502="",L502=""),"Missing date/amount/ref/details",IF(OR(COUNTIFS('Accounts'!$A$6:$A$105,Q502)&lt;&gt;1,COUNTIFS('Accounts'!$A$6:$A$105,R502)&lt;&gt;1,Q502=R502),"Check accounts/event",IF(AND(OR(Q502="Trade payables",R502="Trade payables",Q502="Customer receivables",R502="Customer receivables",Q502="Courier receivables",R502="Courier receivables",Q502="Supplier advances",R502="Supplier advances"),H502=""),"Contact ID required",IF(AND(N502="Approved",OR(M502="",M502=L502)),"Independent review needed",IF(OR(N502="Draft",N502="Approved",N502="Void"),"OK","Status required")))))))</x:f>
      </x:c>
    </x:row>
    <x:row r="503" ht="23" customHeight="1">
      <x:c r="A503" s="36"/>
      <x:c r="B503" s="40"/>
      <x:c r="C503" s="36"/>
      <x:c r="D503" s="41"/>
      <x:c r="E503" s="36"/>
      <x:c r="F503" s="36"/>
      <x:c r="G503" s="36"/>
      <x:c r="H503" s="36"/>
      <x:c r="I503" s="36"/>
      <x:c r="J503" s="36"/>
      <x:c r="K503" s="36"/>
      <x:c r="L503" s="36"/>
      <x:c r="M503" s="36"/>
      <x:c r="N503" s="36"/>
      <x:c r="O503" s="42" t="str">
        <x:f>IF(A503="","",IF(COUNTIFS('Event Guide'!$A$6:$A$29,C503)=1,VLOOKUP(C503,'Event Guide'!$A$6:$C$29,2,FALSE),"Unknown event"))</x:f>
      </x:c>
      <x:c r="P503" s="42" t="str">
        <x:f>IF(A503="","",IF(COUNTIFS('Event Guide'!$A$6:$A$29,C503)=1,VLOOKUP(C503,'Event Guide'!$A$6:$C$29,3,FALSE),"Unknown event"))</x:f>
      </x:c>
      <x:c r="Q503" s="42" t="str">
        <x:f>IF(A503="","",IF(O503="PAY",E503,IF(O503="OTHER",F503,IF(O503="CAPITAL","Capital - "&amp;G503,IF(O503="DUE","Due to - "&amp;G503,IF(O503="DRAW","Drawings - "&amp;G503,O503))))))</x:f>
      </x:c>
      <x:c r="R503" s="42" t="str">
        <x:f>IF(A503="","",IF(P503="PAY",E503,IF(P503="OTHER",F503,IF(P503="CAPITAL","Capital - "&amp;G503,IF(P503="DUE","Due to - "&amp;G503,IF(P503="DRAW","Drawings - "&amp;G503,P503))))))</x:f>
      </x:c>
      <x:c r="S503" s="37" t="n">
        <x:f>IF(AND(N503="Approved",T503="OK"),D503,0)</x:f>
        <x:v>0</x:v>
      </x:c>
      <x:c r="T503" s="42" t="str">
        <x:f>IF(A503="","",IF(COUNTIFS($A$6:$A$505,A503)&lt;&gt;1,"Duplicate ID",IF(OR(NOT(ISNUMBER(B503)),D503&lt;=0,NOT(ISNUMBER(D503)),I503="",J503="",L503=""),"Missing date/amount/ref/details",IF(OR(COUNTIFS('Accounts'!$A$6:$A$105,Q503)&lt;&gt;1,COUNTIFS('Accounts'!$A$6:$A$105,R503)&lt;&gt;1,Q503=R503),"Check accounts/event",IF(AND(OR(Q503="Trade payables",R503="Trade payables",Q503="Customer receivables",R503="Customer receivables",Q503="Courier receivables",R503="Courier receivables",Q503="Supplier advances",R503="Supplier advances"),H503=""),"Contact ID required",IF(AND(N503="Approved",OR(M503="",M503=L503)),"Independent review needed",IF(OR(N503="Draft",N503="Approved",N503="Void"),"OK","Status required")))))))</x:f>
      </x:c>
    </x:row>
    <x:row r="504" ht="23" customHeight="1">
      <x:c r="A504" s="36"/>
      <x:c r="B504" s="40"/>
      <x:c r="C504" s="36"/>
      <x:c r="D504" s="41"/>
      <x:c r="E504" s="36"/>
      <x:c r="F504" s="36"/>
      <x:c r="G504" s="36"/>
      <x:c r="H504" s="36"/>
      <x:c r="I504" s="36"/>
      <x:c r="J504" s="36"/>
      <x:c r="K504" s="36"/>
      <x:c r="L504" s="36"/>
      <x:c r="M504" s="36"/>
      <x:c r="N504" s="36"/>
      <x:c r="O504" s="42" t="str">
        <x:f>IF(A504="","",IF(COUNTIFS('Event Guide'!$A$6:$A$29,C504)=1,VLOOKUP(C504,'Event Guide'!$A$6:$C$29,2,FALSE),"Unknown event"))</x:f>
      </x:c>
      <x:c r="P504" s="42" t="str">
        <x:f>IF(A504="","",IF(COUNTIFS('Event Guide'!$A$6:$A$29,C504)=1,VLOOKUP(C504,'Event Guide'!$A$6:$C$29,3,FALSE),"Unknown event"))</x:f>
      </x:c>
      <x:c r="Q504" s="42" t="str">
        <x:f>IF(A504="","",IF(O504="PAY",E504,IF(O504="OTHER",F504,IF(O504="CAPITAL","Capital - "&amp;G504,IF(O504="DUE","Due to - "&amp;G504,IF(O504="DRAW","Drawings - "&amp;G504,O504))))))</x:f>
      </x:c>
      <x:c r="R504" s="42" t="str">
        <x:f>IF(A504="","",IF(P504="PAY",E504,IF(P504="OTHER",F504,IF(P504="CAPITAL","Capital - "&amp;G504,IF(P504="DUE","Due to - "&amp;G504,IF(P504="DRAW","Drawings - "&amp;G504,P504))))))</x:f>
      </x:c>
      <x:c r="S504" s="37" t="n">
        <x:f>IF(AND(N504="Approved",T504="OK"),D504,0)</x:f>
        <x:v>0</x:v>
      </x:c>
      <x:c r="T504" s="42" t="str">
        <x:f>IF(A504="","",IF(COUNTIFS($A$6:$A$505,A504)&lt;&gt;1,"Duplicate ID",IF(OR(NOT(ISNUMBER(B504)),D504&lt;=0,NOT(ISNUMBER(D504)),I504="",J504="",L504=""),"Missing date/amount/ref/details",IF(OR(COUNTIFS('Accounts'!$A$6:$A$105,Q504)&lt;&gt;1,COUNTIFS('Accounts'!$A$6:$A$105,R504)&lt;&gt;1,Q504=R504),"Check accounts/event",IF(AND(OR(Q504="Trade payables",R504="Trade payables",Q504="Customer receivables",R504="Customer receivables",Q504="Courier receivables",R504="Courier receivables",Q504="Supplier advances",R504="Supplier advances"),H504=""),"Contact ID required",IF(AND(N504="Approved",OR(M504="",M504=L504)),"Independent review needed",IF(OR(N504="Draft",N504="Approved",N504="Void"),"OK","Status required")))))))</x:f>
      </x:c>
    </x:row>
    <x:row r="505" ht="23" customHeight="1">
      <x:c r="A505" s="36"/>
      <x:c r="B505" s="40"/>
      <x:c r="C505" s="36"/>
      <x:c r="D505" s="41"/>
      <x:c r="E505" s="36"/>
      <x:c r="F505" s="36"/>
      <x:c r="G505" s="36"/>
      <x:c r="H505" s="36"/>
      <x:c r="I505" s="36"/>
      <x:c r="J505" s="36"/>
      <x:c r="K505" s="36"/>
      <x:c r="L505" s="36"/>
      <x:c r="M505" s="36"/>
      <x:c r="N505" s="36"/>
      <x:c r="O505" s="42" t="str">
        <x:f>IF(A505="","",IF(COUNTIFS('Event Guide'!$A$6:$A$29,C505)=1,VLOOKUP(C505,'Event Guide'!$A$6:$C$29,2,FALSE),"Unknown event"))</x:f>
      </x:c>
      <x:c r="P505" s="42" t="str">
        <x:f>IF(A505="","",IF(COUNTIFS('Event Guide'!$A$6:$A$29,C505)=1,VLOOKUP(C505,'Event Guide'!$A$6:$C$29,3,FALSE),"Unknown event"))</x:f>
      </x:c>
      <x:c r="Q505" s="42" t="str">
        <x:f>IF(A505="","",IF(O505="PAY",E505,IF(O505="OTHER",F505,IF(O505="CAPITAL","Capital - "&amp;G505,IF(O505="DUE","Due to - "&amp;G505,IF(O505="DRAW","Drawings - "&amp;G505,O505))))))</x:f>
      </x:c>
      <x:c r="R505" s="42" t="str">
        <x:f>IF(A505="","",IF(P505="PAY",E505,IF(P505="OTHER",F505,IF(P505="CAPITAL","Capital - "&amp;G505,IF(P505="DUE","Due to - "&amp;G505,IF(P505="DRAW","Drawings - "&amp;G505,P505))))))</x:f>
      </x:c>
      <x:c r="S505" s="37" t="n">
        <x:f>IF(AND(N505="Approved",T505="OK"),D505,0)</x:f>
        <x:v>0</x:v>
      </x:c>
      <x:c r="T505" s="42" t="str">
        <x:f>IF(A505="","",IF(COUNTIFS($A$6:$A$505,A505)&lt;&gt;1,"Duplicate ID",IF(OR(NOT(ISNUMBER(B505)),D505&lt;=0,NOT(ISNUMBER(D505)),I505="",J505="",L505=""),"Missing date/amount/ref/details",IF(OR(COUNTIFS('Accounts'!$A$6:$A$105,Q505)&lt;&gt;1,COUNTIFS('Accounts'!$A$6:$A$105,R505)&lt;&gt;1,Q505=R505),"Check accounts/event",IF(AND(OR(Q505="Trade payables",R505="Trade payables",Q505="Customer receivables",R505="Customer receivables",Q505="Courier receivables",R505="Courier receivables",Q505="Supplier advances",R505="Supplier advances"),H505=""),"Contact ID required",IF(AND(N505="Approved",OR(M505="",M505=L505)),"Independent review needed",IF(OR(N505="Draft",N505="Approved",N505="Void"),"OK","Status required")))))))</x:f>
      </x:c>
    </x:row>
  </x:sheetData>
  <x:conditionalFormatting sqref="T6:T505">
    <x:cfRule type="expression" dxfId="0" priority="1">
      <x:formula>AND(T6&lt;&gt;"",T6&lt;&gt;"OK")</x:formula>
    </x:cfRule>
  </x:conditionalFormatting>
  <x:dataValidations count="7">
    <x:dataValidation type="list" sqref="E6:E505">
      <x:formula1>'Accounts'!$A$6:$A$105</x:formula1>
    </x:dataValidation>
    <x:dataValidation type="list" sqref="F6:F505">
      <x:formula1>'Accounts'!$A$6:$A$105</x:formula1>
    </x:dataValidation>
    <x:dataValidation type="list" sqref="C6:C505">
      <x:formula1>'Event Guide'!$A$6:$A$29</x:formula1>
    </x:dataValidation>
    <x:dataValidation type="list" sqref="G6:G505">
      <x:formula1>'Partners'!$A$6:$A$15</x:formula1>
    </x:dataValidation>
    <x:dataValidation type="list" sqref="L6:L505">
      <x:formula1>'Partners'!$A$6:$A$15</x:formula1>
    </x:dataValidation>
    <x:dataValidation type="list" sqref="M6:M505">
      <x:formula1>'Partners'!$A$6:$A$15</x:formula1>
    </x:dataValidation>
    <x:dataValidation type="list" sqref="N6:N505">
      <x:formula1>"Draft,Approved,Void"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5e4198f9914c6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</x:row>
    <x:row r="2" ht="23" customHeight="1">
      <x:c r="A2" s="32" t="str">
        <x:v>AFK THEORY / Items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  <x:c r="J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</x:row>
    <x:row r="5" ht="34" customHeight="1">
      <x:c r="A5" s="38" t="str">
        <x:v>Item ID / SKU</x:v>
      </x:c>
      <x:c r="B5" s="38" t="str">
        <x:v>Description</x:v>
      </x:c>
      <x:c r="C5" s="38" t="str">
        <x:v>Class</x:v>
      </x:c>
      <x:c r="D5" s="38" t="str">
        <x:v>Unit</x:v>
      </x:c>
      <x:c r="E5" s="38" t="str">
        <x:v>Color</x:v>
      </x:c>
      <x:c r="F5" s="38" t="str">
        <x:v>Size</x:v>
      </x:c>
      <x:c r="G5" s="38" t="str">
        <x:v>Drop / collection</x:v>
      </x:c>
      <x:c r="H5" s="38" t="str">
        <x:v>Reorder level</x:v>
      </x:c>
      <x:c r="I5" s="38" t="str">
        <x:v>Active</x:v>
      </x:c>
      <x:c r="J5" s="38" t="str">
        <x:v>Notes</x:v>
      </x:c>
    </x:row>
    <x:row r="6" ht="23" customHeight="1">
      <x:c r="A6" s="36"/>
      <x:c r="B6" s="36"/>
      <x:c r="C6" s="36"/>
      <x:c r="D6" s="36"/>
      <x:c r="E6" s="36"/>
      <x:c r="F6" s="36"/>
      <x:c r="G6" s="36"/>
      <x:c r="H6" s="41"/>
      <x:c r="I6" s="36"/>
      <x:c r="J6" s="36"/>
    </x:row>
    <x:row r="7" ht="23" customHeight="1">
      <x:c r="A7" s="36"/>
      <x:c r="B7" s="36"/>
      <x:c r="C7" s="36"/>
      <x:c r="D7" s="36"/>
      <x:c r="E7" s="36"/>
      <x:c r="F7" s="36"/>
      <x:c r="G7" s="36"/>
      <x:c r="H7" s="41"/>
      <x:c r="I7" s="36"/>
      <x:c r="J7" s="36"/>
    </x:row>
    <x:row r="8" ht="23" customHeight="1">
      <x:c r="A8" s="36"/>
      <x:c r="B8" s="36"/>
      <x:c r="C8" s="36"/>
      <x:c r="D8" s="36"/>
      <x:c r="E8" s="36"/>
      <x:c r="F8" s="36"/>
      <x:c r="G8" s="36"/>
      <x:c r="H8" s="41"/>
      <x:c r="I8" s="36"/>
      <x:c r="J8" s="36"/>
    </x:row>
    <x:row r="9" ht="23" customHeight="1">
      <x:c r="A9" s="36"/>
      <x:c r="B9" s="36"/>
      <x:c r="C9" s="36"/>
      <x:c r="D9" s="36"/>
      <x:c r="E9" s="36"/>
      <x:c r="F9" s="36"/>
      <x:c r="G9" s="36"/>
      <x:c r="H9" s="41"/>
      <x:c r="I9" s="36"/>
      <x:c r="J9" s="36"/>
    </x:row>
    <x:row r="10" ht="23" customHeight="1">
      <x:c r="A10" s="36"/>
      <x:c r="B10" s="36"/>
      <x:c r="C10" s="36"/>
      <x:c r="D10" s="36"/>
      <x:c r="E10" s="36"/>
      <x:c r="F10" s="36"/>
      <x:c r="G10" s="36"/>
      <x:c r="H10" s="41"/>
      <x:c r="I10" s="36"/>
      <x:c r="J10" s="36"/>
    </x:row>
    <x:row r="11" ht="23" customHeight="1">
      <x:c r="A11" s="36"/>
      <x:c r="B11" s="36"/>
      <x:c r="C11" s="36"/>
      <x:c r="D11" s="36"/>
      <x:c r="E11" s="36"/>
      <x:c r="F11" s="36"/>
      <x:c r="G11" s="36"/>
      <x:c r="H11" s="41"/>
      <x:c r="I11" s="36"/>
      <x:c r="J11" s="36"/>
    </x:row>
    <x:row r="12" ht="23" customHeight="1">
      <x:c r="A12" s="36"/>
      <x:c r="B12" s="36"/>
      <x:c r="C12" s="36"/>
      <x:c r="D12" s="36"/>
      <x:c r="E12" s="36"/>
      <x:c r="F12" s="36"/>
      <x:c r="G12" s="36"/>
      <x:c r="H12" s="41"/>
      <x:c r="I12" s="36"/>
      <x:c r="J12" s="36"/>
    </x:row>
    <x:row r="13" ht="23" customHeight="1">
      <x:c r="A13" s="36"/>
      <x:c r="B13" s="36"/>
      <x:c r="C13" s="36"/>
      <x:c r="D13" s="36"/>
      <x:c r="E13" s="36"/>
      <x:c r="F13" s="36"/>
      <x:c r="G13" s="36"/>
      <x:c r="H13" s="41"/>
      <x:c r="I13" s="36"/>
      <x:c r="J13" s="36"/>
    </x:row>
    <x:row r="14" ht="23" customHeight="1">
      <x:c r="A14" s="36"/>
      <x:c r="B14" s="36"/>
      <x:c r="C14" s="36"/>
      <x:c r="D14" s="36"/>
      <x:c r="E14" s="36"/>
      <x:c r="F14" s="36"/>
      <x:c r="G14" s="36"/>
      <x:c r="H14" s="41"/>
      <x:c r="I14" s="36"/>
      <x:c r="J14" s="36"/>
    </x:row>
    <x:row r="15" ht="23" customHeight="1">
      <x:c r="A15" s="36"/>
      <x:c r="B15" s="36"/>
      <x:c r="C15" s="36"/>
      <x:c r="D15" s="36"/>
      <x:c r="E15" s="36"/>
      <x:c r="F15" s="36"/>
      <x:c r="G15" s="36"/>
      <x:c r="H15" s="41"/>
      <x:c r="I15" s="36"/>
      <x:c r="J15" s="36"/>
    </x:row>
    <x:row r="16" ht="23" customHeight="1">
      <x:c r="A16" s="36"/>
      <x:c r="B16" s="36"/>
      <x:c r="C16" s="36"/>
      <x:c r="D16" s="36"/>
      <x:c r="E16" s="36"/>
      <x:c r="F16" s="36"/>
      <x:c r="G16" s="36"/>
      <x:c r="H16" s="41"/>
      <x:c r="I16" s="36"/>
      <x:c r="J16" s="36"/>
    </x:row>
    <x:row r="17" ht="23" customHeight="1">
      <x:c r="A17" s="36"/>
      <x:c r="B17" s="36"/>
      <x:c r="C17" s="36"/>
      <x:c r="D17" s="36"/>
      <x:c r="E17" s="36"/>
      <x:c r="F17" s="36"/>
      <x:c r="G17" s="36"/>
      <x:c r="H17" s="41"/>
      <x:c r="I17" s="36"/>
      <x:c r="J17" s="36"/>
    </x:row>
    <x:row r="18" ht="23" customHeight="1">
      <x:c r="A18" s="36"/>
      <x:c r="B18" s="36"/>
      <x:c r="C18" s="36"/>
      <x:c r="D18" s="36"/>
      <x:c r="E18" s="36"/>
      <x:c r="F18" s="36"/>
      <x:c r="G18" s="36"/>
      <x:c r="H18" s="41"/>
      <x:c r="I18" s="36"/>
      <x:c r="J18" s="36"/>
    </x:row>
    <x:row r="19" ht="23" customHeight="1">
      <x:c r="A19" s="36"/>
      <x:c r="B19" s="36"/>
      <x:c r="C19" s="36"/>
      <x:c r="D19" s="36"/>
      <x:c r="E19" s="36"/>
      <x:c r="F19" s="36"/>
      <x:c r="G19" s="36"/>
      <x:c r="H19" s="41"/>
      <x:c r="I19" s="36"/>
      <x:c r="J19" s="36"/>
    </x:row>
    <x:row r="20" ht="23" customHeight="1">
      <x:c r="A20" s="36"/>
      <x:c r="B20" s="36"/>
      <x:c r="C20" s="36"/>
      <x:c r="D20" s="36"/>
      <x:c r="E20" s="36"/>
      <x:c r="F20" s="36"/>
      <x:c r="G20" s="36"/>
      <x:c r="H20" s="41"/>
      <x:c r="I20" s="36"/>
      <x:c r="J20" s="36"/>
    </x:row>
    <x:row r="21" ht="23" customHeight="1">
      <x:c r="A21" s="36"/>
      <x:c r="B21" s="36"/>
      <x:c r="C21" s="36"/>
      <x:c r="D21" s="36"/>
      <x:c r="E21" s="36"/>
      <x:c r="F21" s="36"/>
      <x:c r="G21" s="36"/>
      <x:c r="H21" s="41"/>
      <x:c r="I21" s="36"/>
      <x:c r="J21" s="36"/>
    </x:row>
    <x:row r="22" ht="23" customHeight="1">
      <x:c r="A22" s="36"/>
      <x:c r="B22" s="36"/>
      <x:c r="C22" s="36"/>
      <x:c r="D22" s="36"/>
      <x:c r="E22" s="36"/>
      <x:c r="F22" s="36"/>
      <x:c r="G22" s="36"/>
      <x:c r="H22" s="41"/>
      <x:c r="I22" s="36"/>
      <x:c r="J22" s="36"/>
    </x:row>
    <x:row r="23" ht="23" customHeight="1">
      <x:c r="A23" s="36"/>
      <x:c r="B23" s="36"/>
      <x:c r="C23" s="36"/>
      <x:c r="D23" s="36"/>
      <x:c r="E23" s="36"/>
      <x:c r="F23" s="36"/>
      <x:c r="G23" s="36"/>
      <x:c r="H23" s="41"/>
      <x:c r="I23" s="36"/>
      <x:c r="J23" s="36"/>
    </x:row>
    <x:row r="24" ht="23" customHeight="1">
      <x:c r="A24" s="36"/>
      <x:c r="B24" s="36"/>
      <x:c r="C24" s="36"/>
      <x:c r="D24" s="36"/>
      <x:c r="E24" s="36"/>
      <x:c r="F24" s="36"/>
      <x:c r="G24" s="36"/>
      <x:c r="H24" s="41"/>
      <x:c r="I24" s="36"/>
      <x:c r="J24" s="36"/>
    </x:row>
    <x:row r="25" ht="23" customHeight="1">
      <x:c r="A25" s="36"/>
      <x:c r="B25" s="36"/>
      <x:c r="C25" s="36"/>
      <x:c r="D25" s="36"/>
      <x:c r="E25" s="36"/>
      <x:c r="F25" s="36"/>
      <x:c r="G25" s="36"/>
      <x:c r="H25" s="41"/>
      <x:c r="I25" s="36"/>
      <x:c r="J25" s="36"/>
    </x:row>
    <x:row r="26" ht="23" customHeight="1">
      <x:c r="A26" s="36"/>
      <x:c r="B26" s="36"/>
      <x:c r="C26" s="36"/>
      <x:c r="D26" s="36"/>
      <x:c r="E26" s="36"/>
      <x:c r="F26" s="36"/>
      <x:c r="G26" s="36"/>
      <x:c r="H26" s="41"/>
      <x:c r="I26" s="36"/>
      <x:c r="J26" s="36"/>
    </x:row>
    <x:row r="27" ht="23" customHeight="1">
      <x:c r="A27" s="36"/>
      <x:c r="B27" s="36"/>
      <x:c r="C27" s="36"/>
      <x:c r="D27" s="36"/>
      <x:c r="E27" s="36"/>
      <x:c r="F27" s="36"/>
      <x:c r="G27" s="36"/>
      <x:c r="H27" s="41"/>
      <x:c r="I27" s="36"/>
      <x:c r="J27" s="36"/>
    </x:row>
    <x:row r="28" ht="23" customHeight="1">
      <x:c r="A28" s="36"/>
      <x:c r="B28" s="36"/>
      <x:c r="C28" s="36"/>
      <x:c r="D28" s="36"/>
      <x:c r="E28" s="36"/>
      <x:c r="F28" s="36"/>
      <x:c r="G28" s="36"/>
      <x:c r="H28" s="41"/>
      <x:c r="I28" s="36"/>
      <x:c r="J28" s="36"/>
    </x:row>
    <x:row r="29" ht="23" customHeight="1">
      <x:c r="A29" s="36"/>
      <x:c r="B29" s="36"/>
      <x:c r="C29" s="36"/>
      <x:c r="D29" s="36"/>
      <x:c r="E29" s="36"/>
      <x:c r="F29" s="36"/>
      <x:c r="G29" s="36"/>
      <x:c r="H29" s="41"/>
      <x:c r="I29" s="36"/>
      <x:c r="J29" s="36"/>
    </x:row>
    <x:row r="30" ht="23" customHeight="1">
      <x:c r="A30" s="36"/>
      <x:c r="B30" s="36"/>
      <x:c r="C30" s="36"/>
      <x:c r="D30" s="36"/>
      <x:c r="E30" s="36"/>
      <x:c r="F30" s="36"/>
      <x:c r="G30" s="36"/>
      <x:c r="H30" s="41"/>
      <x:c r="I30" s="36"/>
      <x:c r="J30" s="36"/>
    </x:row>
    <x:row r="31" ht="23" customHeight="1">
      <x:c r="A31" s="36"/>
      <x:c r="B31" s="36"/>
      <x:c r="C31" s="36"/>
      <x:c r="D31" s="36"/>
      <x:c r="E31" s="36"/>
      <x:c r="F31" s="36"/>
      <x:c r="G31" s="36"/>
      <x:c r="H31" s="41"/>
      <x:c r="I31" s="36"/>
      <x:c r="J31" s="36"/>
    </x:row>
    <x:row r="32" ht="23" customHeight="1">
      <x:c r="A32" s="36"/>
      <x:c r="B32" s="36"/>
      <x:c r="C32" s="36"/>
      <x:c r="D32" s="36"/>
      <x:c r="E32" s="36"/>
      <x:c r="F32" s="36"/>
      <x:c r="G32" s="36"/>
      <x:c r="H32" s="41"/>
      <x:c r="I32" s="36"/>
      <x:c r="J32" s="36"/>
    </x:row>
    <x:row r="33" ht="23" customHeight="1">
      <x:c r="A33" s="36"/>
      <x:c r="B33" s="36"/>
      <x:c r="C33" s="36"/>
      <x:c r="D33" s="36"/>
      <x:c r="E33" s="36"/>
      <x:c r="F33" s="36"/>
      <x:c r="G33" s="36"/>
      <x:c r="H33" s="41"/>
      <x:c r="I33" s="36"/>
      <x:c r="J33" s="36"/>
    </x:row>
    <x:row r="34" ht="23" customHeight="1">
      <x:c r="A34" s="36"/>
      <x:c r="B34" s="36"/>
      <x:c r="C34" s="36"/>
      <x:c r="D34" s="36"/>
      <x:c r="E34" s="36"/>
      <x:c r="F34" s="36"/>
      <x:c r="G34" s="36"/>
      <x:c r="H34" s="41"/>
      <x:c r="I34" s="36"/>
      <x:c r="J34" s="36"/>
    </x:row>
    <x:row r="35" ht="23" customHeight="1">
      <x:c r="A35" s="36"/>
      <x:c r="B35" s="36"/>
      <x:c r="C35" s="36"/>
      <x:c r="D35" s="36"/>
      <x:c r="E35" s="36"/>
      <x:c r="F35" s="36"/>
      <x:c r="G35" s="36"/>
      <x:c r="H35" s="41"/>
      <x:c r="I35" s="36"/>
      <x:c r="J35" s="36"/>
    </x:row>
    <x:row r="36" ht="23" customHeight="1">
      <x:c r="A36" s="36"/>
      <x:c r="B36" s="36"/>
      <x:c r="C36" s="36"/>
      <x:c r="D36" s="36"/>
      <x:c r="E36" s="36"/>
      <x:c r="F36" s="36"/>
      <x:c r="G36" s="36"/>
      <x:c r="H36" s="41"/>
      <x:c r="I36" s="36"/>
      <x:c r="J36" s="36"/>
    </x:row>
    <x:row r="37" ht="23" customHeight="1">
      <x:c r="A37" s="36"/>
      <x:c r="B37" s="36"/>
      <x:c r="C37" s="36"/>
      <x:c r="D37" s="36"/>
      <x:c r="E37" s="36"/>
      <x:c r="F37" s="36"/>
      <x:c r="G37" s="36"/>
      <x:c r="H37" s="41"/>
      <x:c r="I37" s="36"/>
      <x:c r="J37" s="36"/>
    </x:row>
    <x:row r="38" ht="23" customHeight="1">
      <x:c r="A38" s="36"/>
      <x:c r="B38" s="36"/>
      <x:c r="C38" s="36"/>
      <x:c r="D38" s="36"/>
      <x:c r="E38" s="36"/>
      <x:c r="F38" s="36"/>
      <x:c r="G38" s="36"/>
      <x:c r="H38" s="41"/>
      <x:c r="I38" s="36"/>
      <x:c r="J38" s="36"/>
    </x:row>
    <x:row r="39" ht="23" customHeight="1">
      <x:c r="A39" s="36"/>
      <x:c r="B39" s="36"/>
      <x:c r="C39" s="36"/>
      <x:c r="D39" s="36"/>
      <x:c r="E39" s="36"/>
      <x:c r="F39" s="36"/>
      <x:c r="G39" s="36"/>
      <x:c r="H39" s="41"/>
      <x:c r="I39" s="36"/>
      <x:c r="J39" s="36"/>
    </x:row>
    <x:row r="40" ht="23" customHeight="1">
      <x:c r="A40" s="36"/>
      <x:c r="B40" s="36"/>
      <x:c r="C40" s="36"/>
      <x:c r="D40" s="36"/>
      <x:c r="E40" s="36"/>
      <x:c r="F40" s="36"/>
      <x:c r="G40" s="36"/>
      <x:c r="H40" s="41"/>
      <x:c r="I40" s="36"/>
      <x:c r="J40" s="36"/>
    </x:row>
    <x:row r="41" ht="23" customHeight="1">
      <x:c r="A41" s="36"/>
      <x:c r="B41" s="36"/>
      <x:c r="C41" s="36"/>
      <x:c r="D41" s="36"/>
      <x:c r="E41" s="36"/>
      <x:c r="F41" s="36"/>
      <x:c r="G41" s="36"/>
      <x:c r="H41" s="41"/>
      <x:c r="I41" s="36"/>
      <x:c r="J41" s="36"/>
    </x:row>
    <x:row r="42" ht="23" customHeight="1">
      <x:c r="A42" s="36"/>
      <x:c r="B42" s="36"/>
      <x:c r="C42" s="36"/>
      <x:c r="D42" s="36"/>
      <x:c r="E42" s="36"/>
      <x:c r="F42" s="36"/>
      <x:c r="G42" s="36"/>
      <x:c r="H42" s="41"/>
      <x:c r="I42" s="36"/>
      <x:c r="J42" s="36"/>
    </x:row>
    <x:row r="43" ht="23" customHeight="1">
      <x:c r="A43" s="36"/>
      <x:c r="B43" s="36"/>
      <x:c r="C43" s="36"/>
      <x:c r="D43" s="36"/>
      <x:c r="E43" s="36"/>
      <x:c r="F43" s="36"/>
      <x:c r="G43" s="36"/>
      <x:c r="H43" s="41"/>
      <x:c r="I43" s="36"/>
      <x:c r="J43" s="36"/>
    </x:row>
    <x:row r="44" ht="23" customHeight="1">
      <x:c r="A44" s="36"/>
      <x:c r="B44" s="36"/>
      <x:c r="C44" s="36"/>
      <x:c r="D44" s="36"/>
      <x:c r="E44" s="36"/>
      <x:c r="F44" s="36"/>
      <x:c r="G44" s="36"/>
      <x:c r="H44" s="41"/>
      <x:c r="I44" s="36"/>
      <x:c r="J44" s="36"/>
    </x:row>
    <x:row r="45" ht="23" customHeight="1">
      <x:c r="A45" s="36"/>
      <x:c r="B45" s="36"/>
      <x:c r="C45" s="36"/>
      <x:c r="D45" s="36"/>
      <x:c r="E45" s="36"/>
      <x:c r="F45" s="36"/>
      <x:c r="G45" s="36"/>
      <x:c r="H45" s="41"/>
      <x:c r="I45" s="36"/>
      <x:c r="J45" s="36"/>
    </x:row>
    <x:row r="46" ht="23" customHeight="1">
      <x:c r="A46" s="36"/>
      <x:c r="B46" s="36"/>
      <x:c r="C46" s="36"/>
      <x:c r="D46" s="36"/>
      <x:c r="E46" s="36"/>
      <x:c r="F46" s="36"/>
      <x:c r="G46" s="36"/>
      <x:c r="H46" s="41"/>
      <x:c r="I46" s="36"/>
      <x:c r="J46" s="36"/>
    </x:row>
    <x:row r="47" ht="23" customHeight="1">
      <x:c r="A47" s="36"/>
      <x:c r="B47" s="36"/>
      <x:c r="C47" s="36"/>
      <x:c r="D47" s="36"/>
      <x:c r="E47" s="36"/>
      <x:c r="F47" s="36"/>
      <x:c r="G47" s="36"/>
      <x:c r="H47" s="41"/>
      <x:c r="I47" s="36"/>
      <x:c r="J47" s="36"/>
    </x:row>
    <x:row r="48" ht="23" customHeight="1">
      <x:c r="A48" s="36"/>
      <x:c r="B48" s="36"/>
      <x:c r="C48" s="36"/>
      <x:c r="D48" s="36"/>
      <x:c r="E48" s="36"/>
      <x:c r="F48" s="36"/>
      <x:c r="G48" s="36"/>
      <x:c r="H48" s="41"/>
      <x:c r="I48" s="36"/>
      <x:c r="J48" s="36"/>
    </x:row>
    <x:row r="49" ht="23" customHeight="1">
      <x:c r="A49" s="36"/>
      <x:c r="B49" s="36"/>
      <x:c r="C49" s="36"/>
      <x:c r="D49" s="36"/>
      <x:c r="E49" s="36"/>
      <x:c r="F49" s="36"/>
      <x:c r="G49" s="36"/>
      <x:c r="H49" s="41"/>
      <x:c r="I49" s="36"/>
      <x:c r="J49" s="36"/>
    </x:row>
    <x:row r="50" ht="23" customHeight="1">
      <x:c r="A50" s="36"/>
      <x:c r="B50" s="36"/>
      <x:c r="C50" s="36"/>
      <x:c r="D50" s="36"/>
      <x:c r="E50" s="36"/>
      <x:c r="F50" s="36"/>
      <x:c r="G50" s="36"/>
      <x:c r="H50" s="41"/>
      <x:c r="I50" s="36"/>
      <x:c r="J50" s="36"/>
    </x:row>
    <x:row r="51" ht="23" customHeight="1">
      <x:c r="A51" s="36"/>
      <x:c r="B51" s="36"/>
      <x:c r="C51" s="36"/>
      <x:c r="D51" s="36"/>
      <x:c r="E51" s="36"/>
      <x:c r="F51" s="36"/>
      <x:c r="G51" s="36"/>
      <x:c r="H51" s="41"/>
      <x:c r="I51" s="36"/>
      <x:c r="J51" s="36"/>
    </x:row>
    <x:row r="52" ht="23" customHeight="1">
      <x:c r="A52" s="36"/>
      <x:c r="B52" s="36"/>
      <x:c r="C52" s="36"/>
      <x:c r="D52" s="36"/>
      <x:c r="E52" s="36"/>
      <x:c r="F52" s="36"/>
      <x:c r="G52" s="36"/>
      <x:c r="H52" s="41"/>
      <x:c r="I52" s="36"/>
      <x:c r="J52" s="36"/>
    </x:row>
    <x:row r="53" ht="23" customHeight="1">
      <x:c r="A53" s="36"/>
      <x:c r="B53" s="36"/>
      <x:c r="C53" s="36"/>
      <x:c r="D53" s="36"/>
      <x:c r="E53" s="36"/>
      <x:c r="F53" s="36"/>
      <x:c r="G53" s="36"/>
      <x:c r="H53" s="41"/>
      <x:c r="I53" s="36"/>
      <x:c r="J53" s="36"/>
    </x:row>
    <x:row r="54" ht="23" customHeight="1">
      <x:c r="A54" s="36"/>
      <x:c r="B54" s="36"/>
      <x:c r="C54" s="36"/>
      <x:c r="D54" s="36"/>
      <x:c r="E54" s="36"/>
      <x:c r="F54" s="36"/>
      <x:c r="G54" s="36"/>
      <x:c r="H54" s="41"/>
      <x:c r="I54" s="36"/>
      <x:c r="J54" s="36"/>
    </x:row>
    <x:row r="55" ht="23" customHeight="1">
      <x:c r="A55" s="36"/>
      <x:c r="B55" s="36"/>
      <x:c r="C55" s="36"/>
      <x:c r="D55" s="36"/>
      <x:c r="E55" s="36"/>
      <x:c r="F55" s="36"/>
      <x:c r="G55" s="36"/>
      <x:c r="H55" s="41"/>
      <x:c r="I55" s="36"/>
      <x:c r="J55" s="36"/>
    </x:row>
    <x:row r="56" ht="23" customHeight="1">
      <x:c r="A56" s="36"/>
      <x:c r="B56" s="36"/>
      <x:c r="C56" s="36"/>
      <x:c r="D56" s="36"/>
      <x:c r="E56" s="36"/>
      <x:c r="F56" s="36"/>
      <x:c r="G56" s="36"/>
      <x:c r="H56" s="41"/>
      <x:c r="I56" s="36"/>
      <x:c r="J56" s="36"/>
    </x:row>
    <x:row r="57" ht="23" customHeight="1">
      <x:c r="A57" s="36"/>
      <x:c r="B57" s="36"/>
      <x:c r="C57" s="36"/>
      <x:c r="D57" s="36"/>
      <x:c r="E57" s="36"/>
      <x:c r="F57" s="36"/>
      <x:c r="G57" s="36"/>
      <x:c r="H57" s="41"/>
      <x:c r="I57" s="36"/>
      <x:c r="J57" s="36"/>
    </x:row>
    <x:row r="58" ht="23" customHeight="1">
      <x:c r="A58" s="36"/>
      <x:c r="B58" s="36"/>
      <x:c r="C58" s="36"/>
      <x:c r="D58" s="36"/>
      <x:c r="E58" s="36"/>
      <x:c r="F58" s="36"/>
      <x:c r="G58" s="36"/>
      <x:c r="H58" s="41"/>
      <x:c r="I58" s="36"/>
      <x:c r="J58" s="36"/>
    </x:row>
    <x:row r="59" ht="23" customHeight="1">
      <x:c r="A59" s="36"/>
      <x:c r="B59" s="36"/>
      <x:c r="C59" s="36"/>
      <x:c r="D59" s="36"/>
      <x:c r="E59" s="36"/>
      <x:c r="F59" s="36"/>
      <x:c r="G59" s="36"/>
      <x:c r="H59" s="41"/>
      <x:c r="I59" s="36"/>
      <x:c r="J59" s="36"/>
    </x:row>
    <x:row r="60" ht="23" customHeight="1">
      <x:c r="A60" s="36"/>
      <x:c r="B60" s="36"/>
      <x:c r="C60" s="36"/>
      <x:c r="D60" s="36"/>
      <x:c r="E60" s="36"/>
      <x:c r="F60" s="36"/>
      <x:c r="G60" s="36"/>
      <x:c r="H60" s="41"/>
      <x:c r="I60" s="36"/>
      <x:c r="J60" s="36"/>
    </x:row>
    <x:row r="61" ht="23" customHeight="1">
      <x:c r="A61" s="36"/>
      <x:c r="B61" s="36"/>
      <x:c r="C61" s="36"/>
      <x:c r="D61" s="36"/>
      <x:c r="E61" s="36"/>
      <x:c r="F61" s="36"/>
      <x:c r="G61" s="36"/>
      <x:c r="H61" s="41"/>
      <x:c r="I61" s="36"/>
      <x:c r="J61" s="36"/>
    </x:row>
    <x:row r="62" ht="23" customHeight="1">
      <x:c r="A62" s="36"/>
      <x:c r="B62" s="36"/>
      <x:c r="C62" s="36"/>
      <x:c r="D62" s="36"/>
      <x:c r="E62" s="36"/>
      <x:c r="F62" s="36"/>
      <x:c r="G62" s="36"/>
      <x:c r="H62" s="41"/>
      <x:c r="I62" s="36"/>
      <x:c r="J62" s="36"/>
    </x:row>
    <x:row r="63" ht="23" customHeight="1">
      <x:c r="A63" s="36"/>
      <x:c r="B63" s="36"/>
      <x:c r="C63" s="36"/>
      <x:c r="D63" s="36"/>
      <x:c r="E63" s="36"/>
      <x:c r="F63" s="36"/>
      <x:c r="G63" s="36"/>
      <x:c r="H63" s="41"/>
      <x:c r="I63" s="36"/>
      <x:c r="J63" s="36"/>
    </x:row>
    <x:row r="64" ht="23" customHeight="1">
      <x:c r="A64" s="36"/>
      <x:c r="B64" s="36"/>
      <x:c r="C64" s="36"/>
      <x:c r="D64" s="36"/>
      <x:c r="E64" s="36"/>
      <x:c r="F64" s="36"/>
      <x:c r="G64" s="36"/>
      <x:c r="H64" s="41"/>
      <x:c r="I64" s="36"/>
      <x:c r="J64" s="36"/>
    </x:row>
    <x:row r="65" ht="23" customHeight="1">
      <x:c r="A65" s="36"/>
      <x:c r="B65" s="36"/>
      <x:c r="C65" s="36"/>
      <x:c r="D65" s="36"/>
      <x:c r="E65" s="36"/>
      <x:c r="F65" s="36"/>
      <x:c r="G65" s="36"/>
      <x:c r="H65" s="41"/>
      <x:c r="I65" s="36"/>
      <x:c r="J65" s="36"/>
    </x:row>
    <x:row r="66" ht="23" customHeight="1">
      <x:c r="A66" s="36"/>
      <x:c r="B66" s="36"/>
      <x:c r="C66" s="36"/>
      <x:c r="D66" s="36"/>
      <x:c r="E66" s="36"/>
      <x:c r="F66" s="36"/>
      <x:c r="G66" s="36"/>
      <x:c r="H66" s="41"/>
      <x:c r="I66" s="36"/>
      <x:c r="J66" s="36"/>
    </x:row>
    <x:row r="67" ht="23" customHeight="1">
      <x:c r="A67" s="36"/>
      <x:c r="B67" s="36"/>
      <x:c r="C67" s="36"/>
      <x:c r="D67" s="36"/>
      <x:c r="E67" s="36"/>
      <x:c r="F67" s="36"/>
      <x:c r="G67" s="36"/>
      <x:c r="H67" s="41"/>
      <x:c r="I67" s="36"/>
      <x:c r="J67" s="36"/>
    </x:row>
    <x:row r="68" ht="23" customHeight="1">
      <x:c r="A68" s="36"/>
      <x:c r="B68" s="36"/>
      <x:c r="C68" s="36"/>
      <x:c r="D68" s="36"/>
      <x:c r="E68" s="36"/>
      <x:c r="F68" s="36"/>
      <x:c r="G68" s="36"/>
      <x:c r="H68" s="41"/>
      <x:c r="I68" s="36"/>
      <x:c r="J68" s="36"/>
    </x:row>
    <x:row r="69" ht="23" customHeight="1">
      <x:c r="A69" s="36"/>
      <x:c r="B69" s="36"/>
      <x:c r="C69" s="36"/>
      <x:c r="D69" s="36"/>
      <x:c r="E69" s="36"/>
      <x:c r="F69" s="36"/>
      <x:c r="G69" s="36"/>
      <x:c r="H69" s="41"/>
      <x:c r="I69" s="36"/>
      <x:c r="J69" s="36"/>
    </x:row>
    <x:row r="70" ht="23" customHeight="1">
      <x:c r="A70" s="36"/>
      <x:c r="B70" s="36"/>
      <x:c r="C70" s="36"/>
      <x:c r="D70" s="36"/>
      <x:c r="E70" s="36"/>
      <x:c r="F70" s="36"/>
      <x:c r="G70" s="36"/>
      <x:c r="H70" s="41"/>
      <x:c r="I70" s="36"/>
      <x:c r="J70" s="36"/>
    </x:row>
    <x:row r="71" ht="23" customHeight="1">
      <x:c r="A71" s="36"/>
      <x:c r="B71" s="36"/>
      <x:c r="C71" s="36"/>
      <x:c r="D71" s="36"/>
      <x:c r="E71" s="36"/>
      <x:c r="F71" s="36"/>
      <x:c r="G71" s="36"/>
      <x:c r="H71" s="41"/>
      <x:c r="I71" s="36"/>
      <x:c r="J71" s="36"/>
    </x:row>
    <x:row r="72" ht="23" customHeight="1">
      <x:c r="A72" s="36"/>
      <x:c r="B72" s="36"/>
      <x:c r="C72" s="36"/>
      <x:c r="D72" s="36"/>
      <x:c r="E72" s="36"/>
      <x:c r="F72" s="36"/>
      <x:c r="G72" s="36"/>
      <x:c r="H72" s="41"/>
      <x:c r="I72" s="36"/>
      <x:c r="J72" s="36"/>
    </x:row>
    <x:row r="73" ht="23" customHeight="1">
      <x:c r="A73" s="36"/>
      <x:c r="B73" s="36"/>
      <x:c r="C73" s="36"/>
      <x:c r="D73" s="36"/>
      <x:c r="E73" s="36"/>
      <x:c r="F73" s="36"/>
      <x:c r="G73" s="36"/>
      <x:c r="H73" s="41"/>
      <x:c r="I73" s="36"/>
      <x:c r="J73" s="36"/>
    </x:row>
    <x:row r="74" ht="23" customHeight="1">
      <x:c r="A74" s="36"/>
      <x:c r="B74" s="36"/>
      <x:c r="C74" s="36"/>
      <x:c r="D74" s="36"/>
      <x:c r="E74" s="36"/>
      <x:c r="F74" s="36"/>
      <x:c r="G74" s="36"/>
      <x:c r="H74" s="41"/>
      <x:c r="I74" s="36"/>
      <x:c r="J74" s="36"/>
    </x:row>
    <x:row r="75" ht="23" customHeight="1">
      <x:c r="A75" s="36"/>
      <x:c r="B75" s="36"/>
      <x:c r="C75" s="36"/>
      <x:c r="D75" s="36"/>
      <x:c r="E75" s="36"/>
      <x:c r="F75" s="36"/>
      <x:c r="G75" s="36"/>
      <x:c r="H75" s="41"/>
      <x:c r="I75" s="36"/>
      <x:c r="J75" s="36"/>
    </x:row>
    <x:row r="76" ht="23" customHeight="1">
      <x:c r="A76" s="36"/>
      <x:c r="B76" s="36"/>
      <x:c r="C76" s="36"/>
      <x:c r="D76" s="36"/>
      <x:c r="E76" s="36"/>
      <x:c r="F76" s="36"/>
      <x:c r="G76" s="36"/>
      <x:c r="H76" s="41"/>
      <x:c r="I76" s="36"/>
      <x:c r="J76" s="36"/>
    </x:row>
    <x:row r="77" ht="23" customHeight="1">
      <x:c r="A77" s="36"/>
      <x:c r="B77" s="36"/>
      <x:c r="C77" s="36"/>
      <x:c r="D77" s="36"/>
      <x:c r="E77" s="36"/>
      <x:c r="F77" s="36"/>
      <x:c r="G77" s="36"/>
      <x:c r="H77" s="41"/>
      <x:c r="I77" s="36"/>
      <x:c r="J77" s="36"/>
    </x:row>
    <x:row r="78" ht="23" customHeight="1">
      <x:c r="A78" s="36"/>
      <x:c r="B78" s="36"/>
      <x:c r="C78" s="36"/>
      <x:c r="D78" s="36"/>
      <x:c r="E78" s="36"/>
      <x:c r="F78" s="36"/>
      <x:c r="G78" s="36"/>
      <x:c r="H78" s="41"/>
      <x:c r="I78" s="36"/>
      <x:c r="J78" s="36"/>
    </x:row>
    <x:row r="79" ht="23" customHeight="1">
      <x:c r="A79" s="36"/>
      <x:c r="B79" s="36"/>
      <x:c r="C79" s="36"/>
      <x:c r="D79" s="36"/>
      <x:c r="E79" s="36"/>
      <x:c r="F79" s="36"/>
      <x:c r="G79" s="36"/>
      <x:c r="H79" s="41"/>
      <x:c r="I79" s="36"/>
      <x:c r="J79" s="36"/>
    </x:row>
    <x:row r="80" ht="23" customHeight="1">
      <x:c r="A80" s="36"/>
      <x:c r="B80" s="36"/>
      <x:c r="C80" s="36"/>
      <x:c r="D80" s="36"/>
      <x:c r="E80" s="36"/>
      <x:c r="F80" s="36"/>
      <x:c r="G80" s="36"/>
      <x:c r="H80" s="41"/>
      <x:c r="I80" s="36"/>
      <x:c r="J80" s="36"/>
    </x:row>
    <x:row r="81" ht="23" customHeight="1">
      <x:c r="A81" s="36"/>
      <x:c r="B81" s="36"/>
      <x:c r="C81" s="36"/>
      <x:c r="D81" s="36"/>
      <x:c r="E81" s="36"/>
      <x:c r="F81" s="36"/>
      <x:c r="G81" s="36"/>
      <x:c r="H81" s="41"/>
      <x:c r="I81" s="36"/>
      <x:c r="J81" s="36"/>
    </x:row>
    <x:row r="82" ht="23" customHeight="1">
      <x:c r="A82" s="36"/>
      <x:c r="B82" s="36"/>
      <x:c r="C82" s="36"/>
      <x:c r="D82" s="36"/>
      <x:c r="E82" s="36"/>
      <x:c r="F82" s="36"/>
      <x:c r="G82" s="36"/>
      <x:c r="H82" s="41"/>
      <x:c r="I82" s="36"/>
      <x:c r="J82" s="36"/>
    </x:row>
    <x:row r="83" ht="23" customHeight="1">
      <x:c r="A83" s="36"/>
      <x:c r="B83" s="36"/>
      <x:c r="C83" s="36"/>
      <x:c r="D83" s="36"/>
      <x:c r="E83" s="36"/>
      <x:c r="F83" s="36"/>
      <x:c r="G83" s="36"/>
      <x:c r="H83" s="41"/>
      <x:c r="I83" s="36"/>
      <x:c r="J83" s="36"/>
    </x:row>
    <x:row r="84" ht="23" customHeight="1">
      <x:c r="A84" s="36"/>
      <x:c r="B84" s="36"/>
      <x:c r="C84" s="36"/>
      <x:c r="D84" s="36"/>
      <x:c r="E84" s="36"/>
      <x:c r="F84" s="36"/>
      <x:c r="G84" s="36"/>
      <x:c r="H84" s="41"/>
      <x:c r="I84" s="36"/>
      <x:c r="J84" s="36"/>
    </x:row>
    <x:row r="85" ht="23" customHeight="1">
      <x:c r="A85" s="36"/>
      <x:c r="B85" s="36"/>
      <x:c r="C85" s="36"/>
      <x:c r="D85" s="36"/>
      <x:c r="E85" s="36"/>
      <x:c r="F85" s="36"/>
      <x:c r="G85" s="36"/>
      <x:c r="H85" s="41"/>
      <x:c r="I85" s="36"/>
      <x:c r="J85" s="36"/>
    </x:row>
    <x:row r="86" ht="23" customHeight="1">
      <x:c r="A86" s="36"/>
      <x:c r="B86" s="36"/>
      <x:c r="C86" s="36"/>
      <x:c r="D86" s="36"/>
      <x:c r="E86" s="36"/>
      <x:c r="F86" s="36"/>
      <x:c r="G86" s="36"/>
      <x:c r="H86" s="41"/>
      <x:c r="I86" s="36"/>
      <x:c r="J86" s="36"/>
    </x:row>
    <x:row r="87" ht="23" customHeight="1">
      <x:c r="A87" s="36"/>
      <x:c r="B87" s="36"/>
      <x:c r="C87" s="36"/>
      <x:c r="D87" s="36"/>
      <x:c r="E87" s="36"/>
      <x:c r="F87" s="36"/>
      <x:c r="G87" s="36"/>
      <x:c r="H87" s="41"/>
      <x:c r="I87" s="36"/>
      <x:c r="J87" s="36"/>
    </x:row>
    <x:row r="88" ht="23" customHeight="1">
      <x:c r="A88" s="36"/>
      <x:c r="B88" s="36"/>
      <x:c r="C88" s="36"/>
      <x:c r="D88" s="36"/>
      <x:c r="E88" s="36"/>
      <x:c r="F88" s="36"/>
      <x:c r="G88" s="36"/>
      <x:c r="H88" s="41"/>
      <x:c r="I88" s="36"/>
      <x:c r="J88" s="36"/>
    </x:row>
    <x:row r="89" ht="23" customHeight="1">
      <x:c r="A89" s="36"/>
      <x:c r="B89" s="36"/>
      <x:c r="C89" s="36"/>
      <x:c r="D89" s="36"/>
      <x:c r="E89" s="36"/>
      <x:c r="F89" s="36"/>
      <x:c r="G89" s="36"/>
      <x:c r="H89" s="41"/>
      <x:c r="I89" s="36"/>
      <x:c r="J89" s="36"/>
    </x:row>
    <x:row r="90" ht="23" customHeight="1">
      <x:c r="A90" s="36"/>
      <x:c r="B90" s="36"/>
      <x:c r="C90" s="36"/>
      <x:c r="D90" s="36"/>
      <x:c r="E90" s="36"/>
      <x:c r="F90" s="36"/>
      <x:c r="G90" s="36"/>
      <x:c r="H90" s="41"/>
      <x:c r="I90" s="36"/>
      <x:c r="J90" s="36"/>
    </x:row>
    <x:row r="91" ht="23" customHeight="1">
      <x:c r="A91" s="36"/>
      <x:c r="B91" s="36"/>
      <x:c r="C91" s="36"/>
      <x:c r="D91" s="36"/>
      <x:c r="E91" s="36"/>
      <x:c r="F91" s="36"/>
      <x:c r="G91" s="36"/>
      <x:c r="H91" s="41"/>
      <x:c r="I91" s="36"/>
      <x:c r="J91" s="36"/>
    </x:row>
    <x:row r="92" ht="23" customHeight="1">
      <x:c r="A92" s="36"/>
      <x:c r="B92" s="36"/>
      <x:c r="C92" s="36"/>
      <x:c r="D92" s="36"/>
      <x:c r="E92" s="36"/>
      <x:c r="F92" s="36"/>
      <x:c r="G92" s="36"/>
      <x:c r="H92" s="41"/>
      <x:c r="I92" s="36"/>
      <x:c r="J92" s="36"/>
    </x:row>
    <x:row r="93" ht="23" customHeight="1">
      <x:c r="A93" s="36"/>
      <x:c r="B93" s="36"/>
      <x:c r="C93" s="36"/>
      <x:c r="D93" s="36"/>
      <x:c r="E93" s="36"/>
      <x:c r="F93" s="36"/>
      <x:c r="G93" s="36"/>
      <x:c r="H93" s="41"/>
      <x:c r="I93" s="36"/>
      <x:c r="J93" s="36"/>
    </x:row>
    <x:row r="94" ht="23" customHeight="1">
      <x:c r="A94" s="36"/>
      <x:c r="B94" s="36"/>
      <x:c r="C94" s="36"/>
      <x:c r="D94" s="36"/>
      <x:c r="E94" s="36"/>
      <x:c r="F94" s="36"/>
      <x:c r="G94" s="36"/>
      <x:c r="H94" s="41"/>
      <x:c r="I94" s="36"/>
      <x:c r="J94" s="36"/>
    </x:row>
    <x:row r="95" ht="23" customHeight="1">
      <x:c r="A95" s="36"/>
      <x:c r="B95" s="36"/>
      <x:c r="C95" s="36"/>
      <x:c r="D95" s="36"/>
      <x:c r="E95" s="36"/>
      <x:c r="F95" s="36"/>
      <x:c r="G95" s="36"/>
      <x:c r="H95" s="41"/>
      <x:c r="I95" s="36"/>
      <x:c r="J95" s="36"/>
    </x:row>
    <x:row r="96" ht="23" customHeight="1">
      <x:c r="A96" s="36"/>
      <x:c r="B96" s="36"/>
      <x:c r="C96" s="36"/>
      <x:c r="D96" s="36"/>
      <x:c r="E96" s="36"/>
      <x:c r="F96" s="36"/>
      <x:c r="G96" s="36"/>
      <x:c r="H96" s="41"/>
      <x:c r="I96" s="36"/>
      <x:c r="J96" s="36"/>
    </x:row>
    <x:row r="97" ht="23" customHeight="1">
      <x:c r="A97" s="36"/>
      <x:c r="B97" s="36"/>
      <x:c r="C97" s="36"/>
      <x:c r="D97" s="36"/>
      <x:c r="E97" s="36"/>
      <x:c r="F97" s="36"/>
      <x:c r="G97" s="36"/>
      <x:c r="H97" s="41"/>
      <x:c r="I97" s="36"/>
      <x:c r="J97" s="36"/>
    </x:row>
    <x:row r="98" ht="23" customHeight="1">
      <x:c r="A98" s="36"/>
      <x:c r="B98" s="36"/>
      <x:c r="C98" s="36"/>
      <x:c r="D98" s="36"/>
      <x:c r="E98" s="36"/>
      <x:c r="F98" s="36"/>
      <x:c r="G98" s="36"/>
      <x:c r="H98" s="41"/>
      <x:c r="I98" s="36"/>
      <x:c r="J98" s="36"/>
    </x:row>
    <x:row r="99" ht="23" customHeight="1">
      <x:c r="A99" s="36"/>
      <x:c r="B99" s="36"/>
      <x:c r="C99" s="36"/>
      <x:c r="D99" s="36"/>
      <x:c r="E99" s="36"/>
      <x:c r="F99" s="36"/>
      <x:c r="G99" s="36"/>
      <x:c r="H99" s="41"/>
      <x:c r="I99" s="36"/>
      <x:c r="J99" s="36"/>
    </x:row>
    <x:row r="100" ht="23" customHeight="1">
      <x:c r="A100" s="36"/>
      <x:c r="B100" s="36"/>
      <x:c r="C100" s="36"/>
      <x:c r="D100" s="36"/>
      <x:c r="E100" s="36"/>
      <x:c r="F100" s="36"/>
      <x:c r="G100" s="36"/>
      <x:c r="H100" s="41"/>
      <x:c r="I100" s="36"/>
      <x:c r="J100" s="36"/>
    </x:row>
    <x:row r="101" ht="23" customHeight="1">
      <x:c r="A101" s="36"/>
      <x:c r="B101" s="36"/>
      <x:c r="C101" s="36"/>
      <x:c r="D101" s="36"/>
      <x:c r="E101" s="36"/>
      <x:c r="F101" s="36"/>
      <x:c r="G101" s="36"/>
      <x:c r="H101" s="41"/>
      <x:c r="I101" s="36"/>
      <x:c r="J101" s="36"/>
    </x:row>
    <x:row r="102" ht="23" customHeight="1">
      <x:c r="A102" s="36"/>
      <x:c r="B102" s="36"/>
      <x:c r="C102" s="36"/>
      <x:c r="D102" s="36"/>
      <x:c r="E102" s="36"/>
      <x:c r="F102" s="36"/>
      <x:c r="G102" s="36"/>
      <x:c r="H102" s="41"/>
      <x:c r="I102" s="36"/>
      <x:c r="J102" s="36"/>
    </x:row>
    <x:row r="103" ht="23" customHeight="1">
      <x:c r="A103" s="36"/>
      <x:c r="B103" s="36"/>
      <x:c r="C103" s="36"/>
      <x:c r="D103" s="36"/>
      <x:c r="E103" s="36"/>
      <x:c r="F103" s="36"/>
      <x:c r="G103" s="36"/>
      <x:c r="H103" s="41"/>
      <x:c r="I103" s="36"/>
      <x:c r="J103" s="36"/>
    </x:row>
    <x:row r="104" ht="23" customHeight="1">
      <x:c r="A104" s="36"/>
      <x:c r="B104" s="36"/>
      <x:c r="C104" s="36"/>
      <x:c r="D104" s="36"/>
      <x:c r="E104" s="36"/>
      <x:c r="F104" s="36"/>
      <x:c r="G104" s="36"/>
      <x:c r="H104" s="41"/>
      <x:c r="I104" s="36"/>
      <x:c r="J104" s="36"/>
    </x:row>
    <x:row r="105" ht="23" customHeight="1">
      <x:c r="A105" s="36"/>
      <x:c r="B105" s="36"/>
      <x:c r="C105" s="36"/>
      <x:c r="D105" s="36"/>
      <x:c r="E105" s="36"/>
      <x:c r="F105" s="36"/>
      <x:c r="G105" s="36"/>
      <x:c r="H105" s="41"/>
      <x:c r="I105" s="36"/>
      <x:c r="J105" s="36"/>
    </x:row>
  </x:sheetData>
  <x:dataValidations count="3">
    <x:dataValidation type="list" sqref="C6:C105">
      <x:formula1>"Materials,Finished"</x:formula1>
    </x:dataValidation>
    <x:dataValidation type="list" sqref="D6:D105">
      <x:formula1>"pcs,kg,m"</x:formula1>
    </x:dataValidation>
    <x:dataValidation type="list" sqref="I6:I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b72440301747e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</x:row>
    <x:row r="2" ht="23" customHeight="1">
      <x:c r="A2" s="32" t="str">
        <x:v>AFK THEORY / Lots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</x:row>
    <x:row r="5" ht="34" customHeight="1">
      <x:c r="A5" s="38" t="str">
        <x:v>Lot ID</x:v>
      </x:c>
      <x:c r="B5" s="38" t="str">
        <x:v>Item ID / SKU</x:v>
      </x:c>
      <x:c r="C5" s="38" t="str">
        <x:v>Received date</x:v>
      </x:c>
      <x:c r="D5" s="38" t="str">
        <x:v>Supplier ID</x:v>
      </x:c>
      <x:c r="E5" s="38" t="str">
        <x:v>Source</x:v>
      </x:c>
      <x:c r="F5" s="38" t="str">
        <x:v>Production ID</x:v>
      </x:c>
      <x:c r="G5" s="38" t="str">
        <x:v>Lot quantity</x:v>
      </x:c>
      <x:c r="H5" s="38" t="str">
        <x:v>Purchase cost BDT</x:v>
      </x:c>
      <x:c r="I5" s="38" t="str">
        <x:v>Other direct cost BDT</x:v>
      </x:c>
      <x:c r="J5" s="38" t="str">
        <x:v>Unit cost BDT</x:v>
      </x:c>
      <x:c r="K5" s="38" t="str">
        <x:v>Qty in as-of</x:v>
      </x:c>
      <x:c r="L5" s="38" t="str">
        <x:v>Qty out as-of</x:v>
      </x:c>
      <x:c r="M5" s="38" t="str">
        <x:v>On hand</x:v>
      </x:c>
      <x:c r="N5" s="38" t="str">
        <x:v>Stock value BDT</x:v>
      </x:c>
      <x:c r="O5" s="38" t="str">
        <x:v>Class</x:v>
      </x:c>
      <x:c r="P5" s="38" t="str">
        <x:v>Check</x:v>
      </x:c>
    </x:row>
    <x:row r="6" ht="23" customHeight="1">
      <x:c r="A6" s="36"/>
      <x:c r="B6" s="36"/>
      <x:c r="C6" s="40"/>
      <x:c r="D6" s="36"/>
      <x:c r="E6" s="36"/>
      <x:c r="F6" s="36"/>
      <x:c r="G6" s="41"/>
      <x:c r="H6" s="41"/>
      <x:c r="I6" s="41"/>
      <x:c r="J6" s="37" t="str">
        <x:f>IF(A6="","",IF(E6="Manufactured",IF(COUNTIFS('Production'!$A$6:$A$105,F6)=1,IF(VLOOKUP(F6,'Production'!$A$6:$M$105,13,FALSE)="Closed",VLOOKUP(F6,'Production'!$A$6:$L$105,12,FALSE),"Pending close"),"Missing batch"),IF(AND(G6&gt;0,ISNUMBER(H6),ISNUMBER(I6)),(H6+I6)/G6,"Enter qty/cost")))</x:f>
      </x:c>
      <x:c r="K6" s="37" t="str">
        <x:f>IF(A6="","",SUMIFS('Stock Log'!$E$6:$E$205,'Stock Log'!$C$6:$C$205,A6,'Stock Log'!$B$6:$B$205,"&lt;="&amp;'Settings'!$B$7,'Stock Log'!$I$6:$I$205,"Approved"))</x:f>
      </x:c>
      <x:c r="L6" s="37" t="str">
        <x:f>IF(A6="","",SUMIFS('Stock Log'!$F$6:$F$205,'Stock Log'!$C$6:$C$205,A6,'Stock Log'!$B$6:$B$205,"&lt;="&amp;'Settings'!$B$7,'Stock Log'!$I$6:$I$205,"Approved"))</x:f>
      </x:c>
      <x:c r="M6" s="37" t="str">
        <x:f>IF(A6="","",K6-L6)</x:f>
      </x:c>
      <x:c r="N6" s="37" t="str">
        <x:f>IF(A6="","",IF(ISNUMBER(J6),M6*J6,"Cost missing"))</x:f>
      </x:c>
      <x:c r="O6" s="42" t="str">
        <x:f>IF(A6="","",IF(COUNTIFS('Items'!$A$6:$A$105,B6)=1,VLOOKUP(B6,'Items'!$A$6:$C$105,3,FALSE),"Unknown item"))</x:f>
      </x:c>
      <x:c r="P6" s="42" t="str">
        <x:f>IF(A6="","",IF(COUNTIFS($A$6:$A$105,A6)&lt;&gt;1,"Duplicate ID",IF(OR(O6="Unknown item",NOT(ISNUMBER(J6))),"Item/cost incomplete",IF(M6&lt;0,"Negative stock",IF(AND(E6="Purchased",G6&lt;=0),"Quantity required","OK")))))</x:f>
      </x:c>
    </x:row>
    <x:row r="7" ht="23" customHeight="1">
      <x:c r="A7" s="36"/>
      <x:c r="B7" s="36"/>
      <x:c r="C7" s="40"/>
      <x:c r="D7" s="36"/>
      <x:c r="E7" s="36"/>
      <x:c r="F7" s="36"/>
      <x:c r="G7" s="41"/>
      <x:c r="H7" s="41"/>
      <x:c r="I7" s="41"/>
      <x:c r="J7" s="37" t="str">
        <x:f>IF(A7="","",IF(E7="Manufactured",IF(COUNTIFS('Production'!$A$6:$A$105,F7)=1,IF(VLOOKUP(F7,'Production'!$A$6:$M$105,13,FALSE)="Closed",VLOOKUP(F7,'Production'!$A$6:$L$105,12,FALSE),"Pending close"),"Missing batch"),IF(AND(G7&gt;0,ISNUMBER(H7),ISNUMBER(I7)),(H7+I7)/G7,"Enter qty/cost")))</x:f>
      </x:c>
      <x:c r="K7" s="37" t="str">
        <x:f>IF(A7="","",SUMIFS('Stock Log'!$E$6:$E$205,'Stock Log'!$C$6:$C$205,A7,'Stock Log'!$B$6:$B$205,"&lt;="&amp;'Settings'!$B$7,'Stock Log'!$I$6:$I$205,"Approved"))</x:f>
      </x:c>
      <x:c r="L7" s="37" t="str">
        <x:f>IF(A7="","",SUMIFS('Stock Log'!$F$6:$F$205,'Stock Log'!$C$6:$C$205,A7,'Stock Log'!$B$6:$B$205,"&lt;="&amp;'Settings'!$B$7,'Stock Log'!$I$6:$I$205,"Approved"))</x:f>
      </x:c>
      <x:c r="M7" s="37" t="str">
        <x:f>IF(A7="","",K7-L7)</x:f>
      </x:c>
      <x:c r="N7" s="37" t="str">
        <x:f>IF(A7="","",IF(ISNUMBER(J7),M7*J7,"Cost missing"))</x:f>
      </x:c>
      <x:c r="O7" s="42" t="str">
        <x:f>IF(A7="","",IF(COUNTIFS('Items'!$A$6:$A$105,B7)=1,VLOOKUP(B7,'Items'!$A$6:$C$105,3,FALSE),"Unknown item"))</x:f>
      </x:c>
      <x:c r="P7" s="42" t="str">
        <x:f>IF(A7="","",IF(COUNTIFS($A$6:$A$105,A7)&lt;&gt;1,"Duplicate ID",IF(OR(O7="Unknown item",NOT(ISNUMBER(J7))),"Item/cost incomplete",IF(M7&lt;0,"Negative stock",IF(AND(E7="Purchased",G7&lt;=0),"Quantity required","OK")))))</x:f>
      </x:c>
    </x:row>
    <x:row r="8" ht="23" customHeight="1">
      <x:c r="A8" s="36"/>
      <x:c r="B8" s="36"/>
      <x:c r="C8" s="40"/>
      <x:c r="D8" s="36"/>
      <x:c r="E8" s="36"/>
      <x:c r="F8" s="36"/>
      <x:c r="G8" s="41"/>
      <x:c r="H8" s="41"/>
      <x:c r="I8" s="41"/>
      <x:c r="J8" s="37" t="str">
        <x:f>IF(A8="","",IF(E8="Manufactured",IF(COUNTIFS('Production'!$A$6:$A$105,F8)=1,IF(VLOOKUP(F8,'Production'!$A$6:$M$105,13,FALSE)="Closed",VLOOKUP(F8,'Production'!$A$6:$L$105,12,FALSE),"Pending close"),"Missing batch"),IF(AND(G8&gt;0,ISNUMBER(H8),ISNUMBER(I8)),(H8+I8)/G8,"Enter qty/cost")))</x:f>
      </x:c>
      <x:c r="K8" s="37" t="str">
        <x:f>IF(A8="","",SUMIFS('Stock Log'!$E$6:$E$205,'Stock Log'!$C$6:$C$205,A8,'Stock Log'!$B$6:$B$205,"&lt;="&amp;'Settings'!$B$7,'Stock Log'!$I$6:$I$205,"Approved"))</x:f>
      </x:c>
      <x:c r="L8" s="37" t="str">
        <x:f>IF(A8="","",SUMIFS('Stock Log'!$F$6:$F$205,'Stock Log'!$C$6:$C$205,A8,'Stock Log'!$B$6:$B$205,"&lt;="&amp;'Settings'!$B$7,'Stock Log'!$I$6:$I$205,"Approved"))</x:f>
      </x:c>
      <x:c r="M8" s="37" t="str">
        <x:f>IF(A8="","",K8-L8)</x:f>
      </x:c>
      <x:c r="N8" s="37" t="str">
        <x:f>IF(A8="","",IF(ISNUMBER(J8),M8*J8,"Cost missing"))</x:f>
      </x:c>
      <x:c r="O8" s="42" t="str">
        <x:f>IF(A8="","",IF(COUNTIFS('Items'!$A$6:$A$105,B8)=1,VLOOKUP(B8,'Items'!$A$6:$C$105,3,FALSE),"Unknown item"))</x:f>
      </x:c>
      <x:c r="P8" s="42" t="str">
        <x:f>IF(A8="","",IF(COUNTIFS($A$6:$A$105,A8)&lt;&gt;1,"Duplicate ID",IF(OR(O8="Unknown item",NOT(ISNUMBER(J8))),"Item/cost incomplete",IF(M8&lt;0,"Negative stock",IF(AND(E8="Purchased",G8&lt;=0),"Quantity required","OK")))))</x:f>
      </x:c>
    </x:row>
    <x:row r="9" ht="23" customHeight="1">
      <x:c r="A9" s="36"/>
      <x:c r="B9" s="36"/>
      <x:c r="C9" s="40"/>
      <x:c r="D9" s="36"/>
      <x:c r="E9" s="36"/>
      <x:c r="F9" s="36"/>
      <x:c r="G9" s="41"/>
      <x:c r="H9" s="41"/>
      <x:c r="I9" s="41"/>
      <x:c r="J9" s="37" t="str">
        <x:f>IF(A9="","",IF(E9="Manufactured",IF(COUNTIFS('Production'!$A$6:$A$105,F9)=1,IF(VLOOKUP(F9,'Production'!$A$6:$M$105,13,FALSE)="Closed",VLOOKUP(F9,'Production'!$A$6:$L$105,12,FALSE),"Pending close"),"Missing batch"),IF(AND(G9&gt;0,ISNUMBER(H9),ISNUMBER(I9)),(H9+I9)/G9,"Enter qty/cost")))</x:f>
      </x:c>
      <x:c r="K9" s="37" t="str">
        <x:f>IF(A9="","",SUMIFS('Stock Log'!$E$6:$E$205,'Stock Log'!$C$6:$C$205,A9,'Stock Log'!$B$6:$B$205,"&lt;="&amp;'Settings'!$B$7,'Stock Log'!$I$6:$I$205,"Approved"))</x:f>
      </x:c>
      <x:c r="L9" s="37" t="str">
        <x:f>IF(A9="","",SUMIFS('Stock Log'!$F$6:$F$205,'Stock Log'!$C$6:$C$205,A9,'Stock Log'!$B$6:$B$205,"&lt;="&amp;'Settings'!$B$7,'Stock Log'!$I$6:$I$205,"Approved"))</x:f>
      </x:c>
      <x:c r="M9" s="37" t="str">
        <x:f>IF(A9="","",K9-L9)</x:f>
      </x:c>
      <x:c r="N9" s="37" t="str">
        <x:f>IF(A9="","",IF(ISNUMBER(J9),M9*J9,"Cost missing"))</x:f>
      </x:c>
      <x:c r="O9" s="42" t="str">
        <x:f>IF(A9="","",IF(COUNTIFS('Items'!$A$6:$A$105,B9)=1,VLOOKUP(B9,'Items'!$A$6:$C$105,3,FALSE),"Unknown item"))</x:f>
      </x:c>
      <x:c r="P9" s="42" t="str">
        <x:f>IF(A9="","",IF(COUNTIFS($A$6:$A$105,A9)&lt;&gt;1,"Duplicate ID",IF(OR(O9="Unknown item",NOT(ISNUMBER(J9))),"Item/cost incomplete",IF(M9&lt;0,"Negative stock",IF(AND(E9="Purchased",G9&lt;=0),"Quantity required","OK")))))</x:f>
      </x:c>
    </x:row>
    <x:row r="10" ht="23" customHeight="1">
      <x:c r="A10" s="36"/>
      <x:c r="B10" s="36"/>
      <x:c r="C10" s="40"/>
      <x:c r="D10" s="36"/>
      <x:c r="E10" s="36"/>
      <x:c r="F10" s="36"/>
      <x:c r="G10" s="41"/>
      <x:c r="H10" s="41"/>
      <x:c r="I10" s="41"/>
      <x:c r="J10" s="37" t="str">
        <x:f>IF(A10="","",IF(E10="Manufactured",IF(COUNTIFS('Production'!$A$6:$A$105,F10)=1,IF(VLOOKUP(F10,'Production'!$A$6:$M$105,13,FALSE)="Closed",VLOOKUP(F10,'Production'!$A$6:$L$105,12,FALSE),"Pending close"),"Missing batch"),IF(AND(G10&gt;0,ISNUMBER(H10),ISNUMBER(I10)),(H10+I10)/G10,"Enter qty/cost")))</x:f>
      </x:c>
      <x:c r="K10" s="37" t="str">
        <x:f>IF(A10="","",SUMIFS('Stock Log'!$E$6:$E$205,'Stock Log'!$C$6:$C$205,A10,'Stock Log'!$B$6:$B$205,"&lt;="&amp;'Settings'!$B$7,'Stock Log'!$I$6:$I$205,"Approved"))</x:f>
      </x:c>
      <x:c r="L10" s="37" t="str">
        <x:f>IF(A10="","",SUMIFS('Stock Log'!$F$6:$F$205,'Stock Log'!$C$6:$C$205,A10,'Stock Log'!$B$6:$B$205,"&lt;="&amp;'Settings'!$B$7,'Stock Log'!$I$6:$I$205,"Approved"))</x:f>
      </x:c>
      <x:c r="M10" s="37" t="str">
        <x:f>IF(A10="","",K10-L10)</x:f>
      </x:c>
      <x:c r="N10" s="37" t="str">
        <x:f>IF(A10="","",IF(ISNUMBER(J10),M10*J10,"Cost missing"))</x:f>
      </x:c>
      <x:c r="O10" s="42" t="str">
        <x:f>IF(A10="","",IF(COUNTIFS('Items'!$A$6:$A$105,B10)=1,VLOOKUP(B10,'Items'!$A$6:$C$105,3,FALSE),"Unknown item"))</x:f>
      </x:c>
      <x:c r="P10" s="42" t="str">
        <x:f>IF(A10="","",IF(COUNTIFS($A$6:$A$105,A10)&lt;&gt;1,"Duplicate ID",IF(OR(O10="Unknown item",NOT(ISNUMBER(J10))),"Item/cost incomplete",IF(M10&lt;0,"Negative stock",IF(AND(E10="Purchased",G10&lt;=0),"Quantity required","OK")))))</x:f>
      </x:c>
    </x:row>
    <x:row r="11" ht="23" customHeight="1">
      <x:c r="A11" s="36"/>
      <x:c r="B11" s="36"/>
      <x:c r="C11" s="40"/>
      <x:c r="D11" s="36"/>
      <x:c r="E11" s="36"/>
      <x:c r="F11" s="36"/>
      <x:c r="G11" s="41"/>
      <x:c r="H11" s="41"/>
      <x:c r="I11" s="41"/>
      <x:c r="J11" s="37" t="str">
        <x:f>IF(A11="","",IF(E11="Manufactured",IF(COUNTIFS('Production'!$A$6:$A$105,F11)=1,IF(VLOOKUP(F11,'Production'!$A$6:$M$105,13,FALSE)="Closed",VLOOKUP(F11,'Production'!$A$6:$L$105,12,FALSE),"Pending close"),"Missing batch"),IF(AND(G11&gt;0,ISNUMBER(H11),ISNUMBER(I11)),(H11+I11)/G11,"Enter qty/cost")))</x:f>
      </x:c>
      <x:c r="K11" s="37" t="str">
        <x:f>IF(A11="","",SUMIFS('Stock Log'!$E$6:$E$205,'Stock Log'!$C$6:$C$205,A11,'Stock Log'!$B$6:$B$205,"&lt;="&amp;'Settings'!$B$7,'Stock Log'!$I$6:$I$205,"Approved"))</x:f>
      </x:c>
      <x:c r="L11" s="37" t="str">
        <x:f>IF(A11="","",SUMIFS('Stock Log'!$F$6:$F$205,'Stock Log'!$C$6:$C$205,A11,'Stock Log'!$B$6:$B$205,"&lt;="&amp;'Settings'!$B$7,'Stock Log'!$I$6:$I$205,"Approved"))</x:f>
      </x:c>
      <x:c r="M11" s="37" t="str">
        <x:f>IF(A11="","",K11-L11)</x:f>
      </x:c>
      <x:c r="N11" s="37" t="str">
        <x:f>IF(A11="","",IF(ISNUMBER(J11),M11*J11,"Cost missing"))</x:f>
      </x:c>
      <x:c r="O11" s="42" t="str">
        <x:f>IF(A11="","",IF(COUNTIFS('Items'!$A$6:$A$105,B11)=1,VLOOKUP(B11,'Items'!$A$6:$C$105,3,FALSE),"Unknown item"))</x:f>
      </x:c>
      <x:c r="P11" s="42" t="str">
        <x:f>IF(A11="","",IF(COUNTIFS($A$6:$A$105,A11)&lt;&gt;1,"Duplicate ID",IF(OR(O11="Unknown item",NOT(ISNUMBER(J11))),"Item/cost incomplete",IF(M11&lt;0,"Negative stock",IF(AND(E11="Purchased",G11&lt;=0),"Quantity required","OK")))))</x:f>
      </x:c>
    </x:row>
    <x:row r="12" ht="23" customHeight="1">
      <x:c r="A12" s="36"/>
      <x:c r="B12" s="36"/>
      <x:c r="C12" s="40"/>
      <x:c r="D12" s="36"/>
      <x:c r="E12" s="36"/>
      <x:c r="F12" s="36"/>
      <x:c r="G12" s="41"/>
      <x:c r="H12" s="41"/>
      <x:c r="I12" s="41"/>
      <x:c r="J12" s="37" t="str">
        <x:f>IF(A12="","",IF(E12="Manufactured",IF(COUNTIFS('Production'!$A$6:$A$105,F12)=1,IF(VLOOKUP(F12,'Production'!$A$6:$M$105,13,FALSE)="Closed",VLOOKUP(F12,'Production'!$A$6:$L$105,12,FALSE),"Pending close"),"Missing batch"),IF(AND(G12&gt;0,ISNUMBER(H12),ISNUMBER(I12)),(H12+I12)/G12,"Enter qty/cost")))</x:f>
      </x:c>
      <x:c r="K12" s="37" t="str">
        <x:f>IF(A12="","",SUMIFS('Stock Log'!$E$6:$E$205,'Stock Log'!$C$6:$C$205,A12,'Stock Log'!$B$6:$B$205,"&lt;="&amp;'Settings'!$B$7,'Stock Log'!$I$6:$I$205,"Approved"))</x:f>
      </x:c>
      <x:c r="L12" s="37" t="str">
        <x:f>IF(A12="","",SUMIFS('Stock Log'!$F$6:$F$205,'Stock Log'!$C$6:$C$205,A12,'Stock Log'!$B$6:$B$205,"&lt;="&amp;'Settings'!$B$7,'Stock Log'!$I$6:$I$205,"Approved"))</x:f>
      </x:c>
      <x:c r="M12" s="37" t="str">
        <x:f>IF(A12="","",K12-L12)</x:f>
      </x:c>
      <x:c r="N12" s="37" t="str">
        <x:f>IF(A12="","",IF(ISNUMBER(J12),M12*J12,"Cost missing"))</x:f>
      </x:c>
      <x:c r="O12" s="42" t="str">
        <x:f>IF(A12="","",IF(COUNTIFS('Items'!$A$6:$A$105,B12)=1,VLOOKUP(B12,'Items'!$A$6:$C$105,3,FALSE),"Unknown item"))</x:f>
      </x:c>
      <x:c r="P12" s="42" t="str">
        <x:f>IF(A12="","",IF(COUNTIFS($A$6:$A$105,A12)&lt;&gt;1,"Duplicate ID",IF(OR(O12="Unknown item",NOT(ISNUMBER(J12))),"Item/cost incomplete",IF(M12&lt;0,"Negative stock",IF(AND(E12="Purchased",G12&lt;=0),"Quantity required","OK")))))</x:f>
      </x:c>
    </x:row>
    <x:row r="13" ht="23" customHeight="1">
      <x:c r="A13" s="36"/>
      <x:c r="B13" s="36"/>
      <x:c r="C13" s="40"/>
      <x:c r="D13" s="36"/>
      <x:c r="E13" s="36"/>
      <x:c r="F13" s="36"/>
      <x:c r="G13" s="41"/>
      <x:c r="H13" s="41"/>
      <x:c r="I13" s="41"/>
      <x:c r="J13" s="37" t="str">
        <x:f>IF(A13="","",IF(E13="Manufactured",IF(COUNTIFS('Production'!$A$6:$A$105,F13)=1,IF(VLOOKUP(F13,'Production'!$A$6:$M$105,13,FALSE)="Closed",VLOOKUP(F13,'Production'!$A$6:$L$105,12,FALSE),"Pending close"),"Missing batch"),IF(AND(G13&gt;0,ISNUMBER(H13),ISNUMBER(I13)),(H13+I13)/G13,"Enter qty/cost")))</x:f>
      </x:c>
      <x:c r="K13" s="37" t="str">
        <x:f>IF(A13="","",SUMIFS('Stock Log'!$E$6:$E$205,'Stock Log'!$C$6:$C$205,A13,'Stock Log'!$B$6:$B$205,"&lt;="&amp;'Settings'!$B$7,'Stock Log'!$I$6:$I$205,"Approved"))</x:f>
      </x:c>
      <x:c r="L13" s="37" t="str">
        <x:f>IF(A13="","",SUMIFS('Stock Log'!$F$6:$F$205,'Stock Log'!$C$6:$C$205,A13,'Stock Log'!$B$6:$B$205,"&lt;="&amp;'Settings'!$B$7,'Stock Log'!$I$6:$I$205,"Approved"))</x:f>
      </x:c>
      <x:c r="M13" s="37" t="str">
        <x:f>IF(A13="","",K13-L13)</x:f>
      </x:c>
      <x:c r="N13" s="37" t="str">
        <x:f>IF(A13="","",IF(ISNUMBER(J13),M13*J13,"Cost missing"))</x:f>
      </x:c>
      <x:c r="O13" s="42" t="str">
        <x:f>IF(A13="","",IF(COUNTIFS('Items'!$A$6:$A$105,B13)=1,VLOOKUP(B13,'Items'!$A$6:$C$105,3,FALSE),"Unknown item"))</x:f>
      </x:c>
      <x:c r="P13" s="42" t="str">
        <x:f>IF(A13="","",IF(COUNTIFS($A$6:$A$105,A13)&lt;&gt;1,"Duplicate ID",IF(OR(O13="Unknown item",NOT(ISNUMBER(J13))),"Item/cost incomplete",IF(M13&lt;0,"Negative stock",IF(AND(E13="Purchased",G13&lt;=0),"Quantity required","OK")))))</x:f>
      </x:c>
    </x:row>
    <x:row r="14" ht="23" customHeight="1">
      <x:c r="A14" s="36"/>
      <x:c r="B14" s="36"/>
      <x:c r="C14" s="40"/>
      <x:c r="D14" s="36"/>
      <x:c r="E14" s="36"/>
      <x:c r="F14" s="36"/>
      <x:c r="G14" s="41"/>
      <x:c r="H14" s="41"/>
      <x:c r="I14" s="41"/>
      <x:c r="J14" s="37" t="str">
        <x:f>IF(A14="","",IF(E14="Manufactured",IF(COUNTIFS('Production'!$A$6:$A$105,F14)=1,IF(VLOOKUP(F14,'Production'!$A$6:$M$105,13,FALSE)="Closed",VLOOKUP(F14,'Production'!$A$6:$L$105,12,FALSE),"Pending close"),"Missing batch"),IF(AND(G14&gt;0,ISNUMBER(H14),ISNUMBER(I14)),(H14+I14)/G14,"Enter qty/cost")))</x:f>
      </x:c>
      <x:c r="K14" s="37" t="str">
        <x:f>IF(A14="","",SUMIFS('Stock Log'!$E$6:$E$205,'Stock Log'!$C$6:$C$205,A14,'Stock Log'!$B$6:$B$205,"&lt;="&amp;'Settings'!$B$7,'Stock Log'!$I$6:$I$205,"Approved"))</x:f>
      </x:c>
      <x:c r="L14" s="37" t="str">
        <x:f>IF(A14="","",SUMIFS('Stock Log'!$F$6:$F$205,'Stock Log'!$C$6:$C$205,A14,'Stock Log'!$B$6:$B$205,"&lt;="&amp;'Settings'!$B$7,'Stock Log'!$I$6:$I$205,"Approved"))</x:f>
      </x:c>
      <x:c r="M14" s="37" t="str">
        <x:f>IF(A14="","",K14-L14)</x:f>
      </x:c>
      <x:c r="N14" s="37" t="str">
        <x:f>IF(A14="","",IF(ISNUMBER(J14),M14*J14,"Cost missing"))</x:f>
      </x:c>
      <x:c r="O14" s="42" t="str">
        <x:f>IF(A14="","",IF(COUNTIFS('Items'!$A$6:$A$105,B14)=1,VLOOKUP(B14,'Items'!$A$6:$C$105,3,FALSE),"Unknown item"))</x:f>
      </x:c>
      <x:c r="P14" s="42" t="str">
        <x:f>IF(A14="","",IF(COUNTIFS($A$6:$A$105,A14)&lt;&gt;1,"Duplicate ID",IF(OR(O14="Unknown item",NOT(ISNUMBER(J14))),"Item/cost incomplete",IF(M14&lt;0,"Negative stock",IF(AND(E14="Purchased",G14&lt;=0),"Quantity required","OK")))))</x:f>
      </x:c>
    </x:row>
    <x:row r="15" ht="23" customHeight="1">
      <x:c r="A15" s="36"/>
      <x:c r="B15" s="36"/>
      <x:c r="C15" s="40"/>
      <x:c r="D15" s="36"/>
      <x:c r="E15" s="36"/>
      <x:c r="F15" s="36"/>
      <x:c r="G15" s="41"/>
      <x:c r="H15" s="41"/>
      <x:c r="I15" s="41"/>
      <x:c r="J15" s="37" t="str">
        <x:f>IF(A15="","",IF(E15="Manufactured",IF(COUNTIFS('Production'!$A$6:$A$105,F15)=1,IF(VLOOKUP(F15,'Production'!$A$6:$M$105,13,FALSE)="Closed",VLOOKUP(F15,'Production'!$A$6:$L$105,12,FALSE),"Pending close"),"Missing batch"),IF(AND(G15&gt;0,ISNUMBER(H15),ISNUMBER(I15)),(H15+I15)/G15,"Enter qty/cost")))</x:f>
      </x:c>
      <x:c r="K15" s="37" t="str">
        <x:f>IF(A15="","",SUMIFS('Stock Log'!$E$6:$E$205,'Stock Log'!$C$6:$C$205,A15,'Stock Log'!$B$6:$B$205,"&lt;="&amp;'Settings'!$B$7,'Stock Log'!$I$6:$I$205,"Approved"))</x:f>
      </x:c>
      <x:c r="L15" s="37" t="str">
        <x:f>IF(A15="","",SUMIFS('Stock Log'!$F$6:$F$205,'Stock Log'!$C$6:$C$205,A15,'Stock Log'!$B$6:$B$205,"&lt;="&amp;'Settings'!$B$7,'Stock Log'!$I$6:$I$205,"Approved"))</x:f>
      </x:c>
      <x:c r="M15" s="37" t="str">
        <x:f>IF(A15="","",K15-L15)</x:f>
      </x:c>
      <x:c r="N15" s="37" t="str">
        <x:f>IF(A15="","",IF(ISNUMBER(J15),M15*J15,"Cost missing"))</x:f>
      </x:c>
      <x:c r="O15" s="42" t="str">
        <x:f>IF(A15="","",IF(COUNTIFS('Items'!$A$6:$A$105,B15)=1,VLOOKUP(B15,'Items'!$A$6:$C$105,3,FALSE),"Unknown item"))</x:f>
      </x:c>
      <x:c r="P15" s="42" t="str">
        <x:f>IF(A15="","",IF(COUNTIFS($A$6:$A$105,A15)&lt;&gt;1,"Duplicate ID",IF(OR(O15="Unknown item",NOT(ISNUMBER(J15))),"Item/cost incomplete",IF(M15&lt;0,"Negative stock",IF(AND(E15="Purchased",G15&lt;=0),"Quantity required","OK")))))</x:f>
      </x:c>
    </x:row>
    <x:row r="16" ht="23" customHeight="1">
      <x:c r="A16" s="36"/>
      <x:c r="B16" s="36"/>
      <x:c r="C16" s="40"/>
      <x:c r="D16" s="36"/>
      <x:c r="E16" s="36"/>
      <x:c r="F16" s="36"/>
      <x:c r="G16" s="41"/>
      <x:c r="H16" s="41"/>
      <x:c r="I16" s="41"/>
      <x:c r="J16" s="37" t="str">
        <x:f>IF(A16="","",IF(E16="Manufactured",IF(COUNTIFS('Production'!$A$6:$A$105,F16)=1,IF(VLOOKUP(F16,'Production'!$A$6:$M$105,13,FALSE)="Closed",VLOOKUP(F16,'Production'!$A$6:$L$105,12,FALSE),"Pending close"),"Missing batch"),IF(AND(G16&gt;0,ISNUMBER(H16),ISNUMBER(I16)),(H16+I16)/G16,"Enter qty/cost")))</x:f>
      </x:c>
      <x:c r="K16" s="37" t="str">
        <x:f>IF(A16="","",SUMIFS('Stock Log'!$E$6:$E$205,'Stock Log'!$C$6:$C$205,A16,'Stock Log'!$B$6:$B$205,"&lt;="&amp;'Settings'!$B$7,'Stock Log'!$I$6:$I$205,"Approved"))</x:f>
      </x:c>
      <x:c r="L16" s="37" t="str">
        <x:f>IF(A16="","",SUMIFS('Stock Log'!$F$6:$F$205,'Stock Log'!$C$6:$C$205,A16,'Stock Log'!$B$6:$B$205,"&lt;="&amp;'Settings'!$B$7,'Stock Log'!$I$6:$I$205,"Approved"))</x:f>
      </x:c>
      <x:c r="M16" s="37" t="str">
        <x:f>IF(A16="","",K16-L16)</x:f>
      </x:c>
      <x:c r="N16" s="37" t="str">
        <x:f>IF(A16="","",IF(ISNUMBER(J16),M16*J16,"Cost missing"))</x:f>
      </x:c>
      <x:c r="O16" s="42" t="str">
        <x:f>IF(A16="","",IF(COUNTIFS('Items'!$A$6:$A$105,B16)=1,VLOOKUP(B16,'Items'!$A$6:$C$105,3,FALSE),"Unknown item"))</x:f>
      </x:c>
      <x:c r="P16" s="42" t="str">
        <x:f>IF(A16="","",IF(COUNTIFS($A$6:$A$105,A16)&lt;&gt;1,"Duplicate ID",IF(OR(O16="Unknown item",NOT(ISNUMBER(J16))),"Item/cost incomplete",IF(M16&lt;0,"Negative stock",IF(AND(E16="Purchased",G16&lt;=0),"Quantity required","OK")))))</x:f>
      </x:c>
    </x:row>
    <x:row r="17" ht="23" customHeight="1">
      <x:c r="A17" s="36"/>
      <x:c r="B17" s="36"/>
      <x:c r="C17" s="40"/>
      <x:c r="D17" s="36"/>
      <x:c r="E17" s="36"/>
      <x:c r="F17" s="36"/>
      <x:c r="G17" s="41"/>
      <x:c r="H17" s="41"/>
      <x:c r="I17" s="41"/>
      <x:c r="J17" s="37" t="str">
        <x:f>IF(A17="","",IF(E17="Manufactured",IF(COUNTIFS('Production'!$A$6:$A$105,F17)=1,IF(VLOOKUP(F17,'Production'!$A$6:$M$105,13,FALSE)="Closed",VLOOKUP(F17,'Production'!$A$6:$L$105,12,FALSE),"Pending close"),"Missing batch"),IF(AND(G17&gt;0,ISNUMBER(H17),ISNUMBER(I17)),(H17+I17)/G17,"Enter qty/cost")))</x:f>
      </x:c>
      <x:c r="K17" s="37" t="str">
        <x:f>IF(A17="","",SUMIFS('Stock Log'!$E$6:$E$205,'Stock Log'!$C$6:$C$205,A17,'Stock Log'!$B$6:$B$205,"&lt;="&amp;'Settings'!$B$7,'Stock Log'!$I$6:$I$205,"Approved"))</x:f>
      </x:c>
      <x:c r="L17" s="37" t="str">
        <x:f>IF(A17="","",SUMIFS('Stock Log'!$F$6:$F$205,'Stock Log'!$C$6:$C$205,A17,'Stock Log'!$B$6:$B$205,"&lt;="&amp;'Settings'!$B$7,'Stock Log'!$I$6:$I$205,"Approved"))</x:f>
      </x:c>
      <x:c r="M17" s="37" t="str">
        <x:f>IF(A17="","",K17-L17)</x:f>
      </x:c>
      <x:c r="N17" s="37" t="str">
        <x:f>IF(A17="","",IF(ISNUMBER(J17),M17*J17,"Cost missing"))</x:f>
      </x:c>
      <x:c r="O17" s="42" t="str">
        <x:f>IF(A17="","",IF(COUNTIFS('Items'!$A$6:$A$105,B17)=1,VLOOKUP(B17,'Items'!$A$6:$C$105,3,FALSE),"Unknown item"))</x:f>
      </x:c>
      <x:c r="P17" s="42" t="str">
        <x:f>IF(A17="","",IF(COUNTIFS($A$6:$A$105,A17)&lt;&gt;1,"Duplicate ID",IF(OR(O17="Unknown item",NOT(ISNUMBER(J17))),"Item/cost incomplete",IF(M17&lt;0,"Negative stock",IF(AND(E17="Purchased",G17&lt;=0),"Quantity required","OK")))))</x:f>
      </x:c>
    </x:row>
    <x:row r="18" ht="23" customHeight="1">
      <x:c r="A18" s="36"/>
      <x:c r="B18" s="36"/>
      <x:c r="C18" s="40"/>
      <x:c r="D18" s="36"/>
      <x:c r="E18" s="36"/>
      <x:c r="F18" s="36"/>
      <x:c r="G18" s="41"/>
      <x:c r="H18" s="41"/>
      <x:c r="I18" s="41"/>
      <x:c r="J18" s="37" t="str">
        <x:f>IF(A18="","",IF(E18="Manufactured",IF(COUNTIFS('Production'!$A$6:$A$105,F18)=1,IF(VLOOKUP(F18,'Production'!$A$6:$M$105,13,FALSE)="Closed",VLOOKUP(F18,'Production'!$A$6:$L$105,12,FALSE),"Pending close"),"Missing batch"),IF(AND(G18&gt;0,ISNUMBER(H18),ISNUMBER(I18)),(H18+I18)/G18,"Enter qty/cost")))</x:f>
      </x:c>
      <x:c r="K18" s="37" t="str">
        <x:f>IF(A18="","",SUMIFS('Stock Log'!$E$6:$E$205,'Stock Log'!$C$6:$C$205,A18,'Stock Log'!$B$6:$B$205,"&lt;="&amp;'Settings'!$B$7,'Stock Log'!$I$6:$I$205,"Approved"))</x:f>
      </x:c>
      <x:c r="L18" s="37" t="str">
        <x:f>IF(A18="","",SUMIFS('Stock Log'!$F$6:$F$205,'Stock Log'!$C$6:$C$205,A18,'Stock Log'!$B$6:$B$205,"&lt;="&amp;'Settings'!$B$7,'Stock Log'!$I$6:$I$205,"Approved"))</x:f>
      </x:c>
      <x:c r="M18" s="37" t="str">
        <x:f>IF(A18="","",K18-L18)</x:f>
      </x:c>
      <x:c r="N18" s="37" t="str">
        <x:f>IF(A18="","",IF(ISNUMBER(J18),M18*J18,"Cost missing"))</x:f>
      </x:c>
      <x:c r="O18" s="42" t="str">
        <x:f>IF(A18="","",IF(COUNTIFS('Items'!$A$6:$A$105,B18)=1,VLOOKUP(B18,'Items'!$A$6:$C$105,3,FALSE),"Unknown item"))</x:f>
      </x:c>
      <x:c r="P18" s="42" t="str">
        <x:f>IF(A18="","",IF(COUNTIFS($A$6:$A$105,A18)&lt;&gt;1,"Duplicate ID",IF(OR(O18="Unknown item",NOT(ISNUMBER(J18))),"Item/cost incomplete",IF(M18&lt;0,"Negative stock",IF(AND(E18="Purchased",G18&lt;=0),"Quantity required","OK")))))</x:f>
      </x:c>
    </x:row>
    <x:row r="19" ht="23" customHeight="1">
      <x:c r="A19" s="36"/>
      <x:c r="B19" s="36"/>
      <x:c r="C19" s="40"/>
      <x:c r="D19" s="36"/>
      <x:c r="E19" s="36"/>
      <x:c r="F19" s="36"/>
      <x:c r="G19" s="41"/>
      <x:c r="H19" s="41"/>
      <x:c r="I19" s="41"/>
      <x:c r="J19" s="37" t="str">
        <x:f>IF(A19="","",IF(E19="Manufactured",IF(COUNTIFS('Production'!$A$6:$A$105,F19)=1,IF(VLOOKUP(F19,'Production'!$A$6:$M$105,13,FALSE)="Closed",VLOOKUP(F19,'Production'!$A$6:$L$105,12,FALSE),"Pending close"),"Missing batch"),IF(AND(G19&gt;0,ISNUMBER(H19),ISNUMBER(I19)),(H19+I19)/G19,"Enter qty/cost")))</x:f>
      </x:c>
      <x:c r="K19" s="37" t="str">
        <x:f>IF(A19="","",SUMIFS('Stock Log'!$E$6:$E$205,'Stock Log'!$C$6:$C$205,A19,'Stock Log'!$B$6:$B$205,"&lt;="&amp;'Settings'!$B$7,'Stock Log'!$I$6:$I$205,"Approved"))</x:f>
      </x:c>
      <x:c r="L19" s="37" t="str">
        <x:f>IF(A19="","",SUMIFS('Stock Log'!$F$6:$F$205,'Stock Log'!$C$6:$C$205,A19,'Stock Log'!$B$6:$B$205,"&lt;="&amp;'Settings'!$B$7,'Stock Log'!$I$6:$I$205,"Approved"))</x:f>
      </x:c>
      <x:c r="M19" s="37" t="str">
        <x:f>IF(A19="","",K19-L19)</x:f>
      </x:c>
      <x:c r="N19" s="37" t="str">
        <x:f>IF(A19="","",IF(ISNUMBER(J19),M19*J19,"Cost missing"))</x:f>
      </x:c>
      <x:c r="O19" s="42" t="str">
        <x:f>IF(A19="","",IF(COUNTIFS('Items'!$A$6:$A$105,B19)=1,VLOOKUP(B19,'Items'!$A$6:$C$105,3,FALSE),"Unknown item"))</x:f>
      </x:c>
      <x:c r="P19" s="42" t="str">
        <x:f>IF(A19="","",IF(COUNTIFS($A$6:$A$105,A19)&lt;&gt;1,"Duplicate ID",IF(OR(O19="Unknown item",NOT(ISNUMBER(J19))),"Item/cost incomplete",IF(M19&lt;0,"Negative stock",IF(AND(E19="Purchased",G19&lt;=0),"Quantity required","OK")))))</x:f>
      </x:c>
    </x:row>
    <x:row r="20" ht="23" customHeight="1">
      <x:c r="A20" s="36"/>
      <x:c r="B20" s="36"/>
      <x:c r="C20" s="40"/>
      <x:c r="D20" s="36"/>
      <x:c r="E20" s="36"/>
      <x:c r="F20" s="36"/>
      <x:c r="G20" s="41"/>
      <x:c r="H20" s="41"/>
      <x:c r="I20" s="41"/>
      <x:c r="J20" s="37" t="str">
        <x:f>IF(A20="","",IF(E20="Manufactured",IF(COUNTIFS('Production'!$A$6:$A$105,F20)=1,IF(VLOOKUP(F20,'Production'!$A$6:$M$105,13,FALSE)="Closed",VLOOKUP(F20,'Production'!$A$6:$L$105,12,FALSE),"Pending close"),"Missing batch"),IF(AND(G20&gt;0,ISNUMBER(H20),ISNUMBER(I20)),(H20+I20)/G20,"Enter qty/cost")))</x:f>
      </x:c>
      <x:c r="K20" s="37" t="str">
        <x:f>IF(A20="","",SUMIFS('Stock Log'!$E$6:$E$205,'Stock Log'!$C$6:$C$205,A20,'Stock Log'!$B$6:$B$205,"&lt;="&amp;'Settings'!$B$7,'Stock Log'!$I$6:$I$205,"Approved"))</x:f>
      </x:c>
      <x:c r="L20" s="37" t="str">
        <x:f>IF(A20="","",SUMIFS('Stock Log'!$F$6:$F$205,'Stock Log'!$C$6:$C$205,A20,'Stock Log'!$B$6:$B$205,"&lt;="&amp;'Settings'!$B$7,'Stock Log'!$I$6:$I$205,"Approved"))</x:f>
      </x:c>
      <x:c r="M20" s="37" t="str">
        <x:f>IF(A20="","",K20-L20)</x:f>
      </x:c>
      <x:c r="N20" s="37" t="str">
        <x:f>IF(A20="","",IF(ISNUMBER(J20),M20*J20,"Cost missing"))</x:f>
      </x:c>
      <x:c r="O20" s="42" t="str">
        <x:f>IF(A20="","",IF(COUNTIFS('Items'!$A$6:$A$105,B20)=1,VLOOKUP(B20,'Items'!$A$6:$C$105,3,FALSE),"Unknown item"))</x:f>
      </x:c>
      <x:c r="P20" s="42" t="str">
        <x:f>IF(A20="","",IF(COUNTIFS($A$6:$A$105,A20)&lt;&gt;1,"Duplicate ID",IF(OR(O20="Unknown item",NOT(ISNUMBER(J20))),"Item/cost incomplete",IF(M20&lt;0,"Negative stock",IF(AND(E20="Purchased",G20&lt;=0),"Quantity required","OK")))))</x:f>
      </x:c>
    </x:row>
    <x:row r="21" ht="23" customHeight="1">
      <x:c r="A21" s="36"/>
      <x:c r="B21" s="36"/>
      <x:c r="C21" s="40"/>
      <x:c r="D21" s="36"/>
      <x:c r="E21" s="36"/>
      <x:c r="F21" s="36"/>
      <x:c r="G21" s="41"/>
      <x:c r="H21" s="41"/>
      <x:c r="I21" s="41"/>
      <x:c r="J21" s="37" t="str">
        <x:f>IF(A21="","",IF(E21="Manufactured",IF(COUNTIFS('Production'!$A$6:$A$105,F21)=1,IF(VLOOKUP(F21,'Production'!$A$6:$M$105,13,FALSE)="Closed",VLOOKUP(F21,'Production'!$A$6:$L$105,12,FALSE),"Pending close"),"Missing batch"),IF(AND(G21&gt;0,ISNUMBER(H21),ISNUMBER(I21)),(H21+I21)/G21,"Enter qty/cost")))</x:f>
      </x:c>
      <x:c r="K21" s="37" t="str">
        <x:f>IF(A21="","",SUMIFS('Stock Log'!$E$6:$E$205,'Stock Log'!$C$6:$C$205,A21,'Stock Log'!$B$6:$B$205,"&lt;="&amp;'Settings'!$B$7,'Stock Log'!$I$6:$I$205,"Approved"))</x:f>
      </x:c>
      <x:c r="L21" s="37" t="str">
        <x:f>IF(A21="","",SUMIFS('Stock Log'!$F$6:$F$205,'Stock Log'!$C$6:$C$205,A21,'Stock Log'!$B$6:$B$205,"&lt;="&amp;'Settings'!$B$7,'Stock Log'!$I$6:$I$205,"Approved"))</x:f>
      </x:c>
      <x:c r="M21" s="37" t="str">
        <x:f>IF(A21="","",K21-L21)</x:f>
      </x:c>
      <x:c r="N21" s="37" t="str">
        <x:f>IF(A21="","",IF(ISNUMBER(J21),M21*J21,"Cost missing"))</x:f>
      </x:c>
      <x:c r="O21" s="42" t="str">
        <x:f>IF(A21="","",IF(COUNTIFS('Items'!$A$6:$A$105,B21)=1,VLOOKUP(B21,'Items'!$A$6:$C$105,3,FALSE),"Unknown item"))</x:f>
      </x:c>
      <x:c r="P21" s="42" t="str">
        <x:f>IF(A21="","",IF(COUNTIFS($A$6:$A$105,A21)&lt;&gt;1,"Duplicate ID",IF(OR(O21="Unknown item",NOT(ISNUMBER(J21))),"Item/cost incomplete",IF(M21&lt;0,"Negative stock",IF(AND(E21="Purchased",G21&lt;=0),"Quantity required","OK")))))</x:f>
      </x:c>
    </x:row>
    <x:row r="22" ht="23" customHeight="1">
      <x:c r="A22" s="36"/>
      <x:c r="B22" s="36"/>
      <x:c r="C22" s="40"/>
      <x:c r="D22" s="36"/>
      <x:c r="E22" s="36"/>
      <x:c r="F22" s="36"/>
      <x:c r="G22" s="41"/>
      <x:c r="H22" s="41"/>
      <x:c r="I22" s="41"/>
      <x:c r="J22" s="37" t="str">
        <x:f>IF(A22="","",IF(E22="Manufactured",IF(COUNTIFS('Production'!$A$6:$A$105,F22)=1,IF(VLOOKUP(F22,'Production'!$A$6:$M$105,13,FALSE)="Closed",VLOOKUP(F22,'Production'!$A$6:$L$105,12,FALSE),"Pending close"),"Missing batch"),IF(AND(G22&gt;0,ISNUMBER(H22),ISNUMBER(I22)),(H22+I22)/G22,"Enter qty/cost")))</x:f>
      </x:c>
      <x:c r="K22" s="37" t="str">
        <x:f>IF(A22="","",SUMIFS('Stock Log'!$E$6:$E$205,'Stock Log'!$C$6:$C$205,A22,'Stock Log'!$B$6:$B$205,"&lt;="&amp;'Settings'!$B$7,'Stock Log'!$I$6:$I$205,"Approved"))</x:f>
      </x:c>
      <x:c r="L22" s="37" t="str">
        <x:f>IF(A22="","",SUMIFS('Stock Log'!$F$6:$F$205,'Stock Log'!$C$6:$C$205,A22,'Stock Log'!$B$6:$B$205,"&lt;="&amp;'Settings'!$B$7,'Stock Log'!$I$6:$I$205,"Approved"))</x:f>
      </x:c>
      <x:c r="M22" s="37" t="str">
        <x:f>IF(A22="","",K22-L22)</x:f>
      </x:c>
      <x:c r="N22" s="37" t="str">
        <x:f>IF(A22="","",IF(ISNUMBER(J22),M22*J22,"Cost missing"))</x:f>
      </x:c>
      <x:c r="O22" s="42" t="str">
        <x:f>IF(A22="","",IF(COUNTIFS('Items'!$A$6:$A$105,B22)=1,VLOOKUP(B22,'Items'!$A$6:$C$105,3,FALSE),"Unknown item"))</x:f>
      </x:c>
      <x:c r="P22" s="42" t="str">
        <x:f>IF(A22="","",IF(COUNTIFS($A$6:$A$105,A22)&lt;&gt;1,"Duplicate ID",IF(OR(O22="Unknown item",NOT(ISNUMBER(J22))),"Item/cost incomplete",IF(M22&lt;0,"Negative stock",IF(AND(E22="Purchased",G22&lt;=0),"Quantity required","OK")))))</x:f>
      </x:c>
    </x:row>
    <x:row r="23" ht="23" customHeight="1">
      <x:c r="A23" s="36"/>
      <x:c r="B23" s="36"/>
      <x:c r="C23" s="40"/>
      <x:c r="D23" s="36"/>
      <x:c r="E23" s="36"/>
      <x:c r="F23" s="36"/>
      <x:c r="G23" s="41"/>
      <x:c r="H23" s="41"/>
      <x:c r="I23" s="41"/>
      <x:c r="J23" s="37" t="str">
        <x:f>IF(A23="","",IF(E23="Manufactured",IF(COUNTIFS('Production'!$A$6:$A$105,F23)=1,IF(VLOOKUP(F23,'Production'!$A$6:$M$105,13,FALSE)="Closed",VLOOKUP(F23,'Production'!$A$6:$L$105,12,FALSE),"Pending close"),"Missing batch"),IF(AND(G23&gt;0,ISNUMBER(H23),ISNUMBER(I23)),(H23+I23)/G23,"Enter qty/cost")))</x:f>
      </x:c>
      <x:c r="K23" s="37" t="str">
        <x:f>IF(A23="","",SUMIFS('Stock Log'!$E$6:$E$205,'Stock Log'!$C$6:$C$205,A23,'Stock Log'!$B$6:$B$205,"&lt;="&amp;'Settings'!$B$7,'Stock Log'!$I$6:$I$205,"Approved"))</x:f>
      </x:c>
      <x:c r="L23" s="37" t="str">
        <x:f>IF(A23="","",SUMIFS('Stock Log'!$F$6:$F$205,'Stock Log'!$C$6:$C$205,A23,'Stock Log'!$B$6:$B$205,"&lt;="&amp;'Settings'!$B$7,'Stock Log'!$I$6:$I$205,"Approved"))</x:f>
      </x:c>
      <x:c r="M23" s="37" t="str">
        <x:f>IF(A23="","",K23-L23)</x:f>
      </x:c>
      <x:c r="N23" s="37" t="str">
        <x:f>IF(A23="","",IF(ISNUMBER(J23),M23*J23,"Cost missing"))</x:f>
      </x:c>
      <x:c r="O23" s="42" t="str">
        <x:f>IF(A23="","",IF(COUNTIFS('Items'!$A$6:$A$105,B23)=1,VLOOKUP(B23,'Items'!$A$6:$C$105,3,FALSE),"Unknown item"))</x:f>
      </x:c>
      <x:c r="P23" s="42" t="str">
        <x:f>IF(A23="","",IF(COUNTIFS($A$6:$A$105,A23)&lt;&gt;1,"Duplicate ID",IF(OR(O23="Unknown item",NOT(ISNUMBER(J23))),"Item/cost incomplete",IF(M23&lt;0,"Negative stock",IF(AND(E23="Purchased",G23&lt;=0),"Quantity required","OK")))))</x:f>
      </x:c>
    </x:row>
    <x:row r="24" ht="23" customHeight="1">
      <x:c r="A24" s="36"/>
      <x:c r="B24" s="36"/>
      <x:c r="C24" s="40"/>
      <x:c r="D24" s="36"/>
      <x:c r="E24" s="36"/>
      <x:c r="F24" s="36"/>
      <x:c r="G24" s="41"/>
      <x:c r="H24" s="41"/>
      <x:c r="I24" s="41"/>
      <x:c r="J24" s="37" t="str">
        <x:f>IF(A24="","",IF(E24="Manufactured",IF(COUNTIFS('Production'!$A$6:$A$105,F24)=1,IF(VLOOKUP(F24,'Production'!$A$6:$M$105,13,FALSE)="Closed",VLOOKUP(F24,'Production'!$A$6:$L$105,12,FALSE),"Pending close"),"Missing batch"),IF(AND(G24&gt;0,ISNUMBER(H24),ISNUMBER(I24)),(H24+I24)/G24,"Enter qty/cost")))</x:f>
      </x:c>
      <x:c r="K24" s="37" t="str">
        <x:f>IF(A24="","",SUMIFS('Stock Log'!$E$6:$E$205,'Stock Log'!$C$6:$C$205,A24,'Stock Log'!$B$6:$B$205,"&lt;="&amp;'Settings'!$B$7,'Stock Log'!$I$6:$I$205,"Approved"))</x:f>
      </x:c>
      <x:c r="L24" s="37" t="str">
        <x:f>IF(A24="","",SUMIFS('Stock Log'!$F$6:$F$205,'Stock Log'!$C$6:$C$205,A24,'Stock Log'!$B$6:$B$205,"&lt;="&amp;'Settings'!$B$7,'Stock Log'!$I$6:$I$205,"Approved"))</x:f>
      </x:c>
      <x:c r="M24" s="37" t="str">
        <x:f>IF(A24="","",K24-L24)</x:f>
      </x:c>
      <x:c r="N24" s="37" t="str">
        <x:f>IF(A24="","",IF(ISNUMBER(J24),M24*J24,"Cost missing"))</x:f>
      </x:c>
      <x:c r="O24" s="42" t="str">
        <x:f>IF(A24="","",IF(COUNTIFS('Items'!$A$6:$A$105,B24)=1,VLOOKUP(B24,'Items'!$A$6:$C$105,3,FALSE),"Unknown item"))</x:f>
      </x:c>
      <x:c r="P24" s="42" t="str">
        <x:f>IF(A24="","",IF(COUNTIFS($A$6:$A$105,A24)&lt;&gt;1,"Duplicate ID",IF(OR(O24="Unknown item",NOT(ISNUMBER(J24))),"Item/cost incomplete",IF(M24&lt;0,"Negative stock",IF(AND(E24="Purchased",G24&lt;=0),"Quantity required","OK")))))</x:f>
      </x:c>
    </x:row>
    <x:row r="25" ht="23" customHeight="1">
      <x:c r="A25" s="36"/>
      <x:c r="B25" s="36"/>
      <x:c r="C25" s="40"/>
      <x:c r="D25" s="36"/>
      <x:c r="E25" s="36"/>
      <x:c r="F25" s="36"/>
      <x:c r="G25" s="41"/>
      <x:c r="H25" s="41"/>
      <x:c r="I25" s="41"/>
      <x:c r="J25" s="37" t="str">
        <x:f>IF(A25="","",IF(E25="Manufactured",IF(COUNTIFS('Production'!$A$6:$A$105,F25)=1,IF(VLOOKUP(F25,'Production'!$A$6:$M$105,13,FALSE)="Closed",VLOOKUP(F25,'Production'!$A$6:$L$105,12,FALSE),"Pending close"),"Missing batch"),IF(AND(G25&gt;0,ISNUMBER(H25),ISNUMBER(I25)),(H25+I25)/G25,"Enter qty/cost")))</x:f>
      </x:c>
      <x:c r="K25" s="37" t="str">
        <x:f>IF(A25="","",SUMIFS('Stock Log'!$E$6:$E$205,'Stock Log'!$C$6:$C$205,A25,'Stock Log'!$B$6:$B$205,"&lt;="&amp;'Settings'!$B$7,'Stock Log'!$I$6:$I$205,"Approved"))</x:f>
      </x:c>
      <x:c r="L25" s="37" t="str">
        <x:f>IF(A25="","",SUMIFS('Stock Log'!$F$6:$F$205,'Stock Log'!$C$6:$C$205,A25,'Stock Log'!$B$6:$B$205,"&lt;="&amp;'Settings'!$B$7,'Stock Log'!$I$6:$I$205,"Approved"))</x:f>
      </x:c>
      <x:c r="M25" s="37" t="str">
        <x:f>IF(A25="","",K25-L25)</x:f>
      </x:c>
      <x:c r="N25" s="37" t="str">
        <x:f>IF(A25="","",IF(ISNUMBER(J25),M25*J25,"Cost missing"))</x:f>
      </x:c>
      <x:c r="O25" s="42" t="str">
        <x:f>IF(A25="","",IF(COUNTIFS('Items'!$A$6:$A$105,B25)=1,VLOOKUP(B25,'Items'!$A$6:$C$105,3,FALSE),"Unknown item"))</x:f>
      </x:c>
      <x:c r="P25" s="42" t="str">
        <x:f>IF(A25="","",IF(COUNTIFS($A$6:$A$105,A25)&lt;&gt;1,"Duplicate ID",IF(OR(O25="Unknown item",NOT(ISNUMBER(J25))),"Item/cost incomplete",IF(M25&lt;0,"Negative stock",IF(AND(E25="Purchased",G25&lt;=0),"Quantity required","OK")))))</x:f>
      </x:c>
    </x:row>
    <x:row r="26" ht="23" customHeight="1">
      <x:c r="A26" s="36"/>
      <x:c r="B26" s="36"/>
      <x:c r="C26" s="40"/>
      <x:c r="D26" s="36"/>
      <x:c r="E26" s="36"/>
      <x:c r="F26" s="36"/>
      <x:c r="G26" s="41"/>
      <x:c r="H26" s="41"/>
      <x:c r="I26" s="41"/>
      <x:c r="J26" s="37" t="str">
        <x:f>IF(A26="","",IF(E26="Manufactured",IF(COUNTIFS('Production'!$A$6:$A$105,F26)=1,IF(VLOOKUP(F26,'Production'!$A$6:$M$105,13,FALSE)="Closed",VLOOKUP(F26,'Production'!$A$6:$L$105,12,FALSE),"Pending close"),"Missing batch"),IF(AND(G26&gt;0,ISNUMBER(H26),ISNUMBER(I26)),(H26+I26)/G26,"Enter qty/cost")))</x:f>
      </x:c>
      <x:c r="K26" s="37" t="str">
        <x:f>IF(A26="","",SUMIFS('Stock Log'!$E$6:$E$205,'Stock Log'!$C$6:$C$205,A26,'Stock Log'!$B$6:$B$205,"&lt;="&amp;'Settings'!$B$7,'Stock Log'!$I$6:$I$205,"Approved"))</x:f>
      </x:c>
      <x:c r="L26" s="37" t="str">
        <x:f>IF(A26="","",SUMIFS('Stock Log'!$F$6:$F$205,'Stock Log'!$C$6:$C$205,A26,'Stock Log'!$B$6:$B$205,"&lt;="&amp;'Settings'!$B$7,'Stock Log'!$I$6:$I$205,"Approved"))</x:f>
      </x:c>
      <x:c r="M26" s="37" t="str">
        <x:f>IF(A26="","",K26-L26)</x:f>
      </x:c>
      <x:c r="N26" s="37" t="str">
        <x:f>IF(A26="","",IF(ISNUMBER(J26),M26*J26,"Cost missing"))</x:f>
      </x:c>
      <x:c r="O26" s="42" t="str">
        <x:f>IF(A26="","",IF(COUNTIFS('Items'!$A$6:$A$105,B26)=1,VLOOKUP(B26,'Items'!$A$6:$C$105,3,FALSE),"Unknown item"))</x:f>
      </x:c>
      <x:c r="P26" s="42" t="str">
        <x:f>IF(A26="","",IF(COUNTIFS($A$6:$A$105,A26)&lt;&gt;1,"Duplicate ID",IF(OR(O26="Unknown item",NOT(ISNUMBER(J26))),"Item/cost incomplete",IF(M26&lt;0,"Negative stock",IF(AND(E26="Purchased",G26&lt;=0),"Quantity required","OK")))))</x:f>
      </x:c>
    </x:row>
    <x:row r="27" ht="23" customHeight="1">
      <x:c r="A27" s="36"/>
      <x:c r="B27" s="36"/>
      <x:c r="C27" s="40"/>
      <x:c r="D27" s="36"/>
      <x:c r="E27" s="36"/>
      <x:c r="F27" s="36"/>
      <x:c r="G27" s="41"/>
      <x:c r="H27" s="41"/>
      <x:c r="I27" s="41"/>
      <x:c r="J27" s="37" t="str">
        <x:f>IF(A27="","",IF(E27="Manufactured",IF(COUNTIFS('Production'!$A$6:$A$105,F27)=1,IF(VLOOKUP(F27,'Production'!$A$6:$M$105,13,FALSE)="Closed",VLOOKUP(F27,'Production'!$A$6:$L$105,12,FALSE),"Pending close"),"Missing batch"),IF(AND(G27&gt;0,ISNUMBER(H27),ISNUMBER(I27)),(H27+I27)/G27,"Enter qty/cost")))</x:f>
      </x:c>
      <x:c r="K27" s="37" t="str">
        <x:f>IF(A27="","",SUMIFS('Stock Log'!$E$6:$E$205,'Stock Log'!$C$6:$C$205,A27,'Stock Log'!$B$6:$B$205,"&lt;="&amp;'Settings'!$B$7,'Stock Log'!$I$6:$I$205,"Approved"))</x:f>
      </x:c>
      <x:c r="L27" s="37" t="str">
        <x:f>IF(A27="","",SUMIFS('Stock Log'!$F$6:$F$205,'Stock Log'!$C$6:$C$205,A27,'Stock Log'!$B$6:$B$205,"&lt;="&amp;'Settings'!$B$7,'Stock Log'!$I$6:$I$205,"Approved"))</x:f>
      </x:c>
      <x:c r="M27" s="37" t="str">
        <x:f>IF(A27="","",K27-L27)</x:f>
      </x:c>
      <x:c r="N27" s="37" t="str">
        <x:f>IF(A27="","",IF(ISNUMBER(J27),M27*J27,"Cost missing"))</x:f>
      </x:c>
      <x:c r="O27" s="42" t="str">
        <x:f>IF(A27="","",IF(COUNTIFS('Items'!$A$6:$A$105,B27)=1,VLOOKUP(B27,'Items'!$A$6:$C$105,3,FALSE),"Unknown item"))</x:f>
      </x:c>
      <x:c r="P27" s="42" t="str">
        <x:f>IF(A27="","",IF(COUNTIFS($A$6:$A$105,A27)&lt;&gt;1,"Duplicate ID",IF(OR(O27="Unknown item",NOT(ISNUMBER(J27))),"Item/cost incomplete",IF(M27&lt;0,"Negative stock",IF(AND(E27="Purchased",G27&lt;=0),"Quantity required","OK")))))</x:f>
      </x:c>
    </x:row>
    <x:row r="28" ht="23" customHeight="1">
      <x:c r="A28" s="36"/>
      <x:c r="B28" s="36"/>
      <x:c r="C28" s="40"/>
      <x:c r="D28" s="36"/>
      <x:c r="E28" s="36"/>
      <x:c r="F28" s="36"/>
      <x:c r="G28" s="41"/>
      <x:c r="H28" s="41"/>
      <x:c r="I28" s="41"/>
      <x:c r="J28" s="37" t="str">
        <x:f>IF(A28="","",IF(E28="Manufactured",IF(COUNTIFS('Production'!$A$6:$A$105,F28)=1,IF(VLOOKUP(F28,'Production'!$A$6:$M$105,13,FALSE)="Closed",VLOOKUP(F28,'Production'!$A$6:$L$105,12,FALSE),"Pending close"),"Missing batch"),IF(AND(G28&gt;0,ISNUMBER(H28),ISNUMBER(I28)),(H28+I28)/G28,"Enter qty/cost")))</x:f>
      </x:c>
      <x:c r="K28" s="37" t="str">
        <x:f>IF(A28="","",SUMIFS('Stock Log'!$E$6:$E$205,'Stock Log'!$C$6:$C$205,A28,'Stock Log'!$B$6:$B$205,"&lt;="&amp;'Settings'!$B$7,'Stock Log'!$I$6:$I$205,"Approved"))</x:f>
      </x:c>
      <x:c r="L28" s="37" t="str">
        <x:f>IF(A28="","",SUMIFS('Stock Log'!$F$6:$F$205,'Stock Log'!$C$6:$C$205,A28,'Stock Log'!$B$6:$B$205,"&lt;="&amp;'Settings'!$B$7,'Stock Log'!$I$6:$I$205,"Approved"))</x:f>
      </x:c>
      <x:c r="M28" s="37" t="str">
        <x:f>IF(A28="","",K28-L28)</x:f>
      </x:c>
      <x:c r="N28" s="37" t="str">
        <x:f>IF(A28="","",IF(ISNUMBER(J28),M28*J28,"Cost missing"))</x:f>
      </x:c>
      <x:c r="O28" s="42" t="str">
        <x:f>IF(A28="","",IF(COUNTIFS('Items'!$A$6:$A$105,B28)=1,VLOOKUP(B28,'Items'!$A$6:$C$105,3,FALSE),"Unknown item"))</x:f>
      </x:c>
      <x:c r="P28" s="42" t="str">
        <x:f>IF(A28="","",IF(COUNTIFS($A$6:$A$105,A28)&lt;&gt;1,"Duplicate ID",IF(OR(O28="Unknown item",NOT(ISNUMBER(J28))),"Item/cost incomplete",IF(M28&lt;0,"Negative stock",IF(AND(E28="Purchased",G28&lt;=0),"Quantity required","OK")))))</x:f>
      </x:c>
    </x:row>
    <x:row r="29" ht="23" customHeight="1">
      <x:c r="A29" s="36"/>
      <x:c r="B29" s="36"/>
      <x:c r="C29" s="40"/>
      <x:c r="D29" s="36"/>
      <x:c r="E29" s="36"/>
      <x:c r="F29" s="36"/>
      <x:c r="G29" s="41"/>
      <x:c r="H29" s="41"/>
      <x:c r="I29" s="41"/>
      <x:c r="J29" s="37" t="str">
        <x:f>IF(A29="","",IF(E29="Manufactured",IF(COUNTIFS('Production'!$A$6:$A$105,F29)=1,IF(VLOOKUP(F29,'Production'!$A$6:$M$105,13,FALSE)="Closed",VLOOKUP(F29,'Production'!$A$6:$L$105,12,FALSE),"Pending close"),"Missing batch"),IF(AND(G29&gt;0,ISNUMBER(H29),ISNUMBER(I29)),(H29+I29)/G29,"Enter qty/cost")))</x:f>
      </x:c>
      <x:c r="K29" s="37" t="str">
        <x:f>IF(A29="","",SUMIFS('Stock Log'!$E$6:$E$205,'Stock Log'!$C$6:$C$205,A29,'Stock Log'!$B$6:$B$205,"&lt;="&amp;'Settings'!$B$7,'Stock Log'!$I$6:$I$205,"Approved"))</x:f>
      </x:c>
      <x:c r="L29" s="37" t="str">
        <x:f>IF(A29="","",SUMIFS('Stock Log'!$F$6:$F$205,'Stock Log'!$C$6:$C$205,A29,'Stock Log'!$B$6:$B$205,"&lt;="&amp;'Settings'!$B$7,'Stock Log'!$I$6:$I$205,"Approved"))</x:f>
      </x:c>
      <x:c r="M29" s="37" t="str">
        <x:f>IF(A29="","",K29-L29)</x:f>
      </x:c>
      <x:c r="N29" s="37" t="str">
        <x:f>IF(A29="","",IF(ISNUMBER(J29),M29*J29,"Cost missing"))</x:f>
      </x:c>
      <x:c r="O29" s="42" t="str">
        <x:f>IF(A29="","",IF(COUNTIFS('Items'!$A$6:$A$105,B29)=1,VLOOKUP(B29,'Items'!$A$6:$C$105,3,FALSE),"Unknown item"))</x:f>
      </x:c>
      <x:c r="P29" s="42" t="str">
        <x:f>IF(A29="","",IF(COUNTIFS($A$6:$A$105,A29)&lt;&gt;1,"Duplicate ID",IF(OR(O29="Unknown item",NOT(ISNUMBER(J29))),"Item/cost incomplete",IF(M29&lt;0,"Negative stock",IF(AND(E29="Purchased",G29&lt;=0),"Quantity required","OK")))))</x:f>
      </x:c>
    </x:row>
    <x:row r="30" ht="23" customHeight="1">
      <x:c r="A30" s="36"/>
      <x:c r="B30" s="36"/>
      <x:c r="C30" s="40"/>
      <x:c r="D30" s="36"/>
      <x:c r="E30" s="36"/>
      <x:c r="F30" s="36"/>
      <x:c r="G30" s="41"/>
      <x:c r="H30" s="41"/>
      <x:c r="I30" s="41"/>
      <x:c r="J30" s="37" t="str">
        <x:f>IF(A30="","",IF(E30="Manufactured",IF(COUNTIFS('Production'!$A$6:$A$105,F30)=1,IF(VLOOKUP(F30,'Production'!$A$6:$M$105,13,FALSE)="Closed",VLOOKUP(F30,'Production'!$A$6:$L$105,12,FALSE),"Pending close"),"Missing batch"),IF(AND(G30&gt;0,ISNUMBER(H30),ISNUMBER(I30)),(H30+I30)/G30,"Enter qty/cost")))</x:f>
      </x:c>
      <x:c r="K30" s="37" t="str">
        <x:f>IF(A30="","",SUMIFS('Stock Log'!$E$6:$E$205,'Stock Log'!$C$6:$C$205,A30,'Stock Log'!$B$6:$B$205,"&lt;="&amp;'Settings'!$B$7,'Stock Log'!$I$6:$I$205,"Approved"))</x:f>
      </x:c>
      <x:c r="L30" s="37" t="str">
        <x:f>IF(A30="","",SUMIFS('Stock Log'!$F$6:$F$205,'Stock Log'!$C$6:$C$205,A30,'Stock Log'!$B$6:$B$205,"&lt;="&amp;'Settings'!$B$7,'Stock Log'!$I$6:$I$205,"Approved"))</x:f>
      </x:c>
      <x:c r="M30" s="37" t="str">
        <x:f>IF(A30="","",K30-L30)</x:f>
      </x:c>
      <x:c r="N30" s="37" t="str">
        <x:f>IF(A30="","",IF(ISNUMBER(J30),M30*J30,"Cost missing"))</x:f>
      </x:c>
      <x:c r="O30" s="42" t="str">
        <x:f>IF(A30="","",IF(COUNTIFS('Items'!$A$6:$A$105,B30)=1,VLOOKUP(B30,'Items'!$A$6:$C$105,3,FALSE),"Unknown item"))</x:f>
      </x:c>
      <x:c r="P30" s="42" t="str">
        <x:f>IF(A30="","",IF(COUNTIFS($A$6:$A$105,A30)&lt;&gt;1,"Duplicate ID",IF(OR(O30="Unknown item",NOT(ISNUMBER(J30))),"Item/cost incomplete",IF(M30&lt;0,"Negative stock",IF(AND(E30="Purchased",G30&lt;=0),"Quantity required","OK")))))</x:f>
      </x:c>
    </x:row>
    <x:row r="31" ht="23" customHeight="1">
      <x:c r="A31" s="36"/>
      <x:c r="B31" s="36"/>
      <x:c r="C31" s="40"/>
      <x:c r="D31" s="36"/>
      <x:c r="E31" s="36"/>
      <x:c r="F31" s="36"/>
      <x:c r="G31" s="41"/>
      <x:c r="H31" s="41"/>
      <x:c r="I31" s="41"/>
      <x:c r="J31" s="37" t="str">
        <x:f>IF(A31="","",IF(E31="Manufactured",IF(COUNTIFS('Production'!$A$6:$A$105,F31)=1,IF(VLOOKUP(F31,'Production'!$A$6:$M$105,13,FALSE)="Closed",VLOOKUP(F31,'Production'!$A$6:$L$105,12,FALSE),"Pending close"),"Missing batch"),IF(AND(G31&gt;0,ISNUMBER(H31),ISNUMBER(I31)),(H31+I31)/G31,"Enter qty/cost")))</x:f>
      </x:c>
      <x:c r="K31" s="37" t="str">
        <x:f>IF(A31="","",SUMIFS('Stock Log'!$E$6:$E$205,'Stock Log'!$C$6:$C$205,A31,'Stock Log'!$B$6:$B$205,"&lt;="&amp;'Settings'!$B$7,'Stock Log'!$I$6:$I$205,"Approved"))</x:f>
      </x:c>
      <x:c r="L31" s="37" t="str">
        <x:f>IF(A31="","",SUMIFS('Stock Log'!$F$6:$F$205,'Stock Log'!$C$6:$C$205,A31,'Stock Log'!$B$6:$B$205,"&lt;="&amp;'Settings'!$B$7,'Stock Log'!$I$6:$I$205,"Approved"))</x:f>
      </x:c>
      <x:c r="M31" s="37" t="str">
        <x:f>IF(A31="","",K31-L31)</x:f>
      </x:c>
      <x:c r="N31" s="37" t="str">
        <x:f>IF(A31="","",IF(ISNUMBER(J31),M31*J31,"Cost missing"))</x:f>
      </x:c>
      <x:c r="O31" s="42" t="str">
        <x:f>IF(A31="","",IF(COUNTIFS('Items'!$A$6:$A$105,B31)=1,VLOOKUP(B31,'Items'!$A$6:$C$105,3,FALSE),"Unknown item"))</x:f>
      </x:c>
      <x:c r="P31" s="42" t="str">
        <x:f>IF(A31="","",IF(COUNTIFS($A$6:$A$105,A31)&lt;&gt;1,"Duplicate ID",IF(OR(O31="Unknown item",NOT(ISNUMBER(J31))),"Item/cost incomplete",IF(M31&lt;0,"Negative stock",IF(AND(E31="Purchased",G31&lt;=0),"Quantity required","OK")))))</x:f>
      </x:c>
    </x:row>
    <x:row r="32" ht="23" customHeight="1">
      <x:c r="A32" s="36"/>
      <x:c r="B32" s="36"/>
      <x:c r="C32" s="40"/>
      <x:c r="D32" s="36"/>
      <x:c r="E32" s="36"/>
      <x:c r="F32" s="36"/>
      <x:c r="G32" s="41"/>
      <x:c r="H32" s="41"/>
      <x:c r="I32" s="41"/>
      <x:c r="J32" s="37" t="str">
        <x:f>IF(A32="","",IF(E32="Manufactured",IF(COUNTIFS('Production'!$A$6:$A$105,F32)=1,IF(VLOOKUP(F32,'Production'!$A$6:$M$105,13,FALSE)="Closed",VLOOKUP(F32,'Production'!$A$6:$L$105,12,FALSE),"Pending close"),"Missing batch"),IF(AND(G32&gt;0,ISNUMBER(H32),ISNUMBER(I32)),(H32+I32)/G32,"Enter qty/cost")))</x:f>
      </x:c>
      <x:c r="K32" s="37" t="str">
        <x:f>IF(A32="","",SUMIFS('Stock Log'!$E$6:$E$205,'Stock Log'!$C$6:$C$205,A32,'Stock Log'!$B$6:$B$205,"&lt;="&amp;'Settings'!$B$7,'Stock Log'!$I$6:$I$205,"Approved"))</x:f>
      </x:c>
      <x:c r="L32" s="37" t="str">
        <x:f>IF(A32="","",SUMIFS('Stock Log'!$F$6:$F$205,'Stock Log'!$C$6:$C$205,A32,'Stock Log'!$B$6:$B$205,"&lt;="&amp;'Settings'!$B$7,'Stock Log'!$I$6:$I$205,"Approved"))</x:f>
      </x:c>
      <x:c r="M32" s="37" t="str">
        <x:f>IF(A32="","",K32-L32)</x:f>
      </x:c>
      <x:c r="N32" s="37" t="str">
        <x:f>IF(A32="","",IF(ISNUMBER(J32),M32*J32,"Cost missing"))</x:f>
      </x:c>
      <x:c r="O32" s="42" t="str">
        <x:f>IF(A32="","",IF(COUNTIFS('Items'!$A$6:$A$105,B32)=1,VLOOKUP(B32,'Items'!$A$6:$C$105,3,FALSE),"Unknown item"))</x:f>
      </x:c>
      <x:c r="P32" s="42" t="str">
        <x:f>IF(A32="","",IF(COUNTIFS($A$6:$A$105,A32)&lt;&gt;1,"Duplicate ID",IF(OR(O32="Unknown item",NOT(ISNUMBER(J32))),"Item/cost incomplete",IF(M32&lt;0,"Negative stock",IF(AND(E32="Purchased",G32&lt;=0),"Quantity required","OK")))))</x:f>
      </x:c>
    </x:row>
    <x:row r="33" ht="23" customHeight="1">
      <x:c r="A33" s="36"/>
      <x:c r="B33" s="36"/>
      <x:c r="C33" s="40"/>
      <x:c r="D33" s="36"/>
      <x:c r="E33" s="36"/>
      <x:c r="F33" s="36"/>
      <x:c r="G33" s="41"/>
      <x:c r="H33" s="41"/>
      <x:c r="I33" s="41"/>
      <x:c r="J33" s="37" t="str">
        <x:f>IF(A33="","",IF(E33="Manufactured",IF(COUNTIFS('Production'!$A$6:$A$105,F33)=1,IF(VLOOKUP(F33,'Production'!$A$6:$M$105,13,FALSE)="Closed",VLOOKUP(F33,'Production'!$A$6:$L$105,12,FALSE),"Pending close"),"Missing batch"),IF(AND(G33&gt;0,ISNUMBER(H33),ISNUMBER(I33)),(H33+I33)/G33,"Enter qty/cost")))</x:f>
      </x:c>
      <x:c r="K33" s="37" t="str">
        <x:f>IF(A33="","",SUMIFS('Stock Log'!$E$6:$E$205,'Stock Log'!$C$6:$C$205,A33,'Stock Log'!$B$6:$B$205,"&lt;="&amp;'Settings'!$B$7,'Stock Log'!$I$6:$I$205,"Approved"))</x:f>
      </x:c>
      <x:c r="L33" s="37" t="str">
        <x:f>IF(A33="","",SUMIFS('Stock Log'!$F$6:$F$205,'Stock Log'!$C$6:$C$205,A33,'Stock Log'!$B$6:$B$205,"&lt;="&amp;'Settings'!$B$7,'Stock Log'!$I$6:$I$205,"Approved"))</x:f>
      </x:c>
      <x:c r="M33" s="37" t="str">
        <x:f>IF(A33="","",K33-L33)</x:f>
      </x:c>
      <x:c r="N33" s="37" t="str">
        <x:f>IF(A33="","",IF(ISNUMBER(J33),M33*J33,"Cost missing"))</x:f>
      </x:c>
      <x:c r="O33" s="42" t="str">
        <x:f>IF(A33="","",IF(COUNTIFS('Items'!$A$6:$A$105,B33)=1,VLOOKUP(B33,'Items'!$A$6:$C$105,3,FALSE),"Unknown item"))</x:f>
      </x:c>
      <x:c r="P33" s="42" t="str">
        <x:f>IF(A33="","",IF(COUNTIFS($A$6:$A$105,A33)&lt;&gt;1,"Duplicate ID",IF(OR(O33="Unknown item",NOT(ISNUMBER(J33))),"Item/cost incomplete",IF(M33&lt;0,"Negative stock",IF(AND(E33="Purchased",G33&lt;=0),"Quantity required","OK")))))</x:f>
      </x:c>
    </x:row>
    <x:row r="34" ht="23" customHeight="1">
      <x:c r="A34" s="36"/>
      <x:c r="B34" s="36"/>
      <x:c r="C34" s="40"/>
      <x:c r="D34" s="36"/>
      <x:c r="E34" s="36"/>
      <x:c r="F34" s="36"/>
      <x:c r="G34" s="41"/>
      <x:c r="H34" s="41"/>
      <x:c r="I34" s="41"/>
      <x:c r="J34" s="37" t="str">
        <x:f>IF(A34="","",IF(E34="Manufactured",IF(COUNTIFS('Production'!$A$6:$A$105,F34)=1,IF(VLOOKUP(F34,'Production'!$A$6:$M$105,13,FALSE)="Closed",VLOOKUP(F34,'Production'!$A$6:$L$105,12,FALSE),"Pending close"),"Missing batch"),IF(AND(G34&gt;0,ISNUMBER(H34),ISNUMBER(I34)),(H34+I34)/G34,"Enter qty/cost")))</x:f>
      </x:c>
      <x:c r="K34" s="37" t="str">
        <x:f>IF(A34="","",SUMIFS('Stock Log'!$E$6:$E$205,'Stock Log'!$C$6:$C$205,A34,'Stock Log'!$B$6:$B$205,"&lt;="&amp;'Settings'!$B$7,'Stock Log'!$I$6:$I$205,"Approved"))</x:f>
      </x:c>
      <x:c r="L34" s="37" t="str">
        <x:f>IF(A34="","",SUMIFS('Stock Log'!$F$6:$F$205,'Stock Log'!$C$6:$C$205,A34,'Stock Log'!$B$6:$B$205,"&lt;="&amp;'Settings'!$B$7,'Stock Log'!$I$6:$I$205,"Approved"))</x:f>
      </x:c>
      <x:c r="M34" s="37" t="str">
        <x:f>IF(A34="","",K34-L34)</x:f>
      </x:c>
      <x:c r="N34" s="37" t="str">
        <x:f>IF(A34="","",IF(ISNUMBER(J34),M34*J34,"Cost missing"))</x:f>
      </x:c>
      <x:c r="O34" s="42" t="str">
        <x:f>IF(A34="","",IF(COUNTIFS('Items'!$A$6:$A$105,B34)=1,VLOOKUP(B34,'Items'!$A$6:$C$105,3,FALSE),"Unknown item"))</x:f>
      </x:c>
      <x:c r="P34" s="42" t="str">
        <x:f>IF(A34="","",IF(COUNTIFS($A$6:$A$105,A34)&lt;&gt;1,"Duplicate ID",IF(OR(O34="Unknown item",NOT(ISNUMBER(J34))),"Item/cost incomplete",IF(M34&lt;0,"Negative stock",IF(AND(E34="Purchased",G34&lt;=0),"Quantity required","OK")))))</x:f>
      </x:c>
    </x:row>
    <x:row r="35" ht="23" customHeight="1">
      <x:c r="A35" s="36"/>
      <x:c r="B35" s="36"/>
      <x:c r="C35" s="40"/>
      <x:c r="D35" s="36"/>
      <x:c r="E35" s="36"/>
      <x:c r="F35" s="36"/>
      <x:c r="G35" s="41"/>
      <x:c r="H35" s="41"/>
      <x:c r="I35" s="41"/>
      <x:c r="J35" s="37" t="str">
        <x:f>IF(A35="","",IF(E35="Manufactured",IF(COUNTIFS('Production'!$A$6:$A$105,F35)=1,IF(VLOOKUP(F35,'Production'!$A$6:$M$105,13,FALSE)="Closed",VLOOKUP(F35,'Production'!$A$6:$L$105,12,FALSE),"Pending close"),"Missing batch"),IF(AND(G35&gt;0,ISNUMBER(H35),ISNUMBER(I35)),(H35+I35)/G35,"Enter qty/cost")))</x:f>
      </x:c>
      <x:c r="K35" s="37" t="str">
        <x:f>IF(A35="","",SUMIFS('Stock Log'!$E$6:$E$205,'Stock Log'!$C$6:$C$205,A35,'Stock Log'!$B$6:$B$205,"&lt;="&amp;'Settings'!$B$7,'Stock Log'!$I$6:$I$205,"Approved"))</x:f>
      </x:c>
      <x:c r="L35" s="37" t="str">
        <x:f>IF(A35="","",SUMIFS('Stock Log'!$F$6:$F$205,'Stock Log'!$C$6:$C$205,A35,'Stock Log'!$B$6:$B$205,"&lt;="&amp;'Settings'!$B$7,'Stock Log'!$I$6:$I$205,"Approved"))</x:f>
      </x:c>
      <x:c r="M35" s="37" t="str">
        <x:f>IF(A35="","",K35-L35)</x:f>
      </x:c>
      <x:c r="N35" s="37" t="str">
        <x:f>IF(A35="","",IF(ISNUMBER(J35),M35*J35,"Cost missing"))</x:f>
      </x:c>
      <x:c r="O35" s="42" t="str">
        <x:f>IF(A35="","",IF(COUNTIFS('Items'!$A$6:$A$105,B35)=1,VLOOKUP(B35,'Items'!$A$6:$C$105,3,FALSE),"Unknown item"))</x:f>
      </x:c>
      <x:c r="P35" s="42" t="str">
        <x:f>IF(A35="","",IF(COUNTIFS($A$6:$A$105,A35)&lt;&gt;1,"Duplicate ID",IF(OR(O35="Unknown item",NOT(ISNUMBER(J35))),"Item/cost incomplete",IF(M35&lt;0,"Negative stock",IF(AND(E35="Purchased",G35&lt;=0),"Quantity required","OK")))))</x:f>
      </x:c>
    </x:row>
    <x:row r="36" ht="23" customHeight="1">
      <x:c r="A36" s="36"/>
      <x:c r="B36" s="36"/>
      <x:c r="C36" s="40"/>
      <x:c r="D36" s="36"/>
      <x:c r="E36" s="36"/>
      <x:c r="F36" s="36"/>
      <x:c r="G36" s="41"/>
      <x:c r="H36" s="41"/>
      <x:c r="I36" s="41"/>
      <x:c r="J36" s="37" t="str">
        <x:f>IF(A36="","",IF(E36="Manufactured",IF(COUNTIFS('Production'!$A$6:$A$105,F36)=1,IF(VLOOKUP(F36,'Production'!$A$6:$M$105,13,FALSE)="Closed",VLOOKUP(F36,'Production'!$A$6:$L$105,12,FALSE),"Pending close"),"Missing batch"),IF(AND(G36&gt;0,ISNUMBER(H36),ISNUMBER(I36)),(H36+I36)/G36,"Enter qty/cost")))</x:f>
      </x:c>
      <x:c r="K36" s="37" t="str">
        <x:f>IF(A36="","",SUMIFS('Stock Log'!$E$6:$E$205,'Stock Log'!$C$6:$C$205,A36,'Stock Log'!$B$6:$B$205,"&lt;="&amp;'Settings'!$B$7,'Stock Log'!$I$6:$I$205,"Approved"))</x:f>
      </x:c>
      <x:c r="L36" s="37" t="str">
        <x:f>IF(A36="","",SUMIFS('Stock Log'!$F$6:$F$205,'Stock Log'!$C$6:$C$205,A36,'Stock Log'!$B$6:$B$205,"&lt;="&amp;'Settings'!$B$7,'Stock Log'!$I$6:$I$205,"Approved"))</x:f>
      </x:c>
      <x:c r="M36" s="37" t="str">
        <x:f>IF(A36="","",K36-L36)</x:f>
      </x:c>
      <x:c r="N36" s="37" t="str">
        <x:f>IF(A36="","",IF(ISNUMBER(J36),M36*J36,"Cost missing"))</x:f>
      </x:c>
      <x:c r="O36" s="42" t="str">
        <x:f>IF(A36="","",IF(COUNTIFS('Items'!$A$6:$A$105,B36)=1,VLOOKUP(B36,'Items'!$A$6:$C$105,3,FALSE),"Unknown item"))</x:f>
      </x:c>
      <x:c r="P36" s="42" t="str">
        <x:f>IF(A36="","",IF(COUNTIFS($A$6:$A$105,A36)&lt;&gt;1,"Duplicate ID",IF(OR(O36="Unknown item",NOT(ISNUMBER(J36))),"Item/cost incomplete",IF(M36&lt;0,"Negative stock",IF(AND(E36="Purchased",G36&lt;=0),"Quantity required","OK")))))</x:f>
      </x:c>
    </x:row>
    <x:row r="37" ht="23" customHeight="1">
      <x:c r="A37" s="36"/>
      <x:c r="B37" s="36"/>
      <x:c r="C37" s="40"/>
      <x:c r="D37" s="36"/>
      <x:c r="E37" s="36"/>
      <x:c r="F37" s="36"/>
      <x:c r="G37" s="41"/>
      <x:c r="H37" s="41"/>
      <x:c r="I37" s="41"/>
      <x:c r="J37" s="37" t="str">
        <x:f>IF(A37="","",IF(E37="Manufactured",IF(COUNTIFS('Production'!$A$6:$A$105,F37)=1,IF(VLOOKUP(F37,'Production'!$A$6:$M$105,13,FALSE)="Closed",VLOOKUP(F37,'Production'!$A$6:$L$105,12,FALSE),"Pending close"),"Missing batch"),IF(AND(G37&gt;0,ISNUMBER(H37),ISNUMBER(I37)),(H37+I37)/G37,"Enter qty/cost")))</x:f>
      </x:c>
      <x:c r="K37" s="37" t="str">
        <x:f>IF(A37="","",SUMIFS('Stock Log'!$E$6:$E$205,'Stock Log'!$C$6:$C$205,A37,'Stock Log'!$B$6:$B$205,"&lt;="&amp;'Settings'!$B$7,'Stock Log'!$I$6:$I$205,"Approved"))</x:f>
      </x:c>
      <x:c r="L37" s="37" t="str">
        <x:f>IF(A37="","",SUMIFS('Stock Log'!$F$6:$F$205,'Stock Log'!$C$6:$C$205,A37,'Stock Log'!$B$6:$B$205,"&lt;="&amp;'Settings'!$B$7,'Stock Log'!$I$6:$I$205,"Approved"))</x:f>
      </x:c>
      <x:c r="M37" s="37" t="str">
        <x:f>IF(A37="","",K37-L37)</x:f>
      </x:c>
      <x:c r="N37" s="37" t="str">
        <x:f>IF(A37="","",IF(ISNUMBER(J37),M37*J37,"Cost missing"))</x:f>
      </x:c>
      <x:c r="O37" s="42" t="str">
        <x:f>IF(A37="","",IF(COUNTIFS('Items'!$A$6:$A$105,B37)=1,VLOOKUP(B37,'Items'!$A$6:$C$105,3,FALSE),"Unknown item"))</x:f>
      </x:c>
      <x:c r="P37" s="42" t="str">
        <x:f>IF(A37="","",IF(COUNTIFS($A$6:$A$105,A37)&lt;&gt;1,"Duplicate ID",IF(OR(O37="Unknown item",NOT(ISNUMBER(J37))),"Item/cost incomplete",IF(M37&lt;0,"Negative stock",IF(AND(E37="Purchased",G37&lt;=0),"Quantity required","OK")))))</x:f>
      </x:c>
    </x:row>
    <x:row r="38" ht="23" customHeight="1">
      <x:c r="A38" s="36"/>
      <x:c r="B38" s="36"/>
      <x:c r="C38" s="40"/>
      <x:c r="D38" s="36"/>
      <x:c r="E38" s="36"/>
      <x:c r="F38" s="36"/>
      <x:c r="G38" s="41"/>
      <x:c r="H38" s="41"/>
      <x:c r="I38" s="41"/>
      <x:c r="J38" s="37" t="str">
        <x:f>IF(A38="","",IF(E38="Manufactured",IF(COUNTIFS('Production'!$A$6:$A$105,F38)=1,IF(VLOOKUP(F38,'Production'!$A$6:$M$105,13,FALSE)="Closed",VLOOKUP(F38,'Production'!$A$6:$L$105,12,FALSE),"Pending close"),"Missing batch"),IF(AND(G38&gt;0,ISNUMBER(H38),ISNUMBER(I38)),(H38+I38)/G38,"Enter qty/cost")))</x:f>
      </x:c>
      <x:c r="K38" s="37" t="str">
        <x:f>IF(A38="","",SUMIFS('Stock Log'!$E$6:$E$205,'Stock Log'!$C$6:$C$205,A38,'Stock Log'!$B$6:$B$205,"&lt;="&amp;'Settings'!$B$7,'Stock Log'!$I$6:$I$205,"Approved"))</x:f>
      </x:c>
      <x:c r="L38" s="37" t="str">
        <x:f>IF(A38="","",SUMIFS('Stock Log'!$F$6:$F$205,'Stock Log'!$C$6:$C$205,A38,'Stock Log'!$B$6:$B$205,"&lt;="&amp;'Settings'!$B$7,'Stock Log'!$I$6:$I$205,"Approved"))</x:f>
      </x:c>
      <x:c r="M38" s="37" t="str">
        <x:f>IF(A38="","",K38-L38)</x:f>
      </x:c>
      <x:c r="N38" s="37" t="str">
        <x:f>IF(A38="","",IF(ISNUMBER(J38),M38*J38,"Cost missing"))</x:f>
      </x:c>
      <x:c r="O38" s="42" t="str">
        <x:f>IF(A38="","",IF(COUNTIFS('Items'!$A$6:$A$105,B38)=1,VLOOKUP(B38,'Items'!$A$6:$C$105,3,FALSE),"Unknown item"))</x:f>
      </x:c>
      <x:c r="P38" s="42" t="str">
        <x:f>IF(A38="","",IF(COUNTIFS($A$6:$A$105,A38)&lt;&gt;1,"Duplicate ID",IF(OR(O38="Unknown item",NOT(ISNUMBER(J38))),"Item/cost incomplete",IF(M38&lt;0,"Negative stock",IF(AND(E38="Purchased",G38&lt;=0),"Quantity required","OK")))))</x:f>
      </x:c>
    </x:row>
    <x:row r="39" ht="23" customHeight="1">
      <x:c r="A39" s="36"/>
      <x:c r="B39" s="36"/>
      <x:c r="C39" s="40"/>
      <x:c r="D39" s="36"/>
      <x:c r="E39" s="36"/>
      <x:c r="F39" s="36"/>
      <x:c r="G39" s="41"/>
      <x:c r="H39" s="41"/>
      <x:c r="I39" s="41"/>
      <x:c r="J39" s="37" t="str">
        <x:f>IF(A39="","",IF(E39="Manufactured",IF(COUNTIFS('Production'!$A$6:$A$105,F39)=1,IF(VLOOKUP(F39,'Production'!$A$6:$M$105,13,FALSE)="Closed",VLOOKUP(F39,'Production'!$A$6:$L$105,12,FALSE),"Pending close"),"Missing batch"),IF(AND(G39&gt;0,ISNUMBER(H39),ISNUMBER(I39)),(H39+I39)/G39,"Enter qty/cost")))</x:f>
      </x:c>
      <x:c r="K39" s="37" t="str">
        <x:f>IF(A39="","",SUMIFS('Stock Log'!$E$6:$E$205,'Stock Log'!$C$6:$C$205,A39,'Stock Log'!$B$6:$B$205,"&lt;="&amp;'Settings'!$B$7,'Stock Log'!$I$6:$I$205,"Approved"))</x:f>
      </x:c>
      <x:c r="L39" s="37" t="str">
        <x:f>IF(A39="","",SUMIFS('Stock Log'!$F$6:$F$205,'Stock Log'!$C$6:$C$205,A39,'Stock Log'!$B$6:$B$205,"&lt;="&amp;'Settings'!$B$7,'Stock Log'!$I$6:$I$205,"Approved"))</x:f>
      </x:c>
      <x:c r="M39" s="37" t="str">
        <x:f>IF(A39="","",K39-L39)</x:f>
      </x:c>
      <x:c r="N39" s="37" t="str">
        <x:f>IF(A39="","",IF(ISNUMBER(J39),M39*J39,"Cost missing"))</x:f>
      </x:c>
      <x:c r="O39" s="42" t="str">
        <x:f>IF(A39="","",IF(COUNTIFS('Items'!$A$6:$A$105,B39)=1,VLOOKUP(B39,'Items'!$A$6:$C$105,3,FALSE),"Unknown item"))</x:f>
      </x:c>
      <x:c r="P39" s="42" t="str">
        <x:f>IF(A39="","",IF(COUNTIFS($A$6:$A$105,A39)&lt;&gt;1,"Duplicate ID",IF(OR(O39="Unknown item",NOT(ISNUMBER(J39))),"Item/cost incomplete",IF(M39&lt;0,"Negative stock",IF(AND(E39="Purchased",G39&lt;=0),"Quantity required","OK")))))</x:f>
      </x:c>
    </x:row>
    <x:row r="40" ht="23" customHeight="1">
      <x:c r="A40" s="36"/>
      <x:c r="B40" s="36"/>
      <x:c r="C40" s="40"/>
      <x:c r="D40" s="36"/>
      <x:c r="E40" s="36"/>
      <x:c r="F40" s="36"/>
      <x:c r="G40" s="41"/>
      <x:c r="H40" s="41"/>
      <x:c r="I40" s="41"/>
      <x:c r="J40" s="37" t="str">
        <x:f>IF(A40="","",IF(E40="Manufactured",IF(COUNTIFS('Production'!$A$6:$A$105,F40)=1,IF(VLOOKUP(F40,'Production'!$A$6:$M$105,13,FALSE)="Closed",VLOOKUP(F40,'Production'!$A$6:$L$105,12,FALSE),"Pending close"),"Missing batch"),IF(AND(G40&gt;0,ISNUMBER(H40),ISNUMBER(I40)),(H40+I40)/G40,"Enter qty/cost")))</x:f>
      </x:c>
      <x:c r="K40" s="37" t="str">
        <x:f>IF(A40="","",SUMIFS('Stock Log'!$E$6:$E$205,'Stock Log'!$C$6:$C$205,A40,'Stock Log'!$B$6:$B$205,"&lt;="&amp;'Settings'!$B$7,'Stock Log'!$I$6:$I$205,"Approved"))</x:f>
      </x:c>
      <x:c r="L40" s="37" t="str">
        <x:f>IF(A40="","",SUMIFS('Stock Log'!$F$6:$F$205,'Stock Log'!$C$6:$C$205,A40,'Stock Log'!$B$6:$B$205,"&lt;="&amp;'Settings'!$B$7,'Stock Log'!$I$6:$I$205,"Approved"))</x:f>
      </x:c>
      <x:c r="M40" s="37" t="str">
        <x:f>IF(A40="","",K40-L40)</x:f>
      </x:c>
      <x:c r="N40" s="37" t="str">
        <x:f>IF(A40="","",IF(ISNUMBER(J40),M40*J40,"Cost missing"))</x:f>
      </x:c>
      <x:c r="O40" s="42" t="str">
        <x:f>IF(A40="","",IF(COUNTIFS('Items'!$A$6:$A$105,B40)=1,VLOOKUP(B40,'Items'!$A$6:$C$105,3,FALSE),"Unknown item"))</x:f>
      </x:c>
      <x:c r="P40" s="42" t="str">
        <x:f>IF(A40="","",IF(COUNTIFS($A$6:$A$105,A40)&lt;&gt;1,"Duplicate ID",IF(OR(O40="Unknown item",NOT(ISNUMBER(J40))),"Item/cost incomplete",IF(M40&lt;0,"Negative stock",IF(AND(E40="Purchased",G40&lt;=0),"Quantity required","OK")))))</x:f>
      </x:c>
    </x:row>
    <x:row r="41" ht="23" customHeight="1">
      <x:c r="A41" s="36"/>
      <x:c r="B41" s="36"/>
      <x:c r="C41" s="40"/>
      <x:c r="D41" s="36"/>
      <x:c r="E41" s="36"/>
      <x:c r="F41" s="36"/>
      <x:c r="G41" s="41"/>
      <x:c r="H41" s="41"/>
      <x:c r="I41" s="41"/>
      <x:c r="J41" s="37" t="str">
        <x:f>IF(A41="","",IF(E41="Manufactured",IF(COUNTIFS('Production'!$A$6:$A$105,F41)=1,IF(VLOOKUP(F41,'Production'!$A$6:$M$105,13,FALSE)="Closed",VLOOKUP(F41,'Production'!$A$6:$L$105,12,FALSE),"Pending close"),"Missing batch"),IF(AND(G41&gt;0,ISNUMBER(H41),ISNUMBER(I41)),(H41+I41)/G41,"Enter qty/cost")))</x:f>
      </x:c>
      <x:c r="K41" s="37" t="str">
        <x:f>IF(A41="","",SUMIFS('Stock Log'!$E$6:$E$205,'Stock Log'!$C$6:$C$205,A41,'Stock Log'!$B$6:$B$205,"&lt;="&amp;'Settings'!$B$7,'Stock Log'!$I$6:$I$205,"Approved"))</x:f>
      </x:c>
      <x:c r="L41" s="37" t="str">
        <x:f>IF(A41="","",SUMIFS('Stock Log'!$F$6:$F$205,'Stock Log'!$C$6:$C$205,A41,'Stock Log'!$B$6:$B$205,"&lt;="&amp;'Settings'!$B$7,'Stock Log'!$I$6:$I$205,"Approved"))</x:f>
      </x:c>
      <x:c r="M41" s="37" t="str">
        <x:f>IF(A41="","",K41-L41)</x:f>
      </x:c>
      <x:c r="N41" s="37" t="str">
        <x:f>IF(A41="","",IF(ISNUMBER(J41),M41*J41,"Cost missing"))</x:f>
      </x:c>
      <x:c r="O41" s="42" t="str">
        <x:f>IF(A41="","",IF(COUNTIFS('Items'!$A$6:$A$105,B41)=1,VLOOKUP(B41,'Items'!$A$6:$C$105,3,FALSE),"Unknown item"))</x:f>
      </x:c>
      <x:c r="P41" s="42" t="str">
        <x:f>IF(A41="","",IF(COUNTIFS($A$6:$A$105,A41)&lt;&gt;1,"Duplicate ID",IF(OR(O41="Unknown item",NOT(ISNUMBER(J41))),"Item/cost incomplete",IF(M41&lt;0,"Negative stock",IF(AND(E41="Purchased",G41&lt;=0),"Quantity required","OK")))))</x:f>
      </x:c>
    </x:row>
    <x:row r="42" ht="23" customHeight="1">
      <x:c r="A42" s="36"/>
      <x:c r="B42" s="36"/>
      <x:c r="C42" s="40"/>
      <x:c r="D42" s="36"/>
      <x:c r="E42" s="36"/>
      <x:c r="F42" s="36"/>
      <x:c r="G42" s="41"/>
      <x:c r="H42" s="41"/>
      <x:c r="I42" s="41"/>
      <x:c r="J42" s="37" t="str">
        <x:f>IF(A42="","",IF(E42="Manufactured",IF(COUNTIFS('Production'!$A$6:$A$105,F42)=1,IF(VLOOKUP(F42,'Production'!$A$6:$M$105,13,FALSE)="Closed",VLOOKUP(F42,'Production'!$A$6:$L$105,12,FALSE),"Pending close"),"Missing batch"),IF(AND(G42&gt;0,ISNUMBER(H42),ISNUMBER(I42)),(H42+I42)/G42,"Enter qty/cost")))</x:f>
      </x:c>
      <x:c r="K42" s="37" t="str">
        <x:f>IF(A42="","",SUMIFS('Stock Log'!$E$6:$E$205,'Stock Log'!$C$6:$C$205,A42,'Stock Log'!$B$6:$B$205,"&lt;="&amp;'Settings'!$B$7,'Stock Log'!$I$6:$I$205,"Approved"))</x:f>
      </x:c>
      <x:c r="L42" s="37" t="str">
        <x:f>IF(A42="","",SUMIFS('Stock Log'!$F$6:$F$205,'Stock Log'!$C$6:$C$205,A42,'Stock Log'!$B$6:$B$205,"&lt;="&amp;'Settings'!$B$7,'Stock Log'!$I$6:$I$205,"Approved"))</x:f>
      </x:c>
      <x:c r="M42" s="37" t="str">
        <x:f>IF(A42="","",K42-L42)</x:f>
      </x:c>
      <x:c r="N42" s="37" t="str">
        <x:f>IF(A42="","",IF(ISNUMBER(J42),M42*J42,"Cost missing"))</x:f>
      </x:c>
      <x:c r="O42" s="42" t="str">
        <x:f>IF(A42="","",IF(COUNTIFS('Items'!$A$6:$A$105,B42)=1,VLOOKUP(B42,'Items'!$A$6:$C$105,3,FALSE),"Unknown item"))</x:f>
      </x:c>
      <x:c r="P42" s="42" t="str">
        <x:f>IF(A42="","",IF(COUNTIFS($A$6:$A$105,A42)&lt;&gt;1,"Duplicate ID",IF(OR(O42="Unknown item",NOT(ISNUMBER(J42))),"Item/cost incomplete",IF(M42&lt;0,"Negative stock",IF(AND(E42="Purchased",G42&lt;=0),"Quantity required","OK")))))</x:f>
      </x:c>
    </x:row>
    <x:row r="43" ht="23" customHeight="1">
      <x:c r="A43" s="36"/>
      <x:c r="B43" s="36"/>
      <x:c r="C43" s="40"/>
      <x:c r="D43" s="36"/>
      <x:c r="E43" s="36"/>
      <x:c r="F43" s="36"/>
      <x:c r="G43" s="41"/>
      <x:c r="H43" s="41"/>
      <x:c r="I43" s="41"/>
      <x:c r="J43" s="37" t="str">
        <x:f>IF(A43="","",IF(E43="Manufactured",IF(COUNTIFS('Production'!$A$6:$A$105,F43)=1,IF(VLOOKUP(F43,'Production'!$A$6:$M$105,13,FALSE)="Closed",VLOOKUP(F43,'Production'!$A$6:$L$105,12,FALSE),"Pending close"),"Missing batch"),IF(AND(G43&gt;0,ISNUMBER(H43),ISNUMBER(I43)),(H43+I43)/G43,"Enter qty/cost")))</x:f>
      </x:c>
      <x:c r="K43" s="37" t="str">
        <x:f>IF(A43="","",SUMIFS('Stock Log'!$E$6:$E$205,'Stock Log'!$C$6:$C$205,A43,'Stock Log'!$B$6:$B$205,"&lt;="&amp;'Settings'!$B$7,'Stock Log'!$I$6:$I$205,"Approved"))</x:f>
      </x:c>
      <x:c r="L43" s="37" t="str">
        <x:f>IF(A43="","",SUMIFS('Stock Log'!$F$6:$F$205,'Stock Log'!$C$6:$C$205,A43,'Stock Log'!$B$6:$B$205,"&lt;="&amp;'Settings'!$B$7,'Stock Log'!$I$6:$I$205,"Approved"))</x:f>
      </x:c>
      <x:c r="M43" s="37" t="str">
        <x:f>IF(A43="","",K43-L43)</x:f>
      </x:c>
      <x:c r="N43" s="37" t="str">
        <x:f>IF(A43="","",IF(ISNUMBER(J43),M43*J43,"Cost missing"))</x:f>
      </x:c>
      <x:c r="O43" s="42" t="str">
        <x:f>IF(A43="","",IF(COUNTIFS('Items'!$A$6:$A$105,B43)=1,VLOOKUP(B43,'Items'!$A$6:$C$105,3,FALSE),"Unknown item"))</x:f>
      </x:c>
      <x:c r="P43" s="42" t="str">
        <x:f>IF(A43="","",IF(COUNTIFS($A$6:$A$105,A43)&lt;&gt;1,"Duplicate ID",IF(OR(O43="Unknown item",NOT(ISNUMBER(J43))),"Item/cost incomplete",IF(M43&lt;0,"Negative stock",IF(AND(E43="Purchased",G43&lt;=0),"Quantity required","OK")))))</x:f>
      </x:c>
    </x:row>
    <x:row r="44" ht="23" customHeight="1">
      <x:c r="A44" s="36"/>
      <x:c r="B44" s="36"/>
      <x:c r="C44" s="40"/>
      <x:c r="D44" s="36"/>
      <x:c r="E44" s="36"/>
      <x:c r="F44" s="36"/>
      <x:c r="G44" s="41"/>
      <x:c r="H44" s="41"/>
      <x:c r="I44" s="41"/>
      <x:c r="J44" s="37" t="str">
        <x:f>IF(A44="","",IF(E44="Manufactured",IF(COUNTIFS('Production'!$A$6:$A$105,F44)=1,IF(VLOOKUP(F44,'Production'!$A$6:$M$105,13,FALSE)="Closed",VLOOKUP(F44,'Production'!$A$6:$L$105,12,FALSE),"Pending close"),"Missing batch"),IF(AND(G44&gt;0,ISNUMBER(H44),ISNUMBER(I44)),(H44+I44)/G44,"Enter qty/cost")))</x:f>
      </x:c>
      <x:c r="K44" s="37" t="str">
        <x:f>IF(A44="","",SUMIFS('Stock Log'!$E$6:$E$205,'Stock Log'!$C$6:$C$205,A44,'Stock Log'!$B$6:$B$205,"&lt;="&amp;'Settings'!$B$7,'Stock Log'!$I$6:$I$205,"Approved"))</x:f>
      </x:c>
      <x:c r="L44" s="37" t="str">
        <x:f>IF(A44="","",SUMIFS('Stock Log'!$F$6:$F$205,'Stock Log'!$C$6:$C$205,A44,'Stock Log'!$B$6:$B$205,"&lt;="&amp;'Settings'!$B$7,'Stock Log'!$I$6:$I$205,"Approved"))</x:f>
      </x:c>
      <x:c r="M44" s="37" t="str">
        <x:f>IF(A44="","",K44-L44)</x:f>
      </x:c>
      <x:c r="N44" s="37" t="str">
        <x:f>IF(A44="","",IF(ISNUMBER(J44),M44*J44,"Cost missing"))</x:f>
      </x:c>
      <x:c r="O44" s="42" t="str">
        <x:f>IF(A44="","",IF(COUNTIFS('Items'!$A$6:$A$105,B44)=1,VLOOKUP(B44,'Items'!$A$6:$C$105,3,FALSE),"Unknown item"))</x:f>
      </x:c>
      <x:c r="P44" s="42" t="str">
        <x:f>IF(A44="","",IF(COUNTIFS($A$6:$A$105,A44)&lt;&gt;1,"Duplicate ID",IF(OR(O44="Unknown item",NOT(ISNUMBER(J44))),"Item/cost incomplete",IF(M44&lt;0,"Negative stock",IF(AND(E44="Purchased",G44&lt;=0),"Quantity required","OK")))))</x:f>
      </x:c>
    </x:row>
    <x:row r="45" ht="23" customHeight="1">
      <x:c r="A45" s="36"/>
      <x:c r="B45" s="36"/>
      <x:c r="C45" s="40"/>
      <x:c r="D45" s="36"/>
      <x:c r="E45" s="36"/>
      <x:c r="F45" s="36"/>
      <x:c r="G45" s="41"/>
      <x:c r="H45" s="41"/>
      <x:c r="I45" s="41"/>
      <x:c r="J45" s="37" t="str">
        <x:f>IF(A45="","",IF(E45="Manufactured",IF(COUNTIFS('Production'!$A$6:$A$105,F45)=1,IF(VLOOKUP(F45,'Production'!$A$6:$M$105,13,FALSE)="Closed",VLOOKUP(F45,'Production'!$A$6:$L$105,12,FALSE),"Pending close"),"Missing batch"),IF(AND(G45&gt;0,ISNUMBER(H45),ISNUMBER(I45)),(H45+I45)/G45,"Enter qty/cost")))</x:f>
      </x:c>
      <x:c r="K45" s="37" t="str">
        <x:f>IF(A45="","",SUMIFS('Stock Log'!$E$6:$E$205,'Stock Log'!$C$6:$C$205,A45,'Stock Log'!$B$6:$B$205,"&lt;="&amp;'Settings'!$B$7,'Stock Log'!$I$6:$I$205,"Approved"))</x:f>
      </x:c>
      <x:c r="L45" s="37" t="str">
        <x:f>IF(A45="","",SUMIFS('Stock Log'!$F$6:$F$205,'Stock Log'!$C$6:$C$205,A45,'Stock Log'!$B$6:$B$205,"&lt;="&amp;'Settings'!$B$7,'Stock Log'!$I$6:$I$205,"Approved"))</x:f>
      </x:c>
      <x:c r="M45" s="37" t="str">
        <x:f>IF(A45="","",K45-L45)</x:f>
      </x:c>
      <x:c r="N45" s="37" t="str">
        <x:f>IF(A45="","",IF(ISNUMBER(J45),M45*J45,"Cost missing"))</x:f>
      </x:c>
      <x:c r="O45" s="42" t="str">
        <x:f>IF(A45="","",IF(COUNTIFS('Items'!$A$6:$A$105,B45)=1,VLOOKUP(B45,'Items'!$A$6:$C$105,3,FALSE),"Unknown item"))</x:f>
      </x:c>
      <x:c r="P45" s="42" t="str">
        <x:f>IF(A45="","",IF(COUNTIFS($A$6:$A$105,A45)&lt;&gt;1,"Duplicate ID",IF(OR(O45="Unknown item",NOT(ISNUMBER(J45))),"Item/cost incomplete",IF(M45&lt;0,"Negative stock",IF(AND(E45="Purchased",G45&lt;=0),"Quantity required","OK")))))</x:f>
      </x:c>
    </x:row>
    <x:row r="46" ht="23" customHeight="1">
      <x:c r="A46" s="36"/>
      <x:c r="B46" s="36"/>
      <x:c r="C46" s="40"/>
      <x:c r="D46" s="36"/>
      <x:c r="E46" s="36"/>
      <x:c r="F46" s="36"/>
      <x:c r="G46" s="41"/>
      <x:c r="H46" s="41"/>
      <x:c r="I46" s="41"/>
      <x:c r="J46" s="37" t="str">
        <x:f>IF(A46="","",IF(E46="Manufactured",IF(COUNTIFS('Production'!$A$6:$A$105,F46)=1,IF(VLOOKUP(F46,'Production'!$A$6:$M$105,13,FALSE)="Closed",VLOOKUP(F46,'Production'!$A$6:$L$105,12,FALSE),"Pending close"),"Missing batch"),IF(AND(G46&gt;0,ISNUMBER(H46),ISNUMBER(I46)),(H46+I46)/G46,"Enter qty/cost")))</x:f>
      </x:c>
      <x:c r="K46" s="37" t="str">
        <x:f>IF(A46="","",SUMIFS('Stock Log'!$E$6:$E$205,'Stock Log'!$C$6:$C$205,A46,'Stock Log'!$B$6:$B$205,"&lt;="&amp;'Settings'!$B$7,'Stock Log'!$I$6:$I$205,"Approved"))</x:f>
      </x:c>
      <x:c r="L46" s="37" t="str">
        <x:f>IF(A46="","",SUMIFS('Stock Log'!$F$6:$F$205,'Stock Log'!$C$6:$C$205,A46,'Stock Log'!$B$6:$B$205,"&lt;="&amp;'Settings'!$B$7,'Stock Log'!$I$6:$I$205,"Approved"))</x:f>
      </x:c>
      <x:c r="M46" s="37" t="str">
        <x:f>IF(A46="","",K46-L46)</x:f>
      </x:c>
      <x:c r="N46" s="37" t="str">
        <x:f>IF(A46="","",IF(ISNUMBER(J46),M46*J46,"Cost missing"))</x:f>
      </x:c>
      <x:c r="O46" s="42" t="str">
        <x:f>IF(A46="","",IF(COUNTIFS('Items'!$A$6:$A$105,B46)=1,VLOOKUP(B46,'Items'!$A$6:$C$105,3,FALSE),"Unknown item"))</x:f>
      </x:c>
      <x:c r="P46" s="42" t="str">
        <x:f>IF(A46="","",IF(COUNTIFS($A$6:$A$105,A46)&lt;&gt;1,"Duplicate ID",IF(OR(O46="Unknown item",NOT(ISNUMBER(J46))),"Item/cost incomplete",IF(M46&lt;0,"Negative stock",IF(AND(E46="Purchased",G46&lt;=0),"Quantity required","OK")))))</x:f>
      </x:c>
    </x:row>
    <x:row r="47" ht="23" customHeight="1">
      <x:c r="A47" s="36"/>
      <x:c r="B47" s="36"/>
      <x:c r="C47" s="40"/>
      <x:c r="D47" s="36"/>
      <x:c r="E47" s="36"/>
      <x:c r="F47" s="36"/>
      <x:c r="G47" s="41"/>
      <x:c r="H47" s="41"/>
      <x:c r="I47" s="41"/>
      <x:c r="J47" s="37" t="str">
        <x:f>IF(A47="","",IF(E47="Manufactured",IF(COUNTIFS('Production'!$A$6:$A$105,F47)=1,IF(VLOOKUP(F47,'Production'!$A$6:$M$105,13,FALSE)="Closed",VLOOKUP(F47,'Production'!$A$6:$L$105,12,FALSE),"Pending close"),"Missing batch"),IF(AND(G47&gt;0,ISNUMBER(H47),ISNUMBER(I47)),(H47+I47)/G47,"Enter qty/cost")))</x:f>
      </x:c>
      <x:c r="K47" s="37" t="str">
        <x:f>IF(A47="","",SUMIFS('Stock Log'!$E$6:$E$205,'Stock Log'!$C$6:$C$205,A47,'Stock Log'!$B$6:$B$205,"&lt;="&amp;'Settings'!$B$7,'Stock Log'!$I$6:$I$205,"Approved"))</x:f>
      </x:c>
      <x:c r="L47" s="37" t="str">
        <x:f>IF(A47="","",SUMIFS('Stock Log'!$F$6:$F$205,'Stock Log'!$C$6:$C$205,A47,'Stock Log'!$B$6:$B$205,"&lt;="&amp;'Settings'!$B$7,'Stock Log'!$I$6:$I$205,"Approved"))</x:f>
      </x:c>
      <x:c r="M47" s="37" t="str">
        <x:f>IF(A47="","",K47-L47)</x:f>
      </x:c>
      <x:c r="N47" s="37" t="str">
        <x:f>IF(A47="","",IF(ISNUMBER(J47),M47*J47,"Cost missing"))</x:f>
      </x:c>
      <x:c r="O47" s="42" t="str">
        <x:f>IF(A47="","",IF(COUNTIFS('Items'!$A$6:$A$105,B47)=1,VLOOKUP(B47,'Items'!$A$6:$C$105,3,FALSE),"Unknown item"))</x:f>
      </x:c>
      <x:c r="P47" s="42" t="str">
        <x:f>IF(A47="","",IF(COUNTIFS($A$6:$A$105,A47)&lt;&gt;1,"Duplicate ID",IF(OR(O47="Unknown item",NOT(ISNUMBER(J47))),"Item/cost incomplete",IF(M47&lt;0,"Negative stock",IF(AND(E47="Purchased",G47&lt;=0),"Quantity required","OK")))))</x:f>
      </x:c>
    </x:row>
    <x:row r="48" ht="23" customHeight="1">
      <x:c r="A48" s="36"/>
      <x:c r="B48" s="36"/>
      <x:c r="C48" s="40"/>
      <x:c r="D48" s="36"/>
      <x:c r="E48" s="36"/>
      <x:c r="F48" s="36"/>
      <x:c r="G48" s="41"/>
      <x:c r="H48" s="41"/>
      <x:c r="I48" s="41"/>
      <x:c r="J48" s="37" t="str">
        <x:f>IF(A48="","",IF(E48="Manufactured",IF(COUNTIFS('Production'!$A$6:$A$105,F48)=1,IF(VLOOKUP(F48,'Production'!$A$6:$M$105,13,FALSE)="Closed",VLOOKUP(F48,'Production'!$A$6:$L$105,12,FALSE),"Pending close"),"Missing batch"),IF(AND(G48&gt;0,ISNUMBER(H48),ISNUMBER(I48)),(H48+I48)/G48,"Enter qty/cost")))</x:f>
      </x:c>
      <x:c r="K48" s="37" t="str">
        <x:f>IF(A48="","",SUMIFS('Stock Log'!$E$6:$E$205,'Stock Log'!$C$6:$C$205,A48,'Stock Log'!$B$6:$B$205,"&lt;="&amp;'Settings'!$B$7,'Stock Log'!$I$6:$I$205,"Approved"))</x:f>
      </x:c>
      <x:c r="L48" s="37" t="str">
        <x:f>IF(A48="","",SUMIFS('Stock Log'!$F$6:$F$205,'Stock Log'!$C$6:$C$205,A48,'Stock Log'!$B$6:$B$205,"&lt;="&amp;'Settings'!$B$7,'Stock Log'!$I$6:$I$205,"Approved"))</x:f>
      </x:c>
      <x:c r="M48" s="37" t="str">
        <x:f>IF(A48="","",K48-L48)</x:f>
      </x:c>
      <x:c r="N48" s="37" t="str">
        <x:f>IF(A48="","",IF(ISNUMBER(J48),M48*J48,"Cost missing"))</x:f>
      </x:c>
      <x:c r="O48" s="42" t="str">
        <x:f>IF(A48="","",IF(COUNTIFS('Items'!$A$6:$A$105,B48)=1,VLOOKUP(B48,'Items'!$A$6:$C$105,3,FALSE),"Unknown item"))</x:f>
      </x:c>
      <x:c r="P48" s="42" t="str">
        <x:f>IF(A48="","",IF(COUNTIFS($A$6:$A$105,A48)&lt;&gt;1,"Duplicate ID",IF(OR(O48="Unknown item",NOT(ISNUMBER(J48))),"Item/cost incomplete",IF(M48&lt;0,"Negative stock",IF(AND(E48="Purchased",G48&lt;=0),"Quantity required","OK")))))</x:f>
      </x:c>
    </x:row>
    <x:row r="49" ht="23" customHeight="1">
      <x:c r="A49" s="36"/>
      <x:c r="B49" s="36"/>
      <x:c r="C49" s="40"/>
      <x:c r="D49" s="36"/>
      <x:c r="E49" s="36"/>
      <x:c r="F49" s="36"/>
      <x:c r="G49" s="41"/>
      <x:c r="H49" s="41"/>
      <x:c r="I49" s="41"/>
      <x:c r="J49" s="37" t="str">
        <x:f>IF(A49="","",IF(E49="Manufactured",IF(COUNTIFS('Production'!$A$6:$A$105,F49)=1,IF(VLOOKUP(F49,'Production'!$A$6:$M$105,13,FALSE)="Closed",VLOOKUP(F49,'Production'!$A$6:$L$105,12,FALSE),"Pending close"),"Missing batch"),IF(AND(G49&gt;0,ISNUMBER(H49),ISNUMBER(I49)),(H49+I49)/G49,"Enter qty/cost")))</x:f>
      </x:c>
      <x:c r="K49" s="37" t="str">
        <x:f>IF(A49="","",SUMIFS('Stock Log'!$E$6:$E$205,'Stock Log'!$C$6:$C$205,A49,'Stock Log'!$B$6:$B$205,"&lt;="&amp;'Settings'!$B$7,'Stock Log'!$I$6:$I$205,"Approved"))</x:f>
      </x:c>
      <x:c r="L49" s="37" t="str">
        <x:f>IF(A49="","",SUMIFS('Stock Log'!$F$6:$F$205,'Stock Log'!$C$6:$C$205,A49,'Stock Log'!$B$6:$B$205,"&lt;="&amp;'Settings'!$B$7,'Stock Log'!$I$6:$I$205,"Approved"))</x:f>
      </x:c>
      <x:c r="M49" s="37" t="str">
        <x:f>IF(A49="","",K49-L49)</x:f>
      </x:c>
      <x:c r="N49" s="37" t="str">
        <x:f>IF(A49="","",IF(ISNUMBER(J49),M49*J49,"Cost missing"))</x:f>
      </x:c>
      <x:c r="O49" s="42" t="str">
        <x:f>IF(A49="","",IF(COUNTIFS('Items'!$A$6:$A$105,B49)=1,VLOOKUP(B49,'Items'!$A$6:$C$105,3,FALSE),"Unknown item"))</x:f>
      </x:c>
      <x:c r="P49" s="42" t="str">
        <x:f>IF(A49="","",IF(COUNTIFS($A$6:$A$105,A49)&lt;&gt;1,"Duplicate ID",IF(OR(O49="Unknown item",NOT(ISNUMBER(J49))),"Item/cost incomplete",IF(M49&lt;0,"Negative stock",IF(AND(E49="Purchased",G49&lt;=0),"Quantity required","OK")))))</x:f>
      </x:c>
    </x:row>
    <x:row r="50" ht="23" customHeight="1">
      <x:c r="A50" s="36"/>
      <x:c r="B50" s="36"/>
      <x:c r="C50" s="40"/>
      <x:c r="D50" s="36"/>
      <x:c r="E50" s="36"/>
      <x:c r="F50" s="36"/>
      <x:c r="G50" s="41"/>
      <x:c r="H50" s="41"/>
      <x:c r="I50" s="41"/>
      <x:c r="J50" s="37" t="str">
        <x:f>IF(A50="","",IF(E50="Manufactured",IF(COUNTIFS('Production'!$A$6:$A$105,F50)=1,IF(VLOOKUP(F50,'Production'!$A$6:$M$105,13,FALSE)="Closed",VLOOKUP(F50,'Production'!$A$6:$L$105,12,FALSE),"Pending close"),"Missing batch"),IF(AND(G50&gt;0,ISNUMBER(H50),ISNUMBER(I50)),(H50+I50)/G50,"Enter qty/cost")))</x:f>
      </x:c>
      <x:c r="K50" s="37" t="str">
        <x:f>IF(A50="","",SUMIFS('Stock Log'!$E$6:$E$205,'Stock Log'!$C$6:$C$205,A50,'Stock Log'!$B$6:$B$205,"&lt;="&amp;'Settings'!$B$7,'Stock Log'!$I$6:$I$205,"Approved"))</x:f>
      </x:c>
      <x:c r="L50" s="37" t="str">
        <x:f>IF(A50="","",SUMIFS('Stock Log'!$F$6:$F$205,'Stock Log'!$C$6:$C$205,A50,'Stock Log'!$B$6:$B$205,"&lt;="&amp;'Settings'!$B$7,'Stock Log'!$I$6:$I$205,"Approved"))</x:f>
      </x:c>
      <x:c r="M50" s="37" t="str">
        <x:f>IF(A50="","",K50-L50)</x:f>
      </x:c>
      <x:c r="N50" s="37" t="str">
        <x:f>IF(A50="","",IF(ISNUMBER(J50),M50*J50,"Cost missing"))</x:f>
      </x:c>
      <x:c r="O50" s="42" t="str">
        <x:f>IF(A50="","",IF(COUNTIFS('Items'!$A$6:$A$105,B50)=1,VLOOKUP(B50,'Items'!$A$6:$C$105,3,FALSE),"Unknown item"))</x:f>
      </x:c>
      <x:c r="P50" s="42" t="str">
        <x:f>IF(A50="","",IF(COUNTIFS($A$6:$A$105,A50)&lt;&gt;1,"Duplicate ID",IF(OR(O50="Unknown item",NOT(ISNUMBER(J50))),"Item/cost incomplete",IF(M50&lt;0,"Negative stock",IF(AND(E50="Purchased",G50&lt;=0),"Quantity required","OK")))))</x:f>
      </x:c>
    </x:row>
    <x:row r="51" ht="23" customHeight="1">
      <x:c r="A51" s="36"/>
      <x:c r="B51" s="36"/>
      <x:c r="C51" s="40"/>
      <x:c r="D51" s="36"/>
      <x:c r="E51" s="36"/>
      <x:c r="F51" s="36"/>
      <x:c r="G51" s="41"/>
      <x:c r="H51" s="41"/>
      <x:c r="I51" s="41"/>
      <x:c r="J51" s="37" t="str">
        <x:f>IF(A51="","",IF(E51="Manufactured",IF(COUNTIFS('Production'!$A$6:$A$105,F51)=1,IF(VLOOKUP(F51,'Production'!$A$6:$M$105,13,FALSE)="Closed",VLOOKUP(F51,'Production'!$A$6:$L$105,12,FALSE),"Pending close"),"Missing batch"),IF(AND(G51&gt;0,ISNUMBER(H51),ISNUMBER(I51)),(H51+I51)/G51,"Enter qty/cost")))</x:f>
      </x:c>
      <x:c r="K51" s="37" t="str">
        <x:f>IF(A51="","",SUMIFS('Stock Log'!$E$6:$E$205,'Stock Log'!$C$6:$C$205,A51,'Stock Log'!$B$6:$B$205,"&lt;="&amp;'Settings'!$B$7,'Stock Log'!$I$6:$I$205,"Approved"))</x:f>
      </x:c>
      <x:c r="L51" s="37" t="str">
        <x:f>IF(A51="","",SUMIFS('Stock Log'!$F$6:$F$205,'Stock Log'!$C$6:$C$205,A51,'Stock Log'!$B$6:$B$205,"&lt;="&amp;'Settings'!$B$7,'Stock Log'!$I$6:$I$205,"Approved"))</x:f>
      </x:c>
      <x:c r="M51" s="37" t="str">
        <x:f>IF(A51="","",K51-L51)</x:f>
      </x:c>
      <x:c r="N51" s="37" t="str">
        <x:f>IF(A51="","",IF(ISNUMBER(J51),M51*J51,"Cost missing"))</x:f>
      </x:c>
      <x:c r="O51" s="42" t="str">
        <x:f>IF(A51="","",IF(COUNTIFS('Items'!$A$6:$A$105,B51)=1,VLOOKUP(B51,'Items'!$A$6:$C$105,3,FALSE),"Unknown item"))</x:f>
      </x:c>
      <x:c r="P51" s="42" t="str">
        <x:f>IF(A51="","",IF(COUNTIFS($A$6:$A$105,A51)&lt;&gt;1,"Duplicate ID",IF(OR(O51="Unknown item",NOT(ISNUMBER(J51))),"Item/cost incomplete",IF(M51&lt;0,"Negative stock",IF(AND(E51="Purchased",G51&lt;=0),"Quantity required","OK")))))</x:f>
      </x:c>
    </x:row>
    <x:row r="52" ht="23" customHeight="1">
      <x:c r="A52" s="36"/>
      <x:c r="B52" s="36"/>
      <x:c r="C52" s="40"/>
      <x:c r="D52" s="36"/>
      <x:c r="E52" s="36"/>
      <x:c r="F52" s="36"/>
      <x:c r="G52" s="41"/>
      <x:c r="H52" s="41"/>
      <x:c r="I52" s="41"/>
      <x:c r="J52" s="37" t="str">
        <x:f>IF(A52="","",IF(E52="Manufactured",IF(COUNTIFS('Production'!$A$6:$A$105,F52)=1,IF(VLOOKUP(F52,'Production'!$A$6:$M$105,13,FALSE)="Closed",VLOOKUP(F52,'Production'!$A$6:$L$105,12,FALSE),"Pending close"),"Missing batch"),IF(AND(G52&gt;0,ISNUMBER(H52),ISNUMBER(I52)),(H52+I52)/G52,"Enter qty/cost")))</x:f>
      </x:c>
      <x:c r="K52" s="37" t="str">
        <x:f>IF(A52="","",SUMIFS('Stock Log'!$E$6:$E$205,'Stock Log'!$C$6:$C$205,A52,'Stock Log'!$B$6:$B$205,"&lt;="&amp;'Settings'!$B$7,'Stock Log'!$I$6:$I$205,"Approved"))</x:f>
      </x:c>
      <x:c r="L52" s="37" t="str">
        <x:f>IF(A52="","",SUMIFS('Stock Log'!$F$6:$F$205,'Stock Log'!$C$6:$C$205,A52,'Stock Log'!$B$6:$B$205,"&lt;="&amp;'Settings'!$B$7,'Stock Log'!$I$6:$I$205,"Approved"))</x:f>
      </x:c>
      <x:c r="M52" s="37" t="str">
        <x:f>IF(A52="","",K52-L52)</x:f>
      </x:c>
      <x:c r="N52" s="37" t="str">
        <x:f>IF(A52="","",IF(ISNUMBER(J52),M52*J52,"Cost missing"))</x:f>
      </x:c>
      <x:c r="O52" s="42" t="str">
        <x:f>IF(A52="","",IF(COUNTIFS('Items'!$A$6:$A$105,B52)=1,VLOOKUP(B52,'Items'!$A$6:$C$105,3,FALSE),"Unknown item"))</x:f>
      </x:c>
      <x:c r="P52" s="42" t="str">
        <x:f>IF(A52="","",IF(COUNTIFS($A$6:$A$105,A52)&lt;&gt;1,"Duplicate ID",IF(OR(O52="Unknown item",NOT(ISNUMBER(J52))),"Item/cost incomplete",IF(M52&lt;0,"Negative stock",IF(AND(E52="Purchased",G52&lt;=0),"Quantity required","OK")))))</x:f>
      </x:c>
    </x:row>
    <x:row r="53" ht="23" customHeight="1">
      <x:c r="A53" s="36"/>
      <x:c r="B53" s="36"/>
      <x:c r="C53" s="40"/>
      <x:c r="D53" s="36"/>
      <x:c r="E53" s="36"/>
      <x:c r="F53" s="36"/>
      <x:c r="G53" s="41"/>
      <x:c r="H53" s="41"/>
      <x:c r="I53" s="41"/>
      <x:c r="J53" s="37" t="str">
        <x:f>IF(A53="","",IF(E53="Manufactured",IF(COUNTIFS('Production'!$A$6:$A$105,F53)=1,IF(VLOOKUP(F53,'Production'!$A$6:$M$105,13,FALSE)="Closed",VLOOKUP(F53,'Production'!$A$6:$L$105,12,FALSE),"Pending close"),"Missing batch"),IF(AND(G53&gt;0,ISNUMBER(H53),ISNUMBER(I53)),(H53+I53)/G53,"Enter qty/cost")))</x:f>
      </x:c>
      <x:c r="K53" s="37" t="str">
        <x:f>IF(A53="","",SUMIFS('Stock Log'!$E$6:$E$205,'Stock Log'!$C$6:$C$205,A53,'Stock Log'!$B$6:$B$205,"&lt;="&amp;'Settings'!$B$7,'Stock Log'!$I$6:$I$205,"Approved"))</x:f>
      </x:c>
      <x:c r="L53" s="37" t="str">
        <x:f>IF(A53="","",SUMIFS('Stock Log'!$F$6:$F$205,'Stock Log'!$C$6:$C$205,A53,'Stock Log'!$B$6:$B$205,"&lt;="&amp;'Settings'!$B$7,'Stock Log'!$I$6:$I$205,"Approved"))</x:f>
      </x:c>
      <x:c r="M53" s="37" t="str">
        <x:f>IF(A53="","",K53-L53)</x:f>
      </x:c>
      <x:c r="N53" s="37" t="str">
        <x:f>IF(A53="","",IF(ISNUMBER(J53),M53*J53,"Cost missing"))</x:f>
      </x:c>
      <x:c r="O53" s="42" t="str">
        <x:f>IF(A53="","",IF(COUNTIFS('Items'!$A$6:$A$105,B53)=1,VLOOKUP(B53,'Items'!$A$6:$C$105,3,FALSE),"Unknown item"))</x:f>
      </x:c>
      <x:c r="P53" s="42" t="str">
        <x:f>IF(A53="","",IF(COUNTIFS($A$6:$A$105,A53)&lt;&gt;1,"Duplicate ID",IF(OR(O53="Unknown item",NOT(ISNUMBER(J53))),"Item/cost incomplete",IF(M53&lt;0,"Negative stock",IF(AND(E53="Purchased",G53&lt;=0),"Quantity required","OK")))))</x:f>
      </x:c>
    </x:row>
    <x:row r="54" ht="23" customHeight="1">
      <x:c r="A54" s="36"/>
      <x:c r="B54" s="36"/>
      <x:c r="C54" s="40"/>
      <x:c r="D54" s="36"/>
      <x:c r="E54" s="36"/>
      <x:c r="F54" s="36"/>
      <x:c r="G54" s="41"/>
      <x:c r="H54" s="41"/>
      <x:c r="I54" s="41"/>
      <x:c r="J54" s="37" t="str">
        <x:f>IF(A54="","",IF(E54="Manufactured",IF(COUNTIFS('Production'!$A$6:$A$105,F54)=1,IF(VLOOKUP(F54,'Production'!$A$6:$M$105,13,FALSE)="Closed",VLOOKUP(F54,'Production'!$A$6:$L$105,12,FALSE),"Pending close"),"Missing batch"),IF(AND(G54&gt;0,ISNUMBER(H54),ISNUMBER(I54)),(H54+I54)/G54,"Enter qty/cost")))</x:f>
      </x:c>
      <x:c r="K54" s="37" t="str">
        <x:f>IF(A54="","",SUMIFS('Stock Log'!$E$6:$E$205,'Stock Log'!$C$6:$C$205,A54,'Stock Log'!$B$6:$B$205,"&lt;="&amp;'Settings'!$B$7,'Stock Log'!$I$6:$I$205,"Approved"))</x:f>
      </x:c>
      <x:c r="L54" s="37" t="str">
        <x:f>IF(A54="","",SUMIFS('Stock Log'!$F$6:$F$205,'Stock Log'!$C$6:$C$205,A54,'Stock Log'!$B$6:$B$205,"&lt;="&amp;'Settings'!$B$7,'Stock Log'!$I$6:$I$205,"Approved"))</x:f>
      </x:c>
      <x:c r="M54" s="37" t="str">
        <x:f>IF(A54="","",K54-L54)</x:f>
      </x:c>
      <x:c r="N54" s="37" t="str">
        <x:f>IF(A54="","",IF(ISNUMBER(J54),M54*J54,"Cost missing"))</x:f>
      </x:c>
      <x:c r="O54" s="42" t="str">
        <x:f>IF(A54="","",IF(COUNTIFS('Items'!$A$6:$A$105,B54)=1,VLOOKUP(B54,'Items'!$A$6:$C$105,3,FALSE),"Unknown item"))</x:f>
      </x:c>
      <x:c r="P54" s="42" t="str">
        <x:f>IF(A54="","",IF(COUNTIFS($A$6:$A$105,A54)&lt;&gt;1,"Duplicate ID",IF(OR(O54="Unknown item",NOT(ISNUMBER(J54))),"Item/cost incomplete",IF(M54&lt;0,"Negative stock",IF(AND(E54="Purchased",G54&lt;=0),"Quantity required","OK")))))</x:f>
      </x:c>
    </x:row>
    <x:row r="55" ht="23" customHeight="1">
      <x:c r="A55" s="36"/>
      <x:c r="B55" s="36"/>
      <x:c r="C55" s="40"/>
      <x:c r="D55" s="36"/>
      <x:c r="E55" s="36"/>
      <x:c r="F55" s="36"/>
      <x:c r="G55" s="41"/>
      <x:c r="H55" s="41"/>
      <x:c r="I55" s="41"/>
      <x:c r="J55" s="37" t="str">
        <x:f>IF(A55="","",IF(E55="Manufactured",IF(COUNTIFS('Production'!$A$6:$A$105,F55)=1,IF(VLOOKUP(F55,'Production'!$A$6:$M$105,13,FALSE)="Closed",VLOOKUP(F55,'Production'!$A$6:$L$105,12,FALSE),"Pending close"),"Missing batch"),IF(AND(G55&gt;0,ISNUMBER(H55),ISNUMBER(I55)),(H55+I55)/G55,"Enter qty/cost")))</x:f>
      </x:c>
      <x:c r="K55" s="37" t="str">
        <x:f>IF(A55="","",SUMIFS('Stock Log'!$E$6:$E$205,'Stock Log'!$C$6:$C$205,A55,'Stock Log'!$B$6:$B$205,"&lt;="&amp;'Settings'!$B$7,'Stock Log'!$I$6:$I$205,"Approved"))</x:f>
      </x:c>
      <x:c r="L55" s="37" t="str">
        <x:f>IF(A55="","",SUMIFS('Stock Log'!$F$6:$F$205,'Stock Log'!$C$6:$C$205,A55,'Stock Log'!$B$6:$B$205,"&lt;="&amp;'Settings'!$B$7,'Stock Log'!$I$6:$I$205,"Approved"))</x:f>
      </x:c>
      <x:c r="M55" s="37" t="str">
        <x:f>IF(A55="","",K55-L55)</x:f>
      </x:c>
      <x:c r="N55" s="37" t="str">
        <x:f>IF(A55="","",IF(ISNUMBER(J55),M55*J55,"Cost missing"))</x:f>
      </x:c>
      <x:c r="O55" s="42" t="str">
        <x:f>IF(A55="","",IF(COUNTIFS('Items'!$A$6:$A$105,B55)=1,VLOOKUP(B55,'Items'!$A$6:$C$105,3,FALSE),"Unknown item"))</x:f>
      </x:c>
      <x:c r="P55" s="42" t="str">
        <x:f>IF(A55="","",IF(COUNTIFS($A$6:$A$105,A55)&lt;&gt;1,"Duplicate ID",IF(OR(O55="Unknown item",NOT(ISNUMBER(J55))),"Item/cost incomplete",IF(M55&lt;0,"Negative stock",IF(AND(E55="Purchased",G55&lt;=0),"Quantity required","OK")))))</x:f>
      </x:c>
    </x:row>
    <x:row r="56" ht="23" customHeight="1">
      <x:c r="A56" s="36"/>
      <x:c r="B56" s="36"/>
      <x:c r="C56" s="40"/>
      <x:c r="D56" s="36"/>
      <x:c r="E56" s="36"/>
      <x:c r="F56" s="36"/>
      <x:c r="G56" s="41"/>
      <x:c r="H56" s="41"/>
      <x:c r="I56" s="41"/>
      <x:c r="J56" s="37" t="str">
        <x:f>IF(A56="","",IF(E56="Manufactured",IF(COUNTIFS('Production'!$A$6:$A$105,F56)=1,IF(VLOOKUP(F56,'Production'!$A$6:$M$105,13,FALSE)="Closed",VLOOKUP(F56,'Production'!$A$6:$L$105,12,FALSE),"Pending close"),"Missing batch"),IF(AND(G56&gt;0,ISNUMBER(H56),ISNUMBER(I56)),(H56+I56)/G56,"Enter qty/cost")))</x:f>
      </x:c>
      <x:c r="K56" s="37" t="str">
        <x:f>IF(A56="","",SUMIFS('Stock Log'!$E$6:$E$205,'Stock Log'!$C$6:$C$205,A56,'Stock Log'!$B$6:$B$205,"&lt;="&amp;'Settings'!$B$7,'Stock Log'!$I$6:$I$205,"Approved"))</x:f>
      </x:c>
      <x:c r="L56" s="37" t="str">
        <x:f>IF(A56="","",SUMIFS('Stock Log'!$F$6:$F$205,'Stock Log'!$C$6:$C$205,A56,'Stock Log'!$B$6:$B$205,"&lt;="&amp;'Settings'!$B$7,'Stock Log'!$I$6:$I$205,"Approved"))</x:f>
      </x:c>
      <x:c r="M56" s="37" t="str">
        <x:f>IF(A56="","",K56-L56)</x:f>
      </x:c>
      <x:c r="N56" s="37" t="str">
        <x:f>IF(A56="","",IF(ISNUMBER(J56),M56*J56,"Cost missing"))</x:f>
      </x:c>
      <x:c r="O56" s="42" t="str">
        <x:f>IF(A56="","",IF(COUNTIFS('Items'!$A$6:$A$105,B56)=1,VLOOKUP(B56,'Items'!$A$6:$C$105,3,FALSE),"Unknown item"))</x:f>
      </x:c>
      <x:c r="P56" s="42" t="str">
        <x:f>IF(A56="","",IF(COUNTIFS($A$6:$A$105,A56)&lt;&gt;1,"Duplicate ID",IF(OR(O56="Unknown item",NOT(ISNUMBER(J56))),"Item/cost incomplete",IF(M56&lt;0,"Negative stock",IF(AND(E56="Purchased",G56&lt;=0),"Quantity required","OK")))))</x:f>
      </x:c>
    </x:row>
    <x:row r="57" ht="23" customHeight="1">
      <x:c r="A57" s="36"/>
      <x:c r="B57" s="36"/>
      <x:c r="C57" s="40"/>
      <x:c r="D57" s="36"/>
      <x:c r="E57" s="36"/>
      <x:c r="F57" s="36"/>
      <x:c r="G57" s="41"/>
      <x:c r="H57" s="41"/>
      <x:c r="I57" s="41"/>
      <x:c r="J57" s="37" t="str">
        <x:f>IF(A57="","",IF(E57="Manufactured",IF(COUNTIFS('Production'!$A$6:$A$105,F57)=1,IF(VLOOKUP(F57,'Production'!$A$6:$M$105,13,FALSE)="Closed",VLOOKUP(F57,'Production'!$A$6:$L$105,12,FALSE),"Pending close"),"Missing batch"),IF(AND(G57&gt;0,ISNUMBER(H57),ISNUMBER(I57)),(H57+I57)/G57,"Enter qty/cost")))</x:f>
      </x:c>
      <x:c r="K57" s="37" t="str">
        <x:f>IF(A57="","",SUMIFS('Stock Log'!$E$6:$E$205,'Stock Log'!$C$6:$C$205,A57,'Stock Log'!$B$6:$B$205,"&lt;="&amp;'Settings'!$B$7,'Stock Log'!$I$6:$I$205,"Approved"))</x:f>
      </x:c>
      <x:c r="L57" s="37" t="str">
        <x:f>IF(A57="","",SUMIFS('Stock Log'!$F$6:$F$205,'Stock Log'!$C$6:$C$205,A57,'Stock Log'!$B$6:$B$205,"&lt;="&amp;'Settings'!$B$7,'Stock Log'!$I$6:$I$205,"Approved"))</x:f>
      </x:c>
      <x:c r="M57" s="37" t="str">
        <x:f>IF(A57="","",K57-L57)</x:f>
      </x:c>
      <x:c r="N57" s="37" t="str">
        <x:f>IF(A57="","",IF(ISNUMBER(J57),M57*J57,"Cost missing"))</x:f>
      </x:c>
      <x:c r="O57" s="42" t="str">
        <x:f>IF(A57="","",IF(COUNTIFS('Items'!$A$6:$A$105,B57)=1,VLOOKUP(B57,'Items'!$A$6:$C$105,3,FALSE),"Unknown item"))</x:f>
      </x:c>
      <x:c r="P57" s="42" t="str">
        <x:f>IF(A57="","",IF(COUNTIFS($A$6:$A$105,A57)&lt;&gt;1,"Duplicate ID",IF(OR(O57="Unknown item",NOT(ISNUMBER(J57))),"Item/cost incomplete",IF(M57&lt;0,"Negative stock",IF(AND(E57="Purchased",G57&lt;=0),"Quantity required","OK")))))</x:f>
      </x:c>
    </x:row>
    <x:row r="58" ht="23" customHeight="1">
      <x:c r="A58" s="36"/>
      <x:c r="B58" s="36"/>
      <x:c r="C58" s="40"/>
      <x:c r="D58" s="36"/>
      <x:c r="E58" s="36"/>
      <x:c r="F58" s="36"/>
      <x:c r="G58" s="41"/>
      <x:c r="H58" s="41"/>
      <x:c r="I58" s="41"/>
      <x:c r="J58" s="37" t="str">
        <x:f>IF(A58="","",IF(E58="Manufactured",IF(COUNTIFS('Production'!$A$6:$A$105,F58)=1,IF(VLOOKUP(F58,'Production'!$A$6:$M$105,13,FALSE)="Closed",VLOOKUP(F58,'Production'!$A$6:$L$105,12,FALSE),"Pending close"),"Missing batch"),IF(AND(G58&gt;0,ISNUMBER(H58),ISNUMBER(I58)),(H58+I58)/G58,"Enter qty/cost")))</x:f>
      </x:c>
      <x:c r="K58" s="37" t="str">
        <x:f>IF(A58="","",SUMIFS('Stock Log'!$E$6:$E$205,'Stock Log'!$C$6:$C$205,A58,'Stock Log'!$B$6:$B$205,"&lt;="&amp;'Settings'!$B$7,'Stock Log'!$I$6:$I$205,"Approved"))</x:f>
      </x:c>
      <x:c r="L58" s="37" t="str">
        <x:f>IF(A58="","",SUMIFS('Stock Log'!$F$6:$F$205,'Stock Log'!$C$6:$C$205,A58,'Stock Log'!$B$6:$B$205,"&lt;="&amp;'Settings'!$B$7,'Stock Log'!$I$6:$I$205,"Approved"))</x:f>
      </x:c>
      <x:c r="M58" s="37" t="str">
        <x:f>IF(A58="","",K58-L58)</x:f>
      </x:c>
      <x:c r="N58" s="37" t="str">
        <x:f>IF(A58="","",IF(ISNUMBER(J58),M58*J58,"Cost missing"))</x:f>
      </x:c>
      <x:c r="O58" s="42" t="str">
        <x:f>IF(A58="","",IF(COUNTIFS('Items'!$A$6:$A$105,B58)=1,VLOOKUP(B58,'Items'!$A$6:$C$105,3,FALSE),"Unknown item"))</x:f>
      </x:c>
      <x:c r="P58" s="42" t="str">
        <x:f>IF(A58="","",IF(COUNTIFS($A$6:$A$105,A58)&lt;&gt;1,"Duplicate ID",IF(OR(O58="Unknown item",NOT(ISNUMBER(J58))),"Item/cost incomplete",IF(M58&lt;0,"Negative stock",IF(AND(E58="Purchased",G58&lt;=0),"Quantity required","OK")))))</x:f>
      </x:c>
    </x:row>
    <x:row r="59" ht="23" customHeight="1">
      <x:c r="A59" s="36"/>
      <x:c r="B59" s="36"/>
      <x:c r="C59" s="40"/>
      <x:c r="D59" s="36"/>
      <x:c r="E59" s="36"/>
      <x:c r="F59" s="36"/>
      <x:c r="G59" s="41"/>
      <x:c r="H59" s="41"/>
      <x:c r="I59" s="41"/>
      <x:c r="J59" s="37" t="str">
        <x:f>IF(A59="","",IF(E59="Manufactured",IF(COUNTIFS('Production'!$A$6:$A$105,F59)=1,IF(VLOOKUP(F59,'Production'!$A$6:$M$105,13,FALSE)="Closed",VLOOKUP(F59,'Production'!$A$6:$L$105,12,FALSE),"Pending close"),"Missing batch"),IF(AND(G59&gt;0,ISNUMBER(H59),ISNUMBER(I59)),(H59+I59)/G59,"Enter qty/cost")))</x:f>
      </x:c>
      <x:c r="K59" s="37" t="str">
        <x:f>IF(A59="","",SUMIFS('Stock Log'!$E$6:$E$205,'Stock Log'!$C$6:$C$205,A59,'Stock Log'!$B$6:$B$205,"&lt;="&amp;'Settings'!$B$7,'Stock Log'!$I$6:$I$205,"Approved"))</x:f>
      </x:c>
      <x:c r="L59" s="37" t="str">
        <x:f>IF(A59="","",SUMIFS('Stock Log'!$F$6:$F$205,'Stock Log'!$C$6:$C$205,A59,'Stock Log'!$B$6:$B$205,"&lt;="&amp;'Settings'!$B$7,'Stock Log'!$I$6:$I$205,"Approved"))</x:f>
      </x:c>
      <x:c r="M59" s="37" t="str">
        <x:f>IF(A59="","",K59-L59)</x:f>
      </x:c>
      <x:c r="N59" s="37" t="str">
        <x:f>IF(A59="","",IF(ISNUMBER(J59),M59*J59,"Cost missing"))</x:f>
      </x:c>
      <x:c r="O59" s="42" t="str">
        <x:f>IF(A59="","",IF(COUNTIFS('Items'!$A$6:$A$105,B59)=1,VLOOKUP(B59,'Items'!$A$6:$C$105,3,FALSE),"Unknown item"))</x:f>
      </x:c>
      <x:c r="P59" s="42" t="str">
        <x:f>IF(A59="","",IF(COUNTIFS($A$6:$A$105,A59)&lt;&gt;1,"Duplicate ID",IF(OR(O59="Unknown item",NOT(ISNUMBER(J59))),"Item/cost incomplete",IF(M59&lt;0,"Negative stock",IF(AND(E59="Purchased",G59&lt;=0),"Quantity required","OK")))))</x:f>
      </x:c>
    </x:row>
    <x:row r="60" ht="23" customHeight="1">
      <x:c r="A60" s="36"/>
      <x:c r="B60" s="36"/>
      <x:c r="C60" s="40"/>
      <x:c r="D60" s="36"/>
      <x:c r="E60" s="36"/>
      <x:c r="F60" s="36"/>
      <x:c r="G60" s="41"/>
      <x:c r="H60" s="41"/>
      <x:c r="I60" s="41"/>
      <x:c r="J60" s="37" t="str">
        <x:f>IF(A60="","",IF(E60="Manufactured",IF(COUNTIFS('Production'!$A$6:$A$105,F60)=1,IF(VLOOKUP(F60,'Production'!$A$6:$M$105,13,FALSE)="Closed",VLOOKUP(F60,'Production'!$A$6:$L$105,12,FALSE),"Pending close"),"Missing batch"),IF(AND(G60&gt;0,ISNUMBER(H60),ISNUMBER(I60)),(H60+I60)/G60,"Enter qty/cost")))</x:f>
      </x:c>
      <x:c r="K60" s="37" t="str">
        <x:f>IF(A60="","",SUMIFS('Stock Log'!$E$6:$E$205,'Stock Log'!$C$6:$C$205,A60,'Stock Log'!$B$6:$B$205,"&lt;="&amp;'Settings'!$B$7,'Stock Log'!$I$6:$I$205,"Approved"))</x:f>
      </x:c>
      <x:c r="L60" s="37" t="str">
        <x:f>IF(A60="","",SUMIFS('Stock Log'!$F$6:$F$205,'Stock Log'!$C$6:$C$205,A60,'Stock Log'!$B$6:$B$205,"&lt;="&amp;'Settings'!$B$7,'Stock Log'!$I$6:$I$205,"Approved"))</x:f>
      </x:c>
      <x:c r="M60" s="37" t="str">
        <x:f>IF(A60="","",K60-L60)</x:f>
      </x:c>
      <x:c r="N60" s="37" t="str">
        <x:f>IF(A60="","",IF(ISNUMBER(J60),M60*J60,"Cost missing"))</x:f>
      </x:c>
      <x:c r="O60" s="42" t="str">
        <x:f>IF(A60="","",IF(COUNTIFS('Items'!$A$6:$A$105,B60)=1,VLOOKUP(B60,'Items'!$A$6:$C$105,3,FALSE),"Unknown item"))</x:f>
      </x:c>
      <x:c r="P60" s="42" t="str">
        <x:f>IF(A60="","",IF(COUNTIFS($A$6:$A$105,A60)&lt;&gt;1,"Duplicate ID",IF(OR(O60="Unknown item",NOT(ISNUMBER(J60))),"Item/cost incomplete",IF(M60&lt;0,"Negative stock",IF(AND(E60="Purchased",G60&lt;=0),"Quantity required","OK")))))</x:f>
      </x:c>
    </x:row>
    <x:row r="61" ht="23" customHeight="1">
      <x:c r="A61" s="36"/>
      <x:c r="B61" s="36"/>
      <x:c r="C61" s="40"/>
      <x:c r="D61" s="36"/>
      <x:c r="E61" s="36"/>
      <x:c r="F61" s="36"/>
      <x:c r="G61" s="41"/>
      <x:c r="H61" s="41"/>
      <x:c r="I61" s="41"/>
      <x:c r="J61" s="37" t="str">
        <x:f>IF(A61="","",IF(E61="Manufactured",IF(COUNTIFS('Production'!$A$6:$A$105,F61)=1,IF(VLOOKUP(F61,'Production'!$A$6:$M$105,13,FALSE)="Closed",VLOOKUP(F61,'Production'!$A$6:$L$105,12,FALSE),"Pending close"),"Missing batch"),IF(AND(G61&gt;0,ISNUMBER(H61),ISNUMBER(I61)),(H61+I61)/G61,"Enter qty/cost")))</x:f>
      </x:c>
      <x:c r="K61" s="37" t="str">
        <x:f>IF(A61="","",SUMIFS('Stock Log'!$E$6:$E$205,'Stock Log'!$C$6:$C$205,A61,'Stock Log'!$B$6:$B$205,"&lt;="&amp;'Settings'!$B$7,'Stock Log'!$I$6:$I$205,"Approved"))</x:f>
      </x:c>
      <x:c r="L61" s="37" t="str">
        <x:f>IF(A61="","",SUMIFS('Stock Log'!$F$6:$F$205,'Stock Log'!$C$6:$C$205,A61,'Stock Log'!$B$6:$B$205,"&lt;="&amp;'Settings'!$B$7,'Stock Log'!$I$6:$I$205,"Approved"))</x:f>
      </x:c>
      <x:c r="M61" s="37" t="str">
        <x:f>IF(A61="","",K61-L61)</x:f>
      </x:c>
      <x:c r="N61" s="37" t="str">
        <x:f>IF(A61="","",IF(ISNUMBER(J61),M61*J61,"Cost missing"))</x:f>
      </x:c>
      <x:c r="O61" s="42" t="str">
        <x:f>IF(A61="","",IF(COUNTIFS('Items'!$A$6:$A$105,B61)=1,VLOOKUP(B61,'Items'!$A$6:$C$105,3,FALSE),"Unknown item"))</x:f>
      </x:c>
      <x:c r="P61" s="42" t="str">
        <x:f>IF(A61="","",IF(COUNTIFS($A$6:$A$105,A61)&lt;&gt;1,"Duplicate ID",IF(OR(O61="Unknown item",NOT(ISNUMBER(J61))),"Item/cost incomplete",IF(M61&lt;0,"Negative stock",IF(AND(E61="Purchased",G61&lt;=0),"Quantity required","OK")))))</x:f>
      </x:c>
    </x:row>
    <x:row r="62" ht="23" customHeight="1">
      <x:c r="A62" s="36"/>
      <x:c r="B62" s="36"/>
      <x:c r="C62" s="40"/>
      <x:c r="D62" s="36"/>
      <x:c r="E62" s="36"/>
      <x:c r="F62" s="36"/>
      <x:c r="G62" s="41"/>
      <x:c r="H62" s="41"/>
      <x:c r="I62" s="41"/>
      <x:c r="J62" s="37" t="str">
        <x:f>IF(A62="","",IF(E62="Manufactured",IF(COUNTIFS('Production'!$A$6:$A$105,F62)=1,IF(VLOOKUP(F62,'Production'!$A$6:$M$105,13,FALSE)="Closed",VLOOKUP(F62,'Production'!$A$6:$L$105,12,FALSE),"Pending close"),"Missing batch"),IF(AND(G62&gt;0,ISNUMBER(H62),ISNUMBER(I62)),(H62+I62)/G62,"Enter qty/cost")))</x:f>
      </x:c>
      <x:c r="K62" s="37" t="str">
        <x:f>IF(A62="","",SUMIFS('Stock Log'!$E$6:$E$205,'Stock Log'!$C$6:$C$205,A62,'Stock Log'!$B$6:$B$205,"&lt;="&amp;'Settings'!$B$7,'Stock Log'!$I$6:$I$205,"Approved"))</x:f>
      </x:c>
      <x:c r="L62" s="37" t="str">
        <x:f>IF(A62="","",SUMIFS('Stock Log'!$F$6:$F$205,'Stock Log'!$C$6:$C$205,A62,'Stock Log'!$B$6:$B$205,"&lt;="&amp;'Settings'!$B$7,'Stock Log'!$I$6:$I$205,"Approved"))</x:f>
      </x:c>
      <x:c r="M62" s="37" t="str">
        <x:f>IF(A62="","",K62-L62)</x:f>
      </x:c>
      <x:c r="N62" s="37" t="str">
        <x:f>IF(A62="","",IF(ISNUMBER(J62),M62*J62,"Cost missing"))</x:f>
      </x:c>
      <x:c r="O62" s="42" t="str">
        <x:f>IF(A62="","",IF(COUNTIFS('Items'!$A$6:$A$105,B62)=1,VLOOKUP(B62,'Items'!$A$6:$C$105,3,FALSE),"Unknown item"))</x:f>
      </x:c>
      <x:c r="P62" s="42" t="str">
        <x:f>IF(A62="","",IF(COUNTIFS($A$6:$A$105,A62)&lt;&gt;1,"Duplicate ID",IF(OR(O62="Unknown item",NOT(ISNUMBER(J62))),"Item/cost incomplete",IF(M62&lt;0,"Negative stock",IF(AND(E62="Purchased",G62&lt;=0),"Quantity required","OK")))))</x:f>
      </x:c>
    </x:row>
    <x:row r="63" ht="23" customHeight="1">
      <x:c r="A63" s="36"/>
      <x:c r="B63" s="36"/>
      <x:c r="C63" s="40"/>
      <x:c r="D63" s="36"/>
      <x:c r="E63" s="36"/>
      <x:c r="F63" s="36"/>
      <x:c r="G63" s="41"/>
      <x:c r="H63" s="41"/>
      <x:c r="I63" s="41"/>
      <x:c r="J63" s="37" t="str">
        <x:f>IF(A63="","",IF(E63="Manufactured",IF(COUNTIFS('Production'!$A$6:$A$105,F63)=1,IF(VLOOKUP(F63,'Production'!$A$6:$M$105,13,FALSE)="Closed",VLOOKUP(F63,'Production'!$A$6:$L$105,12,FALSE),"Pending close"),"Missing batch"),IF(AND(G63&gt;0,ISNUMBER(H63),ISNUMBER(I63)),(H63+I63)/G63,"Enter qty/cost")))</x:f>
      </x:c>
      <x:c r="K63" s="37" t="str">
        <x:f>IF(A63="","",SUMIFS('Stock Log'!$E$6:$E$205,'Stock Log'!$C$6:$C$205,A63,'Stock Log'!$B$6:$B$205,"&lt;="&amp;'Settings'!$B$7,'Stock Log'!$I$6:$I$205,"Approved"))</x:f>
      </x:c>
      <x:c r="L63" s="37" t="str">
        <x:f>IF(A63="","",SUMIFS('Stock Log'!$F$6:$F$205,'Stock Log'!$C$6:$C$205,A63,'Stock Log'!$B$6:$B$205,"&lt;="&amp;'Settings'!$B$7,'Stock Log'!$I$6:$I$205,"Approved"))</x:f>
      </x:c>
      <x:c r="M63" s="37" t="str">
        <x:f>IF(A63="","",K63-L63)</x:f>
      </x:c>
      <x:c r="N63" s="37" t="str">
        <x:f>IF(A63="","",IF(ISNUMBER(J63),M63*J63,"Cost missing"))</x:f>
      </x:c>
      <x:c r="O63" s="42" t="str">
        <x:f>IF(A63="","",IF(COUNTIFS('Items'!$A$6:$A$105,B63)=1,VLOOKUP(B63,'Items'!$A$6:$C$105,3,FALSE),"Unknown item"))</x:f>
      </x:c>
      <x:c r="P63" s="42" t="str">
        <x:f>IF(A63="","",IF(COUNTIFS($A$6:$A$105,A63)&lt;&gt;1,"Duplicate ID",IF(OR(O63="Unknown item",NOT(ISNUMBER(J63))),"Item/cost incomplete",IF(M63&lt;0,"Negative stock",IF(AND(E63="Purchased",G63&lt;=0),"Quantity required","OK")))))</x:f>
      </x:c>
    </x:row>
    <x:row r="64" ht="23" customHeight="1">
      <x:c r="A64" s="36"/>
      <x:c r="B64" s="36"/>
      <x:c r="C64" s="40"/>
      <x:c r="D64" s="36"/>
      <x:c r="E64" s="36"/>
      <x:c r="F64" s="36"/>
      <x:c r="G64" s="41"/>
      <x:c r="H64" s="41"/>
      <x:c r="I64" s="41"/>
      <x:c r="J64" s="37" t="str">
        <x:f>IF(A64="","",IF(E64="Manufactured",IF(COUNTIFS('Production'!$A$6:$A$105,F64)=1,IF(VLOOKUP(F64,'Production'!$A$6:$M$105,13,FALSE)="Closed",VLOOKUP(F64,'Production'!$A$6:$L$105,12,FALSE),"Pending close"),"Missing batch"),IF(AND(G64&gt;0,ISNUMBER(H64),ISNUMBER(I64)),(H64+I64)/G64,"Enter qty/cost")))</x:f>
      </x:c>
      <x:c r="K64" s="37" t="str">
        <x:f>IF(A64="","",SUMIFS('Stock Log'!$E$6:$E$205,'Stock Log'!$C$6:$C$205,A64,'Stock Log'!$B$6:$B$205,"&lt;="&amp;'Settings'!$B$7,'Stock Log'!$I$6:$I$205,"Approved"))</x:f>
      </x:c>
      <x:c r="L64" s="37" t="str">
        <x:f>IF(A64="","",SUMIFS('Stock Log'!$F$6:$F$205,'Stock Log'!$C$6:$C$205,A64,'Stock Log'!$B$6:$B$205,"&lt;="&amp;'Settings'!$B$7,'Stock Log'!$I$6:$I$205,"Approved"))</x:f>
      </x:c>
      <x:c r="M64" s="37" t="str">
        <x:f>IF(A64="","",K64-L64)</x:f>
      </x:c>
      <x:c r="N64" s="37" t="str">
        <x:f>IF(A64="","",IF(ISNUMBER(J64),M64*J64,"Cost missing"))</x:f>
      </x:c>
      <x:c r="O64" s="42" t="str">
        <x:f>IF(A64="","",IF(COUNTIFS('Items'!$A$6:$A$105,B64)=1,VLOOKUP(B64,'Items'!$A$6:$C$105,3,FALSE),"Unknown item"))</x:f>
      </x:c>
      <x:c r="P64" s="42" t="str">
        <x:f>IF(A64="","",IF(COUNTIFS($A$6:$A$105,A64)&lt;&gt;1,"Duplicate ID",IF(OR(O64="Unknown item",NOT(ISNUMBER(J64))),"Item/cost incomplete",IF(M64&lt;0,"Negative stock",IF(AND(E64="Purchased",G64&lt;=0),"Quantity required","OK")))))</x:f>
      </x:c>
    </x:row>
    <x:row r="65" ht="23" customHeight="1">
      <x:c r="A65" s="36"/>
      <x:c r="B65" s="36"/>
      <x:c r="C65" s="40"/>
      <x:c r="D65" s="36"/>
      <x:c r="E65" s="36"/>
      <x:c r="F65" s="36"/>
      <x:c r="G65" s="41"/>
      <x:c r="H65" s="41"/>
      <x:c r="I65" s="41"/>
      <x:c r="J65" s="37" t="str">
        <x:f>IF(A65="","",IF(E65="Manufactured",IF(COUNTIFS('Production'!$A$6:$A$105,F65)=1,IF(VLOOKUP(F65,'Production'!$A$6:$M$105,13,FALSE)="Closed",VLOOKUP(F65,'Production'!$A$6:$L$105,12,FALSE),"Pending close"),"Missing batch"),IF(AND(G65&gt;0,ISNUMBER(H65),ISNUMBER(I65)),(H65+I65)/G65,"Enter qty/cost")))</x:f>
      </x:c>
      <x:c r="K65" s="37" t="str">
        <x:f>IF(A65="","",SUMIFS('Stock Log'!$E$6:$E$205,'Stock Log'!$C$6:$C$205,A65,'Stock Log'!$B$6:$B$205,"&lt;="&amp;'Settings'!$B$7,'Stock Log'!$I$6:$I$205,"Approved"))</x:f>
      </x:c>
      <x:c r="L65" s="37" t="str">
        <x:f>IF(A65="","",SUMIFS('Stock Log'!$F$6:$F$205,'Stock Log'!$C$6:$C$205,A65,'Stock Log'!$B$6:$B$205,"&lt;="&amp;'Settings'!$B$7,'Stock Log'!$I$6:$I$205,"Approved"))</x:f>
      </x:c>
      <x:c r="M65" s="37" t="str">
        <x:f>IF(A65="","",K65-L65)</x:f>
      </x:c>
      <x:c r="N65" s="37" t="str">
        <x:f>IF(A65="","",IF(ISNUMBER(J65),M65*J65,"Cost missing"))</x:f>
      </x:c>
      <x:c r="O65" s="42" t="str">
        <x:f>IF(A65="","",IF(COUNTIFS('Items'!$A$6:$A$105,B65)=1,VLOOKUP(B65,'Items'!$A$6:$C$105,3,FALSE),"Unknown item"))</x:f>
      </x:c>
      <x:c r="P65" s="42" t="str">
        <x:f>IF(A65="","",IF(COUNTIFS($A$6:$A$105,A65)&lt;&gt;1,"Duplicate ID",IF(OR(O65="Unknown item",NOT(ISNUMBER(J65))),"Item/cost incomplete",IF(M65&lt;0,"Negative stock",IF(AND(E65="Purchased",G65&lt;=0),"Quantity required","OK")))))</x:f>
      </x:c>
    </x:row>
    <x:row r="66" ht="23" customHeight="1">
      <x:c r="A66" s="36"/>
      <x:c r="B66" s="36"/>
      <x:c r="C66" s="40"/>
      <x:c r="D66" s="36"/>
      <x:c r="E66" s="36"/>
      <x:c r="F66" s="36"/>
      <x:c r="G66" s="41"/>
      <x:c r="H66" s="41"/>
      <x:c r="I66" s="41"/>
      <x:c r="J66" s="37" t="str">
        <x:f>IF(A66="","",IF(E66="Manufactured",IF(COUNTIFS('Production'!$A$6:$A$105,F66)=1,IF(VLOOKUP(F66,'Production'!$A$6:$M$105,13,FALSE)="Closed",VLOOKUP(F66,'Production'!$A$6:$L$105,12,FALSE),"Pending close"),"Missing batch"),IF(AND(G66&gt;0,ISNUMBER(H66),ISNUMBER(I66)),(H66+I66)/G66,"Enter qty/cost")))</x:f>
      </x:c>
      <x:c r="K66" s="37" t="str">
        <x:f>IF(A66="","",SUMIFS('Stock Log'!$E$6:$E$205,'Stock Log'!$C$6:$C$205,A66,'Stock Log'!$B$6:$B$205,"&lt;="&amp;'Settings'!$B$7,'Stock Log'!$I$6:$I$205,"Approved"))</x:f>
      </x:c>
      <x:c r="L66" s="37" t="str">
        <x:f>IF(A66="","",SUMIFS('Stock Log'!$F$6:$F$205,'Stock Log'!$C$6:$C$205,A66,'Stock Log'!$B$6:$B$205,"&lt;="&amp;'Settings'!$B$7,'Stock Log'!$I$6:$I$205,"Approved"))</x:f>
      </x:c>
      <x:c r="M66" s="37" t="str">
        <x:f>IF(A66="","",K66-L66)</x:f>
      </x:c>
      <x:c r="N66" s="37" t="str">
        <x:f>IF(A66="","",IF(ISNUMBER(J66),M66*J66,"Cost missing"))</x:f>
      </x:c>
      <x:c r="O66" s="42" t="str">
        <x:f>IF(A66="","",IF(COUNTIFS('Items'!$A$6:$A$105,B66)=1,VLOOKUP(B66,'Items'!$A$6:$C$105,3,FALSE),"Unknown item"))</x:f>
      </x:c>
      <x:c r="P66" s="42" t="str">
        <x:f>IF(A66="","",IF(COUNTIFS($A$6:$A$105,A66)&lt;&gt;1,"Duplicate ID",IF(OR(O66="Unknown item",NOT(ISNUMBER(J66))),"Item/cost incomplete",IF(M66&lt;0,"Negative stock",IF(AND(E66="Purchased",G66&lt;=0),"Quantity required","OK")))))</x:f>
      </x:c>
    </x:row>
    <x:row r="67" ht="23" customHeight="1">
      <x:c r="A67" s="36"/>
      <x:c r="B67" s="36"/>
      <x:c r="C67" s="40"/>
      <x:c r="D67" s="36"/>
      <x:c r="E67" s="36"/>
      <x:c r="F67" s="36"/>
      <x:c r="G67" s="41"/>
      <x:c r="H67" s="41"/>
      <x:c r="I67" s="41"/>
      <x:c r="J67" s="37" t="str">
        <x:f>IF(A67="","",IF(E67="Manufactured",IF(COUNTIFS('Production'!$A$6:$A$105,F67)=1,IF(VLOOKUP(F67,'Production'!$A$6:$M$105,13,FALSE)="Closed",VLOOKUP(F67,'Production'!$A$6:$L$105,12,FALSE),"Pending close"),"Missing batch"),IF(AND(G67&gt;0,ISNUMBER(H67),ISNUMBER(I67)),(H67+I67)/G67,"Enter qty/cost")))</x:f>
      </x:c>
      <x:c r="K67" s="37" t="str">
        <x:f>IF(A67="","",SUMIFS('Stock Log'!$E$6:$E$205,'Stock Log'!$C$6:$C$205,A67,'Stock Log'!$B$6:$B$205,"&lt;="&amp;'Settings'!$B$7,'Stock Log'!$I$6:$I$205,"Approved"))</x:f>
      </x:c>
      <x:c r="L67" s="37" t="str">
        <x:f>IF(A67="","",SUMIFS('Stock Log'!$F$6:$F$205,'Stock Log'!$C$6:$C$205,A67,'Stock Log'!$B$6:$B$205,"&lt;="&amp;'Settings'!$B$7,'Stock Log'!$I$6:$I$205,"Approved"))</x:f>
      </x:c>
      <x:c r="M67" s="37" t="str">
        <x:f>IF(A67="","",K67-L67)</x:f>
      </x:c>
      <x:c r="N67" s="37" t="str">
        <x:f>IF(A67="","",IF(ISNUMBER(J67),M67*J67,"Cost missing"))</x:f>
      </x:c>
      <x:c r="O67" s="42" t="str">
        <x:f>IF(A67="","",IF(COUNTIFS('Items'!$A$6:$A$105,B67)=1,VLOOKUP(B67,'Items'!$A$6:$C$105,3,FALSE),"Unknown item"))</x:f>
      </x:c>
      <x:c r="P67" s="42" t="str">
        <x:f>IF(A67="","",IF(COUNTIFS($A$6:$A$105,A67)&lt;&gt;1,"Duplicate ID",IF(OR(O67="Unknown item",NOT(ISNUMBER(J67))),"Item/cost incomplete",IF(M67&lt;0,"Negative stock",IF(AND(E67="Purchased",G67&lt;=0),"Quantity required","OK")))))</x:f>
      </x:c>
    </x:row>
    <x:row r="68" ht="23" customHeight="1">
      <x:c r="A68" s="36"/>
      <x:c r="B68" s="36"/>
      <x:c r="C68" s="40"/>
      <x:c r="D68" s="36"/>
      <x:c r="E68" s="36"/>
      <x:c r="F68" s="36"/>
      <x:c r="G68" s="41"/>
      <x:c r="H68" s="41"/>
      <x:c r="I68" s="41"/>
      <x:c r="J68" s="37" t="str">
        <x:f>IF(A68="","",IF(E68="Manufactured",IF(COUNTIFS('Production'!$A$6:$A$105,F68)=1,IF(VLOOKUP(F68,'Production'!$A$6:$M$105,13,FALSE)="Closed",VLOOKUP(F68,'Production'!$A$6:$L$105,12,FALSE),"Pending close"),"Missing batch"),IF(AND(G68&gt;0,ISNUMBER(H68),ISNUMBER(I68)),(H68+I68)/G68,"Enter qty/cost")))</x:f>
      </x:c>
      <x:c r="K68" s="37" t="str">
        <x:f>IF(A68="","",SUMIFS('Stock Log'!$E$6:$E$205,'Stock Log'!$C$6:$C$205,A68,'Stock Log'!$B$6:$B$205,"&lt;="&amp;'Settings'!$B$7,'Stock Log'!$I$6:$I$205,"Approved"))</x:f>
      </x:c>
      <x:c r="L68" s="37" t="str">
        <x:f>IF(A68="","",SUMIFS('Stock Log'!$F$6:$F$205,'Stock Log'!$C$6:$C$205,A68,'Stock Log'!$B$6:$B$205,"&lt;="&amp;'Settings'!$B$7,'Stock Log'!$I$6:$I$205,"Approved"))</x:f>
      </x:c>
      <x:c r="M68" s="37" t="str">
        <x:f>IF(A68="","",K68-L68)</x:f>
      </x:c>
      <x:c r="N68" s="37" t="str">
        <x:f>IF(A68="","",IF(ISNUMBER(J68),M68*J68,"Cost missing"))</x:f>
      </x:c>
      <x:c r="O68" s="42" t="str">
        <x:f>IF(A68="","",IF(COUNTIFS('Items'!$A$6:$A$105,B68)=1,VLOOKUP(B68,'Items'!$A$6:$C$105,3,FALSE),"Unknown item"))</x:f>
      </x:c>
      <x:c r="P68" s="42" t="str">
        <x:f>IF(A68="","",IF(COUNTIFS($A$6:$A$105,A68)&lt;&gt;1,"Duplicate ID",IF(OR(O68="Unknown item",NOT(ISNUMBER(J68))),"Item/cost incomplete",IF(M68&lt;0,"Negative stock",IF(AND(E68="Purchased",G68&lt;=0),"Quantity required","OK")))))</x:f>
      </x:c>
    </x:row>
    <x:row r="69" ht="23" customHeight="1">
      <x:c r="A69" s="36"/>
      <x:c r="B69" s="36"/>
      <x:c r="C69" s="40"/>
      <x:c r="D69" s="36"/>
      <x:c r="E69" s="36"/>
      <x:c r="F69" s="36"/>
      <x:c r="G69" s="41"/>
      <x:c r="H69" s="41"/>
      <x:c r="I69" s="41"/>
      <x:c r="J69" s="37" t="str">
        <x:f>IF(A69="","",IF(E69="Manufactured",IF(COUNTIFS('Production'!$A$6:$A$105,F69)=1,IF(VLOOKUP(F69,'Production'!$A$6:$M$105,13,FALSE)="Closed",VLOOKUP(F69,'Production'!$A$6:$L$105,12,FALSE),"Pending close"),"Missing batch"),IF(AND(G69&gt;0,ISNUMBER(H69),ISNUMBER(I69)),(H69+I69)/G69,"Enter qty/cost")))</x:f>
      </x:c>
      <x:c r="K69" s="37" t="str">
        <x:f>IF(A69="","",SUMIFS('Stock Log'!$E$6:$E$205,'Stock Log'!$C$6:$C$205,A69,'Stock Log'!$B$6:$B$205,"&lt;="&amp;'Settings'!$B$7,'Stock Log'!$I$6:$I$205,"Approved"))</x:f>
      </x:c>
      <x:c r="L69" s="37" t="str">
        <x:f>IF(A69="","",SUMIFS('Stock Log'!$F$6:$F$205,'Stock Log'!$C$6:$C$205,A69,'Stock Log'!$B$6:$B$205,"&lt;="&amp;'Settings'!$B$7,'Stock Log'!$I$6:$I$205,"Approved"))</x:f>
      </x:c>
      <x:c r="M69" s="37" t="str">
        <x:f>IF(A69="","",K69-L69)</x:f>
      </x:c>
      <x:c r="N69" s="37" t="str">
        <x:f>IF(A69="","",IF(ISNUMBER(J69),M69*J69,"Cost missing"))</x:f>
      </x:c>
      <x:c r="O69" s="42" t="str">
        <x:f>IF(A69="","",IF(COUNTIFS('Items'!$A$6:$A$105,B69)=1,VLOOKUP(B69,'Items'!$A$6:$C$105,3,FALSE),"Unknown item"))</x:f>
      </x:c>
      <x:c r="P69" s="42" t="str">
        <x:f>IF(A69="","",IF(COUNTIFS($A$6:$A$105,A69)&lt;&gt;1,"Duplicate ID",IF(OR(O69="Unknown item",NOT(ISNUMBER(J69))),"Item/cost incomplete",IF(M69&lt;0,"Negative stock",IF(AND(E69="Purchased",G69&lt;=0),"Quantity required","OK")))))</x:f>
      </x:c>
    </x:row>
    <x:row r="70" ht="23" customHeight="1">
      <x:c r="A70" s="36"/>
      <x:c r="B70" s="36"/>
      <x:c r="C70" s="40"/>
      <x:c r="D70" s="36"/>
      <x:c r="E70" s="36"/>
      <x:c r="F70" s="36"/>
      <x:c r="G70" s="41"/>
      <x:c r="H70" s="41"/>
      <x:c r="I70" s="41"/>
      <x:c r="J70" s="37" t="str">
        <x:f>IF(A70="","",IF(E70="Manufactured",IF(COUNTIFS('Production'!$A$6:$A$105,F70)=1,IF(VLOOKUP(F70,'Production'!$A$6:$M$105,13,FALSE)="Closed",VLOOKUP(F70,'Production'!$A$6:$L$105,12,FALSE),"Pending close"),"Missing batch"),IF(AND(G70&gt;0,ISNUMBER(H70),ISNUMBER(I70)),(H70+I70)/G70,"Enter qty/cost")))</x:f>
      </x:c>
      <x:c r="K70" s="37" t="str">
        <x:f>IF(A70="","",SUMIFS('Stock Log'!$E$6:$E$205,'Stock Log'!$C$6:$C$205,A70,'Stock Log'!$B$6:$B$205,"&lt;="&amp;'Settings'!$B$7,'Stock Log'!$I$6:$I$205,"Approved"))</x:f>
      </x:c>
      <x:c r="L70" s="37" t="str">
        <x:f>IF(A70="","",SUMIFS('Stock Log'!$F$6:$F$205,'Stock Log'!$C$6:$C$205,A70,'Stock Log'!$B$6:$B$205,"&lt;="&amp;'Settings'!$B$7,'Stock Log'!$I$6:$I$205,"Approved"))</x:f>
      </x:c>
      <x:c r="M70" s="37" t="str">
        <x:f>IF(A70="","",K70-L70)</x:f>
      </x:c>
      <x:c r="N70" s="37" t="str">
        <x:f>IF(A70="","",IF(ISNUMBER(J70),M70*J70,"Cost missing"))</x:f>
      </x:c>
      <x:c r="O70" s="42" t="str">
        <x:f>IF(A70="","",IF(COUNTIFS('Items'!$A$6:$A$105,B70)=1,VLOOKUP(B70,'Items'!$A$6:$C$105,3,FALSE),"Unknown item"))</x:f>
      </x:c>
      <x:c r="P70" s="42" t="str">
        <x:f>IF(A70="","",IF(COUNTIFS($A$6:$A$105,A70)&lt;&gt;1,"Duplicate ID",IF(OR(O70="Unknown item",NOT(ISNUMBER(J70))),"Item/cost incomplete",IF(M70&lt;0,"Negative stock",IF(AND(E70="Purchased",G70&lt;=0),"Quantity required","OK")))))</x:f>
      </x:c>
    </x:row>
    <x:row r="71" ht="23" customHeight="1">
      <x:c r="A71" s="36"/>
      <x:c r="B71" s="36"/>
      <x:c r="C71" s="40"/>
      <x:c r="D71" s="36"/>
      <x:c r="E71" s="36"/>
      <x:c r="F71" s="36"/>
      <x:c r="G71" s="41"/>
      <x:c r="H71" s="41"/>
      <x:c r="I71" s="41"/>
      <x:c r="J71" s="37" t="str">
        <x:f>IF(A71="","",IF(E71="Manufactured",IF(COUNTIFS('Production'!$A$6:$A$105,F71)=1,IF(VLOOKUP(F71,'Production'!$A$6:$M$105,13,FALSE)="Closed",VLOOKUP(F71,'Production'!$A$6:$L$105,12,FALSE),"Pending close"),"Missing batch"),IF(AND(G71&gt;0,ISNUMBER(H71),ISNUMBER(I71)),(H71+I71)/G71,"Enter qty/cost")))</x:f>
      </x:c>
      <x:c r="K71" s="37" t="str">
        <x:f>IF(A71="","",SUMIFS('Stock Log'!$E$6:$E$205,'Stock Log'!$C$6:$C$205,A71,'Stock Log'!$B$6:$B$205,"&lt;="&amp;'Settings'!$B$7,'Stock Log'!$I$6:$I$205,"Approved"))</x:f>
      </x:c>
      <x:c r="L71" s="37" t="str">
        <x:f>IF(A71="","",SUMIFS('Stock Log'!$F$6:$F$205,'Stock Log'!$C$6:$C$205,A71,'Stock Log'!$B$6:$B$205,"&lt;="&amp;'Settings'!$B$7,'Stock Log'!$I$6:$I$205,"Approved"))</x:f>
      </x:c>
      <x:c r="M71" s="37" t="str">
        <x:f>IF(A71="","",K71-L71)</x:f>
      </x:c>
      <x:c r="N71" s="37" t="str">
        <x:f>IF(A71="","",IF(ISNUMBER(J71),M71*J71,"Cost missing"))</x:f>
      </x:c>
      <x:c r="O71" s="42" t="str">
        <x:f>IF(A71="","",IF(COUNTIFS('Items'!$A$6:$A$105,B71)=1,VLOOKUP(B71,'Items'!$A$6:$C$105,3,FALSE),"Unknown item"))</x:f>
      </x:c>
      <x:c r="P71" s="42" t="str">
        <x:f>IF(A71="","",IF(COUNTIFS($A$6:$A$105,A71)&lt;&gt;1,"Duplicate ID",IF(OR(O71="Unknown item",NOT(ISNUMBER(J71))),"Item/cost incomplete",IF(M71&lt;0,"Negative stock",IF(AND(E71="Purchased",G71&lt;=0),"Quantity required","OK")))))</x:f>
      </x:c>
    </x:row>
    <x:row r="72" ht="23" customHeight="1">
      <x:c r="A72" s="36"/>
      <x:c r="B72" s="36"/>
      <x:c r="C72" s="40"/>
      <x:c r="D72" s="36"/>
      <x:c r="E72" s="36"/>
      <x:c r="F72" s="36"/>
      <x:c r="G72" s="41"/>
      <x:c r="H72" s="41"/>
      <x:c r="I72" s="41"/>
      <x:c r="J72" s="37" t="str">
        <x:f>IF(A72="","",IF(E72="Manufactured",IF(COUNTIFS('Production'!$A$6:$A$105,F72)=1,IF(VLOOKUP(F72,'Production'!$A$6:$M$105,13,FALSE)="Closed",VLOOKUP(F72,'Production'!$A$6:$L$105,12,FALSE),"Pending close"),"Missing batch"),IF(AND(G72&gt;0,ISNUMBER(H72),ISNUMBER(I72)),(H72+I72)/G72,"Enter qty/cost")))</x:f>
      </x:c>
      <x:c r="K72" s="37" t="str">
        <x:f>IF(A72="","",SUMIFS('Stock Log'!$E$6:$E$205,'Stock Log'!$C$6:$C$205,A72,'Stock Log'!$B$6:$B$205,"&lt;="&amp;'Settings'!$B$7,'Stock Log'!$I$6:$I$205,"Approved"))</x:f>
      </x:c>
      <x:c r="L72" s="37" t="str">
        <x:f>IF(A72="","",SUMIFS('Stock Log'!$F$6:$F$205,'Stock Log'!$C$6:$C$205,A72,'Stock Log'!$B$6:$B$205,"&lt;="&amp;'Settings'!$B$7,'Stock Log'!$I$6:$I$205,"Approved"))</x:f>
      </x:c>
      <x:c r="M72" s="37" t="str">
        <x:f>IF(A72="","",K72-L72)</x:f>
      </x:c>
      <x:c r="N72" s="37" t="str">
        <x:f>IF(A72="","",IF(ISNUMBER(J72),M72*J72,"Cost missing"))</x:f>
      </x:c>
      <x:c r="O72" s="42" t="str">
        <x:f>IF(A72="","",IF(COUNTIFS('Items'!$A$6:$A$105,B72)=1,VLOOKUP(B72,'Items'!$A$6:$C$105,3,FALSE),"Unknown item"))</x:f>
      </x:c>
      <x:c r="P72" s="42" t="str">
        <x:f>IF(A72="","",IF(COUNTIFS($A$6:$A$105,A72)&lt;&gt;1,"Duplicate ID",IF(OR(O72="Unknown item",NOT(ISNUMBER(J72))),"Item/cost incomplete",IF(M72&lt;0,"Negative stock",IF(AND(E72="Purchased",G72&lt;=0),"Quantity required","OK")))))</x:f>
      </x:c>
    </x:row>
    <x:row r="73" ht="23" customHeight="1">
      <x:c r="A73" s="36"/>
      <x:c r="B73" s="36"/>
      <x:c r="C73" s="40"/>
      <x:c r="D73" s="36"/>
      <x:c r="E73" s="36"/>
      <x:c r="F73" s="36"/>
      <x:c r="G73" s="41"/>
      <x:c r="H73" s="41"/>
      <x:c r="I73" s="41"/>
      <x:c r="J73" s="37" t="str">
        <x:f>IF(A73="","",IF(E73="Manufactured",IF(COUNTIFS('Production'!$A$6:$A$105,F73)=1,IF(VLOOKUP(F73,'Production'!$A$6:$M$105,13,FALSE)="Closed",VLOOKUP(F73,'Production'!$A$6:$L$105,12,FALSE),"Pending close"),"Missing batch"),IF(AND(G73&gt;0,ISNUMBER(H73),ISNUMBER(I73)),(H73+I73)/G73,"Enter qty/cost")))</x:f>
      </x:c>
      <x:c r="K73" s="37" t="str">
        <x:f>IF(A73="","",SUMIFS('Stock Log'!$E$6:$E$205,'Stock Log'!$C$6:$C$205,A73,'Stock Log'!$B$6:$B$205,"&lt;="&amp;'Settings'!$B$7,'Stock Log'!$I$6:$I$205,"Approved"))</x:f>
      </x:c>
      <x:c r="L73" s="37" t="str">
        <x:f>IF(A73="","",SUMIFS('Stock Log'!$F$6:$F$205,'Stock Log'!$C$6:$C$205,A73,'Stock Log'!$B$6:$B$205,"&lt;="&amp;'Settings'!$B$7,'Stock Log'!$I$6:$I$205,"Approved"))</x:f>
      </x:c>
      <x:c r="M73" s="37" t="str">
        <x:f>IF(A73="","",K73-L73)</x:f>
      </x:c>
      <x:c r="N73" s="37" t="str">
        <x:f>IF(A73="","",IF(ISNUMBER(J73),M73*J73,"Cost missing"))</x:f>
      </x:c>
      <x:c r="O73" s="42" t="str">
        <x:f>IF(A73="","",IF(COUNTIFS('Items'!$A$6:$A$105,B73)=1,VLOOKUP(B73,'Items'!$A$6:$C$105,3,FALSE),"Unknown item"))</x:f>
      </x:c>
      <x:c r="P73" s="42" t="str">
        <x:f>IF(A73="","",IF(COUNTIFS($A$6:$A$105,A73)&lt;&gt;1,"Duplicate ID",IF(OR(O73="Unknown item",NOT(ISNUMBER(J73))),"Item/cost incomplete",IF(M73&lt;0,"Negative stock",IF(AND(E73="Purchased",G73&lt;=0),"Quantity required","OK")))))</x:f>
      </x:c>
    </x:row>
    <x:row r="74" ht="23" customHeight="1">
      <x:c r="A74" s="36"/>
      <x:c r="B74" s="36"/>
      <x:c r="C74" s="40"/>
      <x:c r="D74" s="36"/>
      <x:c r="E74" s="36"/>
      <x:c r="F74" s="36"/>
      <x:c r="G74" s="41"/>
      <x:c r="H74" s="41"/>
      <x:c r="I74" s="41"/>
      <x:c r="J74" s="37" t="str">
        <x:f>IF(A74="","",IF(E74="Manufactured",IF(COUNTIFS('Production'!$A$6:$A$105,F74)=1,IF(VLOOKUP(F74,'Production'!$A$6:$M$105,13,FALSE)="Closed",VLOOKUP(F74,'Production'!$A$6:$L$105,12,FALSE),"Pending close"),"Missing batch"),IF(AND(G74&gt;0,ISNUMBER(H74),ISNUMBER(I74)),(H74+I74)/G74,"Enter qty/cost")))</x:f>
      </x:c>
      <x:c r="K74" s="37" t="str">
        <x:f>IF(A74="","",SUMIFS('Stock Log'!$E$6:$E$205,'Stock Log'!$C$6:$C$205,A74,'Stock Log'!$B$6:$B$205,"&lt;="&amp;'Settings'!$B$7,'Stock Log'!$I$6:$I$205,"Approved"))</x:f>
      </x:c>
      <x:c r="L74" s="37" t="str">
        <x:f>IF(A74="","",SUMIFS('Stock Log'!$F$6:$F$205,'Stock Log'!$C$6:$C$205,A74,'Stock Log'!$B$6:$B$205,"&lt;="&amp;'Settings'!$B$7,'Stock Log'!$I$6:$I$205,"Approved"))</x:f>
      </x:c>
      <x:c r="M74" s="37" t="str">
        <x:f>IF(A74="","",K74-L74)</x:f>
      </x:c>
      <x:c r="N74" s="37" t="str">
        <x:f>IF(A74="","",IF(ISNUMBER(J74),M74*J74,"Cost missing"))</x:f>
      </x:c>
      <x:c r="O74" s="42" t="str">
        <x:f>IF(A74="","",IF(COUNTIFS('Items'!$A$6:$A$105,B74)=1,VLOOKUP(B74,'Items'!$A$6:$C$105,3,FALSE),"Unknown item"))</x:f>
      </x:c>
      <x:c r="P74" s="42" t="str">
        <x:f>IF(A74="","",IF(COUNTIFS($A$6:$A$105,A74)&lt;&gt;1,"Duplicate ID",IF(OR(O74="Unknown item",NOT(ISNUMBER(J74))),"Item/cost incomplete",IF(M74&lt;0,"Negative stock",IF(AND(E74="Purchased",G74&lt;=0),"Quantity required","OK")))))</x:f>
      </x:c>
    </x:row>
    <x:row r="75" ht="23" customHeight="1">
      <x:c r="A75" s="36"/>
      <x:c r="B75" s="36"/>
      <x:c r="C75" s="40"/>
      <x:c r="D75" s="36"/>
      <x:c r="E75" s="36"/>
      <x:c r="F75" s="36"/>
      <x:c r="G75" s="41"/>
      <x:c r="H75" s="41"/>
      <x:c r="I75" s="41"/>
      <x:c r="J75" s="37" t="str">
        <x:f>IF(A75="","",IF(E75="Manufactured",IF(COUNTIFS('Production'!$A$6:$A$105,F75)=1,IF(VLOOKUP(F75,'Production'!$A$6:$M$105,13,FALSE)="Closed",VLOOKUP(F75,'Production'!$A$6:$L$105,12,FALSE),"Pending close"),"Missing batch"),IF(AND(G75&gt;0,ISNUMBER(H75),ISNUMBER(I75)),(H75+I75)/G75,"Enter qty/cost")))</x:f>
      </x:c>
      <x:c r="K75" s="37" t="str">
        <x:f>IF(A75="","",SUMIFS('Stock Log'!$E$6:$E$205,'Stock Log'!$C$6:$C$205,A75,'Stock Log'!$B$6:$B$205,"&lt;="&amp;'Settings'!$B$7,'Stock Log'!$I$6:$I$205,"Approved"))</x:f>
      </x:c>
      <x:c r="L75" s="37" t="str">
        <x:f>IF(A75="","",SUMIFS('Stock Log'!$F$6:$F$205,'Stock Log'!$C$6:$C$205,A75,'Stock Log'!$B$6:$B$205,"&lt;="&amp;'Settings'!$B$7,'Stock Log'!$I$6:$I$205,"Approved"))</x:f>
      </x:c>
      <x:c r="M75" s="37" t="str">
        <x:f>IF(A75="","",K75-L75)</x:f>
      </x:c>
      <x:c r="N75" s="37" t="str">
        <x:f>IF(A75="","",IF(ISNUMBER(J75),M75*J75,"Cost missing"))</x:f>
      </x:c>
      <x:c r="O75" s="42" t="str">
        <x:f>IF(A75="","",IF(COUNTIFS('Items'!$A$6:$A$105,B75)=1,VLOOKUP(B75,'Items'!$A$6:$C$105,3,FALSE),"Unknown item"))</x:f>
      </x:c>
      <x:c r="P75" s="42" t="str">
        <x:f>IF(A75="","",IF(COUNTIFS($A$6:$A$105,A75)&lt;&gt;1,"Duplicate ID",IF(OR(O75="Unknown item",NOT(ISNUMBER(J75))),"Item/cost incomplete",IF(M75&lt;0,"Negative stock",IF(AND(E75="Purchased",G75&lt;=0),"Quantity required","OK")))))</x:f>
      </x:c>
    </x:row>
    <x:row r="76" ht="23" customHeight="1">
      <x:c r="A76" s="36"/>
      <x:c r="B76" s="36"/>
      <x:c r="C76" s="40"/>
      <x:c r="D76" s="36"/>
      <x:c r="E76" s="36"/>
      <x:c r="F76" s="36"/>
      <x:c r="G76" s="41"/>
      <x:c r="H76" s="41"/>
      <x:c r="I76" s="41"/>
      <x:c r="J76" s="37" t="str">
        <x:f>IF(A76="","",IF(E76="Manufactured",IF(COUNTIFS('Production'!$A$6:$A$105,F76)=1,IF(VLOOKUP(F76,'Production'!$A$6:$M$105,13,FALSE)="Closed",VLOOKUP(F76,'Production'!$A$6:$L$105,12,FALSE),"Pending close"),"Missing batch"),IF(AND(G76&gt;0,ISNUMBER(H76),ISNUMBER(I76)),(H76+I76)/G76,"Enter qty/cost")))</x:f>
      </x:c>
      <x:c r="K76" s="37" t="str">
        <x:f>IF(A76="","",SUMIFS('Stock Log'!$E$6:$E$205,'Stock Log'!$C$6:$C$205,A76,'Stock Log'!$B$6:$B$205,"&lt;="&amp;'Settings'!$B$7,'Stock Log'!$I$6:$I$205,"Approved"))</x:f>
      </x:c>
      <x:c r="L76" s="37" t="str">
        <x:f>IF(A76="","",SUMIFS('Stock Log'!$F$6:$F$205,'Stock Log'!$C$6:$C$205,A76,'Stock Log'!$B$6:$B$205,"&lt;="&amp;'Settings'!$B$7,'Stock Log'!$I$6:$I$205,"Approved"))</x:f>
      </x:c>
      <x:c r="M76" s="37" t="str">
        <x:f>IF(A76="","",K76-L76)</x:f>
      </x:c>
      <x:c r="N76" s="37" t="str">
        <x:f>IF(A76="","",IF(ISNUMBER(J76),M76*J76,"Cost missing"))</x:f>
      </x:c>
      <x:c r="O76" s="42" t="str">
        <x:f>IF(A76="","",IF(COUNTIFS('Items'!$A$6:$A$105,B76)=1,VLOOKUP(B76,'Items'!$A$6:$C$105,3,FALSE),"Unknown item"))</x:f>
      </x:c>
      <x:c r="P76" s="42" t="str">
        <x:f>IF(A76="","",IF(COUNTIFS($A$6:$A$105,A76)&lt;&gt;1,"Duplicate ID",IF(OR(O76="Unknown item",NOT(ISNUMBER(J76))),"Item/cost incomplete",IF(M76&lt;0,"Negative stock",IF(AND(E76="Purchased",G76&lt;=0),"Quantity required","OK")))))</x:f>
      </x:c>
    </x:row>
    <x:row r="77" ht="23" customHeight="1">
      <x:c r="A77" s="36"/>
      <x:c r="B77" s="36"/>
      <x:c r="C77" s="40"/>
      <x:c r="D77" s="36"/>
      <x:c r="E77" s="36"/>
      <x:c r="F77" s="36"/>
      <x:c r="G77" s="41"/>
      <x:c r="H77" s="41"/>
      <x:c r="I77" s="41"/>
      <x:c r="J77" s="37" t="str">
        <x:f>IF(A77="","",IF(E77="Manufactured",IF(COUNTIFS('Production'!$A$6:$A$105,F77)=1,IF(VLOOKUP(F77,'Production'!$A$6:$M$105,13,FALSE)="Closed",VLOOKUP(F77,'Production'!$A$6:$L$105,12,FALSE),"Pending close"),"Missing batch"),IF(AND(G77&gt;0,ISNUMBER(H77),ISNUMBER(I77)),(H77+I77)/G77,"Enter qty/cost")))</x:f>
      </x:c>
      <x:c r="K77" s="37" t="str">
        <x:f>IF(A77="","",SUMIFS('Stock Log'!$E$6:$E$205,'Stock Log'!$C$6:$C$205,A77,'Stock Log'!$B$6:$B$205,"&lt;="&amp;'Settings'!$B$7,'Stock Log'!$I$6:$I$205,"Approved"))</x:f>
      </x:c>
      <x:c r="L77" s="37" t="str">
        <x:f>IF(A77="","",SUMIFS('Stock Log'!$F$6:$F$205,'Stock Log'!$C$6:$C$205,A77,'Stock Log'!$B$6:$B$205,"&lt;="&amp;'Settings'!$B$7,'Stock Log'!$I$6:$I$205,"Approved"))</x:f>
      </x:c>
      <x:c r="M77" s="37" t="str">
        <x:f>IF(A77="","",K77-L77)</x:f>
      </x:c>
      <x:c r="N77" s="37" t="str">
        <x:f>IF(A77="","",IF(ISNUMBER(J77),M77*J77,"Cost missing"))</x:f>
      </x:c>
      <x:c r="O77" s="42" t="str">
        <x:f>IF(A77="","",IF(COUNTIFS('Items'!$A$6:$A$105,B77)=1,VLOOKUP(B77,'Items'!$A$6:$C$105,3,FALSE),"Unknown item"))</x:f>
      </x:c>
      <x:c r="P77" s="42" t="str">
        <x:f>IF(A77="","",IF(COUNTIFS($A$6:$A$105,A77)&lt;&gt;1,"Duplicate ID",IF(OR(O77="Unknown item",NOT(ISNUMBER(J77))),"Item/cost incomplete",IF(M77&lt;0,"Negative stock",IF(AND(E77="Purchased",G77&lt;=0),"Quantity required","OK")))))</x:f>
      </x:c>
    </x:row>
    <x:row r="78" ht="23" customHeight="1">
      <x:c r="A78" s="36"/>
      <x:c r="B78" s="36"/>
      <x:c r="C78" s="40"/>
      <x:c r="D78" s="36"/>
      <x:c r="E78" s="36"/>
      <x:c r="F78" s="36"/>
      <x:c r="G78" s="41"/>
      <x:c r="H78" s="41"/>
      <x:c r="I78" s="41"/>
      <x:c r="J78" s="37" t="str">
        <x:f>IF(A78="","",IF(E78="Manufactured",IF(COUNTIFS('Production'!$A$6:$A$105,F78)=1,IF(VLOOKUP(F78,'Production'!$A$6:$M$105,13,FALSE)="Closed",VLOOKUP(F78,'Production'!$A$6:$L$105,12,FALSE),"Pending close"),"Missing batch"),IF(AND(G78&gt;0,ISNUMBER(H78),ISNUMBER(I78)),(H78+I78)/G78,"Enter qty/cost")))</x:f>
      </x:c>
      <x:c r="K78" s="37" t="str">
        <x:f>IF(A78="","",SUMIFS('Stock Log'!$E$6:$E$205,'Stock Log'!$C$6:$C$205,A78,'Stock Log'!$B$6:$B$205,"&lt;="&amp;'Settings'!$B$7,'Stock Log'!$I$6:$I$205,"Approved"))</x:f>
      </x:c>
      <x:c r="L78" s="37" t="str">
        <x:f>IF(A78="","",SUMIFS('Stock Log'!$F$6:$F$205,'Stock Log'!$C$6:$C$205,A78,'Stock Log'!$B$6:$B$205,"&lt;="&amp;'Settings'!$B$7,'Stock Log'!$I$6:$I$205,"Approved"))</x:f>
      </x:c>
      <x:c r="M78" s="37" t="str">
        <x:f>IF(A78="","",K78-L78)</x:f>
      </x:c>
      <x:c r="N78" s="37" t="str">
        <x:f>IF(A78="","",IF(ISNUMBER(J78),M78*J78,"Cost missing"))</x:f>
      </x:c>
      <x:c r="O78" s="42" t="str">
        <x:f>IF(A78="","",IF(COUNTIFS('Items'!$A$6:$A$105,B78)=1,VLOOKUP(B78,'Items'!$A$6:$C$105,3,FALSE),"Unknown item"))</x:f>
      </x:c>
      <x:c r="P78" s="42" t="str">
        <x:f>IF(A78="","",IF(COUNTIFS($A$6:$A$105,A78)&lt;&gt;1,"Duplicate ID",IF(OR(O78="Unknown item",NOT(ISNUMBER(J78))),"Item/cost incomplete",IF(M78&lt;0,"Negative stock",IF(AND(E78="Purchased",G78&lt;=0),"Quantity required","OK")))))</x:f>
      </x:c>
    </x:row>
    <x:row r="79" ht="23" customHeight="1">
      <x:c r="A79" s="36"/>
      <x:c r="B79" s="36"/>
      <x:c r="C79" s="40"/>
      <x:c r="D79" s="36"/>
      <x:c r="E79" s="36"/>
      <x:c r="F79" s="36"/>
      <x:c r="G79" s="41"/>
      <x:c r="H79" s="41"/>
      <x:c r="I79" s="41"/>
      <x:c r="J79" s="37" t="str">
        <x:f>IF(A79="","",IF(E79="Manufactured",IF(COUNTIFS('Production'!$A$6:$A$105,F79)=1,IF(VLOOKUP(F79,'Production'!$A$6:$M$105,13,FALSE)="Closed",VLOOKUP(F79,'Production'!$A$6:$L$105,12,FALSE),"Pending close"),"Missing batch"),IF(AND(G79&gt;0,ISNUMBER(H79),ISNUMBER(I79)),(H79+I79)/G79,"Enter qty/cost")))</x:f>
      </x:c>
      <x:c r="K79" s="37" t="str">
        <x:f>IF(A79="","",SUMIFS('Stock Log'!$E$6:$E$205,'Stock Log'!$C$6:$C$205,A79,'Stock Log'!$B$6:$B$205,"&lt;="&amp;'Settings'!$B$7,'Stock Log'!$I$6:$I$205,"Approved"))</x:f>
      </x:c>
      <x:c r="L79" s="37" t="str">
        <x:f>IF(A79="","",SUMIFS('Stock Log'!$F$6:$F$205,'Stock Log'!$C$6:$C$205,A79,'Stock Log'!$B$6:$B$205,"&lt;="&amp;'Settings'!$B$7,'Stock Log'!$I$6:$I$205,"Approved"))</x:f>
      </x:c>
      <x:c r="M79" s="37" t="str">
        <x:f>IF(A79="","",K79-L79)</x:f>
      </x:c>
      <x:c r="N79" s="37" t="str">
        <x:f>IF(A79="","",IF(ISNUMBER(J79),M79*J79,"Cost missing"))</x:f>
      </x:c>
      <x:c r="O79" s="42" t="str">
        <x:f>IF(A79="","",IF(COUNTIFS('Items'!$A$6:$A$105,B79)=1,VLOOKUP(B79,'Items'!$A$6:$C$105,3,FALSE),"Unknown item"))</x:f>
      </x:c>
      <x:c r="P79" s="42" t="str">
        <x:f>IF(A79="","",IF(COUNTIFS($A$6:$A$105,A79)&lt;&gt;1,"Duplicate ID",IF(OR(O79="Unknown item",NOT(ISNUMBER(J79))),"Item/cost incomplete",IF(M79&lt;0,"Negative stock",IF(AND(E79="Purchased",G79&lt;=0),"Quantity required","OK")))))</x:f>
      </x:c>
    </x:row>
    <x:row r="80" ht="23" customHeight="1">
      <x:c r="A80" s="36"/>
      <x:c r="B80" s="36"/>
      <x:c r="C80" s="40"/>
      <x:c r="D80" s="36"/>
      <x:c r="E80" s="36"/>
      <x:c r="F80" s="36"/>
      <x:c r="G80" s="41"/>
      <x:c r="H80" s="41"/>
      <x:c r="I80" s="41"/>
      <x:c r="J80" s="37" t="str">
        <x:f>IF(A80="","",IF(E80="Manufactured",IF(COUNTIFS('Production'!$A$6:$A$105,F80)=1,IF(VLOOKUP(F80,'Production'!$A$6:$M$105,13,FALSE)="Closed",VLOOKUP(F80,'Production'!$A$6:$L$105,12,FALSE),"Pending close"),"Missing batch"),IF(AND(G80&gt;0,ISNUMBER(H80),ISNUMBER(I80)),(H80+I80)/G80,"Enter qty/cost")))</x:f>
      </x:c>
      <x:c r="K80" s="37" t="str">
        <x:f>IF(A80="","",SUMIFS('Stock Log'!$E$6:$E$205,'Stock Log'!$C$6:$C$205,A80,'Stock Log'!$B$6:$B$205,"&lt;="&amp;'Settings'!$B$7,'Stock Log'!$I$6:$I$205,"Approved"))</x:f>
      </x:c>
      <x:c r="L80" s="37" t="str">
        <x:f>IF(A80="","",SUMIFS('Stock Log'!$F$6:$F$205,'Stock Log'!$C$6:$C$205,A80,'Stock Log'!$B$6:$B$205,"&lt;="&amp;'Settings'!$B$7,'Stock Log'!$I$6:$I$205,"Approved"))</x:f>
      </x:c>
      <x:c r="M80" s="37" t="str">
        <x:f>IF(A80="","",K80-L80)</x:f>
      </x:c>
      <x:c r="N80" s="37" t="str">
        <x:f>IF(A80="","",IF(ISNUMBER(J80),M80*J80,"Cost missing"))</x:f>
      </x:c>
      <x:c r="O80" s="42" t="str">
        <x:f>IF(A80="","",IF(COUNTIFS('Items'!$A$6:$A$105,B80)=1,VLOOKUP(B80,'Items'!$A$6:$C$105,3,FALSE),"Unknown item"))</x:f>
      </x:c>
      <x:c r="P80" s="42" t="str">
        <x:f>IF(A80="","",IF(COUNTIFS($A$6:$A$105,A80)&lt;&gt;1,"Duplicate ID",IF(OR(O80="Unknown item",NOT(ISNUMBER(J80))),"Item/cost incomplete",IF(M80&lt;0,"Negative stock",IF(AND(E80="Purchased",G80&lt;=0),"Quantity required","OK")))))</x:f>
      </x:c>
    </x:row>
    <x:row r="81" ht="23" customHeight="1">
      <x:c r="A81" s="36"/>
      <x:c r="B81" s="36"/>
      <x:c r="C81" s="40"/>
      <x:c r="D81" s="36"/>
      <x:c r="E81" s="36"/>
      <x:c r="F81" s="36"/>
      <x:c r="G81" s="41"/>
      <x:c r="H81" s="41"/>
      <x:c r="I81" s="41"/>
      <x:c r="J81" s="37" t="str">
        <x:f>IF(A81="","",IF(E81="Manufactured",IF(COUNTIFS('Production'!$A$6:$A$105,F81)=1,IF(VLOOKUP(F81,'Production'!$A$6:$M$105,13,FALSE)="Closed",VLOOKUP(F81,'Production'!$A$6:$L$105,12,FALSE),"Pending close"),"Missing batch"),IF(AND(G81&gt;0,ISNUMBER(H81),ISNUMBER(I81)),(H81+I81)/G81,"Enter qty/cost")))</x:f>
      </x:c>
      <x:c r="K81" s="37" t="str">
        <x:f>IF(A81="","",SUMIFS('Stock Log'!$E$6:$E$205,'Stock Log'!$C$6:$C$205,A81,'Stock Log'!$B$6:$B$205,"&lt;="&amp;'Settings'!$B$7,'Stock Log'!$I$6:$I$205,"Approved"))</x:f>
      </x:c>
      <x:c r="L81" s="37" t="str">
        <x:f>IF(A81="","",SUMIFS('Stock Log'!$F$6:$F$205,'Stock Log'!$C$6:$C$205,A81,'Stock Log'!$B$6:$B$205,"&lt;="&amp;'Settings'!$B$7,'Stock Log'!$I$6:$I$205,"Approved"))</x:f>
      </x:c>
      <x:c r="M81" s="37" t="str">
        <x:f>IF(A81="","",K81-L81)</x:f>
      </x:c>
      <x:c r="N81" s="37" t="str">
        <x:f>IF(A81="","",IF(ISNUMBER(J81),M81*J81,"Cost missing"))</x:f>
      </x:c>
      <x:c r="O81" s="42" t="str">
        <x:f>IF(A81="","",IF(COUNTIFS('Items'!$A$6:$A$105,B81)=1,VLOOKUP(B81,'Items'!$A$6:$C$105,3,FALSE),"Unknown item"))</x:f>
      </x:c>
      <x:c r="P81" s="42" t="str">
        <x:f>IF(A81="","",IF(COUNTIFS($A$6:$A$105,A81)&lt;&gt;1,"Duplicate ID",IF(OR(O81="Unknown item",NOT(ISNUMBER(J81))),"Item/cost incomplete",IF(M81&lt;0,"Negative stock",IF(AND(E81="Purchased",G81&lt;=0),"Quantity required","OK")))))</x:f>
      </x:c>
    </x:row>
    <x:row r="82" ht="23" customHeight="1">
      <x:c r="A82" s="36"/>
      <x:c r="B82" s="36"/>
      <x:c r="C82" s="40"/>
      <x:c r="D82" s="36"/>
      <x:c r="E82" s="36"/>
      <x:c r="F82" s="36"/>
      <x:c r="G82" s="41"/>
      <x:c r="H82" s="41"/>
      <x:c r="I82" s="41"/>
      <x:c r="J82" s="37" t="str">
        <x:f>IF(A82="","",IF(E82="Manufactured",IF(COUNTIFS('Production'!$A$6:$A$105,F82)=1,IF(VLOOKUP(F82,'Production'!$A$6:$M$105,13,FALSE)="Closed",VLOOKUP(F82,'Production'!$A$6:$L$105,12,FALSE),"Pending close"),"Missing batch"),IF(AND(G82&gt;0,ISNUMBER(H82),ISNUMBER(I82)),(H82+I82)/G82,"Enter qty/cost")))</x:f>
      </x:c>
      <x:c r="K82" s="37" t="str">
        <x:f>IF(A82="","",SUMIFS('Stock Log'!$E$6:$E$205,'Stock Log'!$C$6:$C$205,A82,'Stock Log'!$B$6:$B$205,"&lt;="&amp;'Settings'!$B$7,'Stock Log'!$I$6:$I$205,"Approved"))</x:f>
      </x:c>
      <x:c r="L82" s="37" t="str">
        <x:f>IF(A82="","",SUMIFS('Stock Log'!$F$6:$F$205,'Stock Log'!$C$6:$C$205,A82,'Stock Log'!$B$6:$B$205,"&lt;="&amp;'Settings'!$B$7,'Stock Log'!$I$6:$I$205,"Approved"))</x:f>
      </x:c>
      <x:c r="M82" s="37" t="str">
        <x:f>IF(A82="","",K82-L82)</x:f>
      </x:c>
      <x:c r="N82" s="37" t="str">
        <x:f>IF(A82="","",IF(ISNUMBER(J82),M82*J82,"Cost missing"))</x:f>
      </x:c>
      <x:c r="O82" s="42" t="str">
        <x:f>IF(A82="","",IF(COUNTIFS('Items'!$A$6:$A$105,B82)=1,VLOOKUP(B82,'Items'!$A$6:$C$105,3,FALSE),"Unknown item"))</x:f>
      </x:c>
      <x:c r="P82" s="42" t="str">
        <x:f>IF(A82="","",IF(COUNTIFS($A$6:$A$105,A82)&lt;&gt;1,"Duplicate ID",IF(OR(O82="Unknown item",NOT(ISNUMBER(J82))),"Item/cost incomplete",IF(M82&lt;0,"Negative stock",IF(AND(E82="Purchased",G82&lt;=0),"Quantity required","OK")))))</x:f>
      </x:c>
    </x:row>
    <x:row r="83" ht="23" customHeight="1">
      <x:c r="A83" s="36"/>
      <x:c r="B83" s="36"/>
      <x:c r="C83" s="40"/>
      <x:c r="D83" s="36"/>
      <x:c r="E83" s="36"/>
      <x:c r="F83" s="36"/>
      <x:c r="G83" s="41"/>
      <x:c r="H83" s="41"/>
      <x:c r="I83" s="41"/>
      <x:c r="J83" s="37" t="str">
        <x:f>IF(A83="","",IF(E83="Manufactured",IF(COUNTIFS('Production'!$A$6:$A$105,F83)=1,IF(VLOOKUP(F83,'Production'!$A$6:$M$105,13,FALSE)="Closed",VLOOKUP(F83,'Production'!$A$6:$L$105,12,FALSE),"Pending close"),"Missing batch"),IF(AND(G83&gt;0,ISNUMBER(H83),ISNUMBER(I83)),(H83+I83)/G83,"Enter qty/cost")))</x:f>
      </x:c>
      <x:c r="K83" s="37" t="str">
        <x:f>IF(A83="","",SUMIFS('Stock Log'!$E$6:$E$205,'Stock Log'!$C$6:$C$205,A83,'Stock Log'!$B$6:$B$205,"&lt;="&amp;'Settings'!$B$7,'Stock Log'!$I$6:$I$205,"Approved"))</x:f>
      </x:c>
      <x:c r="L83" s="37" t="str">
        <x:f>IF(A83="","",SUMIFS('Stock Log'!$F$6:$F$205,'Stock Log'!$C$6:$C$205,A83,'Stock Log'!$B$6:$B$205,"&lt;="&amp;'Settings'!$B$7,'Stock Log'!$I$6:$I$205,"Approved"))</x:f>
      </x:c>
      <x:c r="M83" s="37" t="str">
        <x:f>IF(A83="","",K83-L83)</x:f>
      </x:c>
      <x:c r="N83" s="37" t="str">
        <x:f>IF(A83="","",IF(ISNUMBER(J83),M83*J83,"Cost missing"))</x:f>
      </x:c>
      <x:c r="O83" s="42" t="str">
        <x:f>IF(A83="","",IF(COUNTIFS('Items'!$A$6:$A$105,B83)=1,VLOOKUP(B83,'Items'!$A$6:$C$105,3,FALSE),"Unknown item"))</x:f>
      </x:c>
      <x:c r="P83" s="42" t="str">
        <x:f>IF(A83="","",IF(COUNTIFS($A$6:$A$105,A83)&lt;&gt;1,"Duplicate ID",IF(OR(O83="Unknown item",NOT(ISNUMBER(J83))),"Item/cost incomplete",IF(M83&lt;0,"Negative stock",IF(AND(E83="Purchased",G83&lt;=0),"Quantity required","OK")))))</x:f>
      </x:c>
    </x:row>
    <x:row r="84" ht="23" customHeight="1">
      <x:c r="A84" s="36"/>
      <x:c r="B84" s="36"/>
      <x:c r="C84" s="40"/>
      <x:c r="D84" s="36"/>
      <x:c r="E84" s="36"/>
      <x:c r="F84" s="36"/>
      <x:c r="G84" s="41"/>
      <x:c r="H84" s="41"/>
      <x:c r="I84" s="41"/>
      <x:c r="J84" s="37" t="str">
        <x:f>IF(A84="","",IF(E84="Manufactured",IF(COUNTIFS('Production'!$A$6:$A$105,F84)=1,IF(VLOOKUP(F84,'Production'!$A$6:$M$105,13,FALSE)="Closed",VLOOKUP(F84,'Production'!$A$6:$L$105,12,FALSE),"Pending close"),"Missing batch"),IF(AND(G84&gt;0,ISNUMBER(H84),ISNUMBER(I84)),(H84+I84)/G84,"Enter qty/cost")))</x:f>
      </x:c>
      <x:c r="K84" s="37" t="str">
        <x:f>IF(A84="","",SUMIFS('Stock Log'!$E$6:$E$205,'Stock Log'!$C$6:$C$205,A84,'Stock Log'!$B$6:$B$205,"&lt;="&amp;'Settings'!$B$7,'Stock Log'!$I$6:$I$205,"Approved"))</x:f>
      </x:c>
      <x:c r="L84" s="37" t="str">
        <x:f>IF(A84="","",SUMIFS('Stock Log'!$F$6:$F$205,'Stock Log'!$C$6:$C$205,A84,'Stock Log'!$B$6:$B$205,"&lt;="&amp;'Settings'!$B$7,'Stock Log'!$I$6:$I$205,"Approved"))</x:f>
      </x:c>
      <x:c r="M84" s="37" t="str">
        <x:f>IF(A84="","",K84-L84)</x:f>
      </x:c>
      <x:c r="N84" s="37" t="str">
        <x:f>IF(A84="","",IF(ISNUMBER(J84),M84*J84,"Cost missing"))</x:f>
      </x:c>
      <x:c r="O84" s="42" t="str">
        <x:f>IF(A84="","",IF(COUNTIFS('Items'!$A$6:$A$105,B84)=1,VLOOKUP(B84,'Items'!$A$6:$C$105,3,FALSE),"Unknown item"))</x:f>
      </x:c>
      <x:c r="P84" s="42" t="str">
        <x:f>IF(A84="","",IF(COUNTIFS($A$6:$A$105,A84)&lt;&gt;1,"Duplicate ID",IF(OR(O84="Unknown item",NOT(ISNUMBER(J84))),"Item/cost incomplete",IF(M84&lt;0,"Negative stock",IF(AND(E84="Purchased",G84&lt;=0),"Quantity required","OK")))))</x:f>
      </x:c>
    </x:row>
    <x:row r="85" ht="23" customHeight="1">
      <x:c r="A85" s="36"/>
      <x:c r="B85" s="36"/>
      <x:c r="C85" s="40"/>
      <x:c r="D85" s="36"/>
      <x:c r="E85" s="36"/>
      <x:c r="F85" s="36"/>
      <x:c r="G85" s="41"/>
      <x:c r="H85" s="41"/>
      <x:c r="I85" s="41"/>
      <x:c r="J85" s="37" t="str">
        <x:f>IF(A85="","",IF(E85="Manufactured",IF(COUNTIFS('Production'!$A$6:$A$105,F85)=1,IF(VLOOKUP(F85,'Production'!$A$6:$M$105,13,FALSE)="Closed",VLOOKUP(F85,'Production'!$A$6:$L$105,12,FALSE),"Pending close"),"Missing batch"),IF(AND(G85&gt;0,ISNUMBER(H85),ISNUMBER(I85)),(H85+I85)/G85,"Enter qty/cost")))</x:f>
      </x:c>
      <x:c r="K85" s="37" t="str">
        <x:f>IF(A85="","",SUMIFS('Stock Log'!$E$6:$E$205,'Stock Log'!$C$6:$C$205,A85,'Stock Log'!$B$6:$B$205,"&lt;="&amp;'Settings'!$B$7,'Stock Log'!$I$6:$I$205,"Approved"))</x:f>
      </x:c>
      <x:c r="L85" s="37" t="str">
        <x:f>IF(A85="","",SUMIFS('Stock Log'!$F$6:$F$205,'Stock Log'!$C$6:$C$205,A85,'Stock Log'!$B$6:$B$205,"&lt;="&amp;'Settings'!$B$7,'Stock Log'!$I$6:$I$205,"Approved"))</x:f>
      </x:c>
      <x:c r="M85" s="37" t="str">
        <x:f>IF(A85="","",K85-L85)</x:f>
      </x:c>
      <x:c r="N85" s="37" t="str">
        <x:f>IF(A85="","",IF(ISNUMBER(J85),M85*J85,"Cost missing"))</x:f>
      </x:c>
      <x:c r="O85" s="42" t="str">
        <x:f>IF(A85="","",IF(COUNTIFS('Items'!$A$6:$A$105,B85)=1,VLOOKUP(B85,'Items'!$A$6:$C$105,3,FALSE),"Unknown item"))</x:f>
      </x:c>
      <x:c r="P85" s="42" t="str">
        <x:f>IF(A85="","",IF(COUNTIFS($A$6:$A$105,A85)&lt;&gt;1,"Duplicate ID",IF(OR(O85="Unknown item",NOT(ISNUMBER(J85))),"Item/cost incomplete",IF(M85&lt;0,"Negative stock",IF(AND(E85="Purchased",G85&lt;=0),"Quantity required","OK")))))</x:f>
      </x:c>
    </x:row>
    <x:row r="86" ht="23" customHeight="1">
      <x:c r="A86" s="36"/>
      <x:c r="B86" s="36"/>
      <x:c r="C86" s="40"/>
      <x:c r="D86" s="36"/>
      <x:c r="E86" s="36"/>
      <x:c r="F86" s="36"/>
      <x:c r="G86" s="41"/>
      <x:c r="H86" s="41"/>
      <x:c r="I86" s="41"/>
      <x:c r="J86" s="37" t="str">
        <x:f>IF(A86="","",IF(E86="Manufactured",IF(COUNTIFS('Production'!$A$6:$A$105,F86)=1,IF(VLOOKUP(F86,'Production'!$A$6:$M$105,13,FALSE)="Closed",VLOOKUP(F86,'Production'!$A$6:$L$105,12,FALSE),"Pending close"),"Missing batch"),IF(AND(G86&gt;0,ISNUMBER(H86),ISNUMBER(I86)),(H86+I86)/G86,"Enter qty/cost")))</x:f>
      </x:c>
      <x:c r="K86" s="37" t="str">
        <x:f>IF(A86="","",SUMIFS('Stock Log'!$E$6:$E$205,'Stock Log'!$C$6:$C$205,A86,'Stock Log'!$B$6:$B$205,"&lt;="&amp;'Settings'!$B$7,'Stock Log'!$I$6:$I$205,"Approved"))</x:f>
      </x:c>
      <x:c r="L86" s="37" t="str">
        <x:f>IF(A86="","",SUMIFS('Stock Log'!$F$6:$F$205,'Stock Log'!$C$6:$C$205,A86,'Stock Log'!$B$6:$B$205,"&lt;="&amp;'Settings'!$B$7,'Stock Log'!$I$6:$I$205,"Approved"))</x:f>
      </x:c>
      <x:c r="M86" s="37" t="str">
        <x:f>IF(A86="","",K86-L86)</x:f>
      </x:c>
      <x:c r="N86" s="37" t="str">
        <x:f>IF(A86="","",IF(ISNUMBER(J86),M86*J86,"Cost missing"))</x:f>
      </x:c>
      <x:c r="O86" s="42" t="str">
        <x:f>IF(A86="","",IF(COUNTIFS('Items'!$A$6:$A$105,B86)=1,VLOOKUP(B86,'Items'!$A$6:$C$105,3,FALSE),"Unknown item"))</x:f>
      </x:c>
      <x:c r="P86" s="42" t="str">
        <x:f>IF(A86="","",IF(COUNTIFS($A$6:$A$105,A86)&lt;&gt;1,"Duplicate ID",IF(OR(O86="Unknown item",NOT(ISNUMBER(J86))),"Item/cost incomplete",IF(M86&lt;0,"Negative stock",IF(AND(E86="Purchased",G86&lt;=0),"Quantity required","OK")))))</x:f>
      </x:c>
    </x:row>
    <x:row r="87" ht="23" customHeight="1">
      <x:c r="A87" s="36"/>
      <x:c r="B87" s="36"/>
      <x:c r="C87" s="40"/>
      <x:c r="D87" s="36"/>
      <x:c r="E87" s="36"/>
      <x:c r="F87" s="36"/>
      <x:c r="G87" s="41"/>
      <x:c r="H87" s="41"/>
      <x:c r="I87" s="41"/>
      <x:c r="J87" s="37" t="str">
        <x:f>IF(A87="","",IF(E87="Manufactured",IF(COUNTIFS('Production'!$A$6:$A$105,F87)=1,IF(VLOOKUP(F87,'Production'!$A$6:$M$105,13,FALSE)="Closed",VLOOKUP(F87,'Production'!$A$6:$L$105,12,FALSE),"Pending close"),"Missing batch"),IF(AND(G87&gt;0,ISNUMBER(H87),ISNUMBER(I87)),(H87+I87)/G87,"Enter qty/cost")))</x:f>
      </x:c>
      <x:c r="K87" s="37" t="str">
        <x:f>IF(A87="","",SUMIFS('Stock Log'!$E$6:$E$205,'Stock Log'!$C$6:$C$205,A87,'Stock Log'!$B$6:$B$205,"&lt;="&amp;'Settings'!$B$7,'Stock Log'!$I$6:$I$205,"Approved"))</x:f>
      </x:c>
      <x:c r="L87" s="37" t="str">
        <x:f>IF(A87="","",SUMIFS('Stock Log'!$F$6:$F$205,'Stock Log'!$C$6:$C$205,A87,'Stock Log'!$B$6:$B$205,"&lt;="&amp;'Settings'!$B$7,'Stock Log'!$I$6:$I$205,"Approved"))</x:f>
      </x:c>
      <x:c r="M87" s="37" t="str">
        <x:f>IF(A87="","",K87-L87)</x:f>
      </x:c>
      <x:c r="N87" s="37" t="str">
        <x:f>IF(A87="","",IF(ISNUMBER(J87),M87*J87,"Cost missing"))</x:f>
      </x:c>
      <x:c r="O87" s="42" t="str">
        <x:f>IF(A87="","",IF(COUNTIFS('Items'!$A$6:$A$105,B87)=1,VLOOKUP(B87,'Items'!$A$6:$C$105,3,FALSE),"Unknown item"))</x:f>
      </x:c>
      <x:c r="P87" s="42" t="str">
        <x:f>IF(A87="","",IF(COUNTIFS($A$6:$A$105,A87)&lt;&gt;1,"Duplicate ID",IF(OR(O87="Unknown item",NOT(ISNUMBER(J87))),"Item/cost incomplete",IF(M87&lt;0,"Negative stock",IF(AND(E87="Purchased",G87&lt;=0),"Quantity required","OK")))))</x:f>
      </x:c>
    </x:row>
    <x:row r="88" ht="23" customHeight="1">
      <x:c r="A88" s="36"/>
      <x:c r="B88" s="36"/>
      <x:c r="C88" s="40"/>
      <x:c r="D88" s="36"/>
      <x:c r="E88" s="36"/>
      <x:c r="F88" s="36"/>
      <x:c r="G88" s="41"/>
      <x:c r="H88" s="41"/>
      <x:c r="I88" s="41"/>
      <x:c r="J88" s="37" t="str">
        <x:f>IF(A88="","",IF(E88="Manufactured",IF(COUNTIFS('Production'!$A$6:$A$105,F88)=1,IF(VLOOKUP(F88,'Production'!$A$6:$M$105,13,FALSE)="Closed",VLOOKUP(F88,'Production'!$A$6:$L$105,12,FALSE),"Pending close"),"Missing batch"),IF(AND(G88&gt;0,ISNUMBER(H88),ISNUMBER(I88)),(H88+I88)/G88,"Enter qty/cost")))</x:f>
      </x:c>
      <x:c r="K88" s="37" t="str">
        <x:f>IF(A88="","",SUMIFS('Stock Log'!$E$6:$E$205,'Stock Log'!$C$6:$C$205,A88,'Stock Log'!$B$6:$B$205,"&lt;="&amp;'Settings'!$B$7,'Stock Log'!$I$6:$I$205,"Approved"))</x:f>
      </x:c>
      <x:c r="L88" s="37" t="str">
        <x:f>IF(A88="","",SUMIFS('Stock Log'!$F$6:$F$205,'Stock Log'!$C$6:$C$205,A88,'Stock Log'!$B$6:$B$205,"&lt;="&amp;'Settings'!$B$7,'Stock Log'!$I$6:$I$205,"Approved"))</x:f>
      </x:c>
      <x:c r="M88" s="37" t="str">
        <x:f>IF(A88="","",K88-L88)</x:f>
      </x:c>
      <x:c r="N88" s="37" t="str">
        <x:f>IF(A88="","",IF(ISNUMBER(J88),M88*J88,"Cost missing"))</x:f>
      </x:c>
      <x:c r="O88" s="42" t="str">
        <x:f>IF(A88="","",IF(COUNTIFS('Items'!$A$6:$A$105,B88)=1,VLOOKUP(B88,'Items'!$A$6:$C$105,3,FALSE),"Unknown item"))</x:f>
      </x:c>
      <x:c r="P88" s="42" t="str">
        <x:f>IF(A88="","",IF(COUNTIFS($A$6:$A$105,A88)&lt;&gt;1,"Duplicate ID",IF(OR(O88="Unknown item",NOT(ISNUMBER(J88))),"Item/cost incomplete",IF(M88&lt;0,"Negative stock",IF(AND(E88="Purchased",G88&lt;=0),"Quantity required","OK")))))</x:f>
      </x:c>
    </x:row>
    <x:row r="89" ht="23" customHeight="1">
      <x:c r="A89" s="36"/>
      <x:c r="B89" s="36"/>
      <x:c r="C89" s="40"/>
      <x:c r="D89" s="36"/>
      <x:c r="E89" s="36"/>
      <x:c r="F89" s="36"/>
      <x:c r="G89" s="41"/>
      <x:c r="H89" s="41"/>
      <x:c r="I89" s="41"/>
      <x:c r="J89" s="37" t="str">
        <x:f>IF(A89="","",IF(E89="Manufactured",IF(COUNTIFS('Production'!$A$6:$A$105,F89)=1,IF(VLOOKUP(F89,'Production'!$A$6:$M$105,13,FALSE)="Closed",VLOOKUP(F89,'Production'!$A$6:$L$105,12,FALSE),"Pending close"),"Missing batch"),IF(AND(G89&gt;0,ISNUMBER(H89),ISNUMBER(I89)),(H89+I89)/G89,"Enter qty/cost")))</x:f>
      </x:c>
      <x:c r="K89" s="37" t="str">
        <x:f>IF(A89="","",SUMIFS('Stock Log'!$E$6:$E$205,'Stock Log'!$C$6:$C$205,A89,'Stock Log'!$B$6:$B$205,"&lt;="&amp;'Settings'!$B$7,'Stock Log'!$I$6:$I$205,"Approved"))</x:f>
      </x:c>
      <x:c r="L89" s="37" t="str">
        <x:f>IF(A89="","",SUMIFS('Stock Log'!$F$6:$F$205,'Stock Log'!$C$6:$C$205,A89,'Stock Log'!$B$6:$B$205,"&lt;="&amp;'Settings'!$B$7,'Stock Log'!$I$6:$I$205,"Approved"))</x:f>
      </x:c>
      <x:c r="M89" s="37" t="str">
        <x:f>IF(A89="","",K89-L89)</x:f>
      </x:c>
      <x:c r="N89" s="37" t="str">
        <x:f>IF(A89="","",IF(ISNUMBER(J89),M89*J89,"Cost missing"))</x:f>
      </x:c>
      <x:c r="O89" s="42" t="str">
        <x:f>IF(A89="","",IF(COUNTIFS('Items'!$A$6:$A$105,B89)=1,VLOOKUP(B89,'Items'!$A$6:$C$105,3,FALSE),"Unknown item"))</x:f>
      </x:c>
      <x:c r="P89" s="42" t="str">
        <x:f>IF(A89="","",IF(COUNTIFS($A$6:$A$105,A89)&lt;&gt;1,"Duplicate ID",IF(OR(O89="Unknown item",NOT(ISNUMBER(J89))),"Item/cost incomplete",IF(M89&lt;0,"Negative stock",IF(AND(E89="Purchased",G89&lt;=0),"Quantity required","OK")))))</x:f>
      </x:c>
    </x:row>
    <x:row r="90" ht="23" customHeight="1">
      <x:c r="A90" s="36"/>
      <x:c r="B90" s="36"/>
      <x:c r="C90" s="40"/>
      <x:c r="D90" s="36"/>
      <x:c r="E90" s="36"/>
      <x:c r="F90" s="36"/>
      <x:c r="G90" s="41"/>
      <x:c r="H90" s="41"/>
      <x:c r="I90" s="41"/>
      <x:c r="J90" s="37" t="str">
        <x:f>IF(A90="","",IF(E90="Manufactured",IF(COUNTIFS('Production'!$A$6:$A$105,F90)=1,IF(VLOOKUP(F90,'Production'!$A$6:$M$105,13,FALSE)="Closed",VLOOKUP(F90,'Production'!$A$6:$L$105,12,FALSE),"Pending close"),"Missing batch"),IF(AND(G90&gt;0,ISNUMBER(H90),ISNUMBER(I90)),(H90+I90)/G90,"Enter qty/cost")))</x:f>
      </x:c>
      <x:c r="K90" s="37" t="str">
        <x:f>IF(A90="","",SUMIFS('Stock Log'!$E$6:$E$205,'Stock Log'!$C$6:$C$205,A90,'Stock Log'!$B$6:$B$205,"&lt;="&amp;'Settings'!$B$7,'Stock Log'!$I$6:$I$205,"Approved"))</x:f>
      </x:c>
      <x:c r="L90" s="37" t="str">
        <x:f>IF(A90="","",SUMIFS('Stock Log'!$F$6:$F$205,'Stock Log'!$C$6:$C$205,A90,'Stock Log'!$B$6:$B$205,"&lt;="&amp;'Settings'!$B$7,'Stock Log'!$I$6:$I$205,"Approved"))</x:f>
      </x:c>
      <x:c r="M90" s="37" t="str">
        <x:f>IF(A90="","",K90-L90)</x:f>
      </x:c>
      <x:c r="N90" s="37" t="str">
        <x:f>IF(A90="","",IF(ISNUMBER(J90),M90*J90,"Cost missing"))</x:f>
      </x:c>
      <x:c r="O90" s="42" t="str">
        <x:f>IF(A90="","",IF(COUNTIFS('Items'!$A$6:$A$105,B90)=1,VLOOKUP(B90,'Items'!$A$6:$C$105,3,FALSE),"Unknown item"))</x:f>
      </x:c>
      <x:c r="P90" s="42" t="str">
        <x:f>IF(A90="","",IF(COUNTIFS($A$6:$A$105,A90)&lt;&gt;1,"Duplicate ID",IF(OR(O90="Unknown item",NOT(ISNUMBER(J90))),"Item/cost incomplete",IF(M90&lt;0,"Negative stock",IF(AND(E90="Purchased",G90&lt;=0),"Quantity required","OK")))))</x:f>
      </x:c>
    </x:row>
    <x:row r="91" ht="23" customHeight="1">
      <x:c r="A91" s="36"/>
      <x:c r="B91" s="36"/>
      <x:c r="C91" s="40"/>
      <x:c r="D91" s="36"/>
      <x:c r="E91" s="36"/>
      <x:c r="F91" s="36"/>
      <x:c r="G91" s="41"/>
      <x:c r="H91" s="41"/>
      <x:c r="I91" s="41"/>
      <x:c r="J91" s="37" t="str">
        <x:f>IF(A91="","",IF(E91="Manufactured",IF(COUNTIFS('Production'!$A$6:$A$105,F91)=1,IF(VLOOKUP(F91,'Production'!$A$6:$M$105,13,FALSE)="Closed",VLOOKUP(F91,'Production'!$A$6:$L$105,12,FALSE),"Pending close"),"Missing batch"),IF(AND(G91&gt;0,ISNUMBER(H91),ISNUMBER(I91)),(H91+I91)/G91,"Enter qty/cost")))</x:f>
      </x:c>
      <x:c r="K91" s="37" t="str">
        <x:f>IF(A91="","",SUMIFS('Stock Log'!$E$6:$E$205,'Stock Log'!$C$6:$C$205,A91,'Stock Log'!$B$6:$B$205,"&lt;="&amp;'Settings'!$B$7,'Stock Log'!$I$6:$I$205,"Approved"))</x:f>
      </x:c>
      <x:c r="L91" s="37" t="str">
        <x:f>IF(A91="","",SUMIFS('Stock Log'!$F$6:$F$205,'Stock Log'!$C$6:$C$205,A91,'Stock Log'!$B$6:$B$205,"&lt;="&amp;'Settings'!$B$7,'Stock Log'!$I$6:$I$205,"Approved"))</x:f>
      </x:c>
      <x:c r="M91" s="37" t="str">
        <x:f>IF(A91="","",K91-L91)</x:f>
      </x:c>
      <x:c r="N91" s="37" t="str">
        <x:f>IF(A91="","",IF(ISNUMBER(J91),M91*J91,"Cost missing"))</x:f>
      </x:c>
      <x:c r="O91" s="42" t="str">
        <x:f>IF(A91="","",IF(COUNTIFS('Items'!$A$6:$A$105,B91)=1,VLOOKUP(B91,'Items'!$A$6:$C$105,3,FALSE),"Unknown item"))</x:f>
      </x:c>
      <x:c r="P91" s="42" t="str">
        <x:f>IF(A91="","",IF(COUNTIFS($A$6:$A$105,A91)&lt;&gt;1,"Duplicate ID",IF(OR(O91="Unknown item",NOT(ISNUMBER(J91))),"Item/cost incomplete",IF(M91&lt;0,"Negative stock",IF(AND(E91="Purchased",G91&lt;=0),"Quantity required","OK")))))</x:f>
      </x:c>
    </x:row>
    <x:row r="92" ht="23" customHeight="1">
      <x:c r="A92" s="36"/>
      <x:c r="B92" s="36"/>
      <x:c r="C92" s="40"/>
      <x:c r="D92" s="36"/>
      <x:c r="E92" s="36"/>
      <x:c r="F92" s="36"/>
      <x:c r="G92" s="41"/>
      <x:c r="H92" s="41"/>
      <x:c r="I92" s="41"/>
      <x:c r="J92" s="37" t="str">
        <x:f>IF(A92="","",IF(E92="Manufactured",IF(COUNTIFS('Production'!$A$6:$A$105,F92)=1,IF(VLOOKUP(F92,'Production'!$A$6:$M$105,13,FALSE)="Closed",VLOOKUP(F92,'Production'!$A$6:$L$105,12,FALSE),"Pending close"),"Missing batch"),IF(AND(G92&gt;0,ISNUMBER(H92),ISNUMBER(I92)),(H92+I92)/G92,"Enter qty/cost")))</x:f>
      </x:c>
      <x:c r="K92" s="37" t="str">
        <x:f>IF(A92="","",SUMIFS('Stock Log'!$E$6:$E$205,'Stock Log'!$C$6:$C$205,A92,'Stock Log'!$B$6:$B$205,"&lt;="&amp;'Settings'!$B$7,'Stock Log'!$I$6:$I$205,"Approved"))</x:f>
      </x:c>
      <x:c r="L92" s="37" t="str">
        <x:f>IF(A92="","",SUMIFS('Stock Log'!$F$6:$F$205,'Stock Log'!$C$6:$C$205,A92,'Stock Log'!$B$6:$B$205,"&lt;="&amp;'Settings'!$B$7,'Stock Log'!$I$6:$I$205,"Approved"))</x:f>
      </x:c>
      <x:c r="M92" s="37" t="str">
        <x:f>IF(A92="","",K92-L92)</x:f>
      </x:c>
      <x:c r="N92" s="37" t="str">
        <x:f>IF(A92="","",IF(ISNUMBER(J92),M92*J92,"Cost missing"))</x:f>
      </x:c>
      <x:c r="O92" s="42" t="str">
        <x:f>IF(A92="","",IF(COUNTIFS('Items'!$A$6:$A$105,B92)=1,VLOOKUP(B92,'Items'!$A$6:$C$105,3,FALSE),"Unknown item"))</x:f>
      </x:c>
      <x:c r="P92" s="42" t="str">
        <x:f>IF(A92="","",IF(COUNTIFS($A$6:$A$105,A92)&lt;&gt;1,"Duplicate ID",IF(OR(O92="Unknown item",NOT(ISNUMBER(J92))),"Item/cost incomplete",IF(M92&lt;0,"Negative stock",IF(AND(E92="Purchased",G92&lt;=0),"Quantity required","OK")))))</x:f>
      </x:c>
    </x:row>
    <x:row r="93" ht="23" customHeight="1">
      <x:c r="A93" s="36"/>
      <x:c r="B93" s="36"/>
      <x:c r="C93" s="40"/>
      <x:c r="D93" s="36"/>
      <x:c r="E93" s="36"/>
      <x:c r="F93" s="36"/>
      <x:c r="G93" s="41"/>
      <x:c r="H93" s="41"/>
      <x:c r="I93" s="41"/>
      <x:c r="J93" s="37" t="str">
        <x:f>IF(A93="","",IF(E93="Manufactured",IF(COUNTIFS('Production'!$A$6:$A$105,F93)=1,IF(VLOOKUP(F93,'Production'!$A$6:$M$105,13,FALSE)="Closed",VLOOKUP(F93,'Production'!$A$6:$L$105,12,FALSE),"Pending close"),"Missing batch"),IF(AND(G93&gt;0,ISNUMBER(H93),ISNUMBER(I93)),(H93+I93)/G93,"Enter qty/cost")))</x:f>
      </x:c>
      <x:c r="K93" s="37" t="str">
        <x:f>IF(A93="","",SUMIFS('Stock Log'!$E$6:$E$205,'Stock Log'!$C$6:$C$205,A93,'Stock Log'!$B$6:$B$205,"&lt;="&amp;'Settings'!$B$7,'Stock Log'!$I$6:$I$205,"Approved"))</x:f>
      </x:c>
      <x:c r="L93" s="37" t="str">
        <x:f>IF(A93="","",SUMIFS('Stock Log'!$F$6:$F$205,'Stock Log'!$C$6:$C$205,A93,'Stock Log'!$B$6:$B$205,"&lt;="&amp;'Settings'!$B$7,'Stock Log'!$I$6:$I$205,"Approved"))</x:f>
      </x:c>
      <x:c r="M93" s="37" t="str">
        <x:f>IF(A93="","",K93-L93)</x:f>
      </x:c>
      <x:c r="N93" s="37" t="str">
        <x:f>IF(A93="","",IF(ISNUMBER(J93),M93*J93,"Cost missing"))</x:f>
      </x:c>
      <x:c r="O93" s="42" t="str">
        <x:f>IF(A93="","",IF(COUNTIFS('Items'!$A$6:$A$105,B93)=1,VLOOKUP(B93,'Items'!$A$6:$C$105,3,FALSE),"Unknown item"))</x:f>
      </x:c>
      <x:c r="P93" s="42" t="str">
        <x:f>IF(A93="","",IF(COUNTIFS($A$6:$A$105,A93)&lt;&gt;1,"Duplicate ID",IF(OR(O93="Unknown item",NOT(ISNUMBER(J93))),"Item/cost incomplete",IF(M93&lt;0,"Negative stock",IF(AND(E93="Purchased",G93&lt;=0),"Quantity required","OK")))))</x:f>
      </x:c>
    </x:row>
    <x:row r="94" ht="23" customHeight="1">
      <x:c r="A94" s="36"/>
      <x:c r="B94" s="36"/>
      <x:c r="C94" s="40"/>
      <x:c r="D94" s="36"/>
      <x:c r="E94" s="36"/>
      <x:c r="F94" s="36"/>
      <x:c r="G94" s="41"/>
      <x:c r="H94" s="41"/>
      <x:c r="I94" s="41"/>
      <x:c r="J94" s="37" t="str">
        <x:f>IF(A94="","",IF(E94="Manufactured",IF(COUNTIFS('Production'!$A$6:$A$105,F94)=1,IF(VLOOKUP(F94,'Production'!$A$6:$M$105,13,FALSE)="Closed",VLOOKUP(F94,'Production'!$A$6:$L$105,12,FALSE),"Pending close"),"Missing batch"),IF(AND(G94&gt;0,ISNUMBER(H94),ISNUMBER(I94)),(H94+I94)/G94,"Enter qty/cost")))</x:f>
      </x:c>
      <x:c r="K94" s="37" t="str">
        <x:f>IF(A94="","",SUMIFS('Stock Log'!$E$6:$E$205,'Stock Log'!$C$6:$C$205,A94,'Stock Log'!$B$6:$B$205,"&lt;="&amp;'Settings'!$B$7,'Stock Log'!$I$6:$I$205,"Approved"))</x:f>
      </x:c>
      <x:c r="L94" s="37" t="str">
        <x:f>IF(A94="","",SUMIFS('Stock Log'!$F$6:$F$205,'Stock Log'!$C$6:$C$205,A94,'Stock Log'!$B$6:$B$205,"&lt;="&amp;'Settings'!$B$7,'Stock Log'!$I$6:$I$205,"Approved"))</x:f>
      </x:c>
      <x:c r="M94" s="37" t="str">
        <x:f>IF(A94="","",K94-L94)</x:f>
      </x:c>
      <x:c r="N94" s="37" t="str">
        <x:f>IF(A94="","",IF(ISNUMBER(J94),M94*J94,"Cost missing"))</x:f>
      </x:c>
      <x:c r="O94" s="42" t="str">
        <x:f>IF(A94="","",IF(COUNTIFS('Items'!$A$6:$A$105,B94)=1,VLOOKUP(B94,'Items'!$A$6:$C$105,3,FALSE),"Unknown item"))</x:f>
      </x:c>
      <x:c r="P94" s="42" t="str">
        <x:f>IF(A94="","",IF(COUNTIFS($A$6:$A$105,A94)&lt;&gt;1,"Duplicate ID",IF(OR(O94="Unknown item",NOT(ISNUMBER(J94))),"Item/cost incomplete",IF(M94&lt;0,"Negative stock",IF(AND(E94="Purchased",G94&lt;=0),"Quantity required","OK")))))</x:f>
      </x:c>
    </x:row>
    <x:row r="95" ht="23" customHeight="1">
      <x:c r="A95" s="36"/>
      <x:c r="B95" s="36"/>
      <x:c r="C95" s="40"/>
      <x:c r="D95" s="36"/>
      <x:c r="E95" s="36"/>
      <x:c r="F95" s="36"/>
      <x:c r="G95" s="41"/>
      <x:c r="H95" s="41"/>
      <x:c r="I95" s="41"/>
      <x:c r="J95" s="37" t="str">
        <x:f>IF(A95="","",IF(E95="Manufactured",IF(COUNTIFS('Production'!$A$6:$A$105,F95)=1,IF(VLOOKUP(F95,'Production'!$A$6:$M$105,13,FALSE)="Closed",VLOOKUP(F95,'Production'!$A$6:$L$105,12,FALSE),"Pending close"),"Missing batch"),IF(AND(G95&gt;0,ISNUMBER(H95),ISNUMBER(I95)),(H95+I95)/G95,"Enter qty/cost")))</x:f>
      </x:c>
      <x:c r="K95" s="37" t="str">
        <x:f>IF(A95="","",SUMIFS('Stock Log'!$E$6:$E$205,'Stock Log'!$C$6:$C$205,A95,'Stock Log'!$B$6:$B$205,"&lt;="&amp;'Settings'!$B$7,'Stock Log'!$I$6:$I$205,"Approved"))</x:f>
      </x:c>
      <x:c r="L95" s="37" t="str">
        <x:f>IF(A95="","",SUMIFS('Stock Log'!$F$6:$F$205,'Stock Log'!$C$6:$C$205,A95,'Stock Log'!$B$6:$B$205,"&lt;="&amp;'Settings'!$B$7,'Stock Log'!$I$6:$I$205,"Approved"))</x:f>
      </x:c>
      <x:c r="M95" s="37" t="str">
        <x:f>IF(A95="","",K95-L95)</x:f>
      </x:c>
      <x:c r="N95" s="37" t="str">
        <x:f>IF(A95="","",IF(ISNUMBER(J95),M95*J95,"Cost missing"))</x:f>
      </x:c>
      <x:c r="O95" s="42" t="str">
        <x:f>IF(A95="","",IF(COUNTIFS('Items'!$A$6:$A$105,B95)=1,VLOOKUP(B95,'Items'!$A$6:$C$105,3,FALSE),"Unknown item"))</x:f>
      </x:c>
      <x:c r="P95" s="42" t="str">
        <x:f>IF(A95="","",IF(COUNTIFS($A$6:$A$105,A95)&lt;&gt;1,"Duplicate ID",IF(OR(O95="Unknown item",NOT(ISNUMBER(J95))),"Item/cost incomplete",IF(M95&lt;0,"Negative stock",IF(AND(E95="Purchased",G95&lt;=0),"Quantity required","OK")))))</x:f>
      </x:c>
    </x:row>
    <x:row r="96" ht="23" customHeight="1">
      <x:c r="A96" s="36"/>
      <x:c r="B96" s="36"/>
      <x:c r="C96" s="40"/>
      <x:c r="D96" s="36"/>
      <x:c r="E96" s="36"/>
      <x:c r="F96" s="36"/>
      <x:c r="G96" s="41"/>
      <x:c r="H96" s="41"/>
      <x:c r="I96" s="41"/>
      <x:c r="J96" s="37" t="str">
        <x:f>IF(A96="","",IF(E96="Manufactured",IF(COUNTIFS('Production'!$A$6:$A$105,F96)=1,IF(VLOOKUP(F96,'Production'!$A$6:$M$105,13,FALSE)="Closed",VLOOKUP(F96,'Production'!$A$6:$L$105,12,FALSE),"Pending close"),"Missing batch"),IF(AND(G96&gt;0,ISNUMBER(H96),ISNUMBER(I96)),(H96+I96)/G96,"Enter qty/cost")))</x:f>
      </x:c>
      <x:c r="K96" s="37" t="str">
        <x:f>IF(A96="","",SUMIFS('Stock Log'!$E$6:$E$205,'Stock Log'!$C$6:$C$205,A96,'Stock Log'!$B$6:$B$205,"&lt;="&amp;'Settings'!$B$7,'Stock Log'!$I$6:$I$205,"Approved"))</x:f>
      </x:c>
      <x:c r="L96" s="37" t="str">
        <x:f>IF(A96="","",SUMIFS('Stock Log'!$F$6:$F$205,'Stock Log'!$C$6:$C$205,A96,'Stock Log'!$B$6:$B$205,"&lt;="&amp;'Settings'!$B$7,'Stock Log'!$I$6:$I$205,"Approved"))</x:f>
      </x:c>
      <x:c r="M96" s="37" t="str">
        <x:f>IF(A96="","",K96-L96)</x:f>
      </x:c>
      <x:c r="N96" s="37" t="str">
        <x:f>IF(A96="","",IF(ISNUMBER(J96),M96*J96,"Cost missing"))</x:f>
      </x:c>
      <x:c r="O96" s="42" t="str">
        <x:f>IF(A96="","",IF(COUNTIFS('Items'!$A$6:$A$105,B96)=1,VLOOKUP(B96,'Items'!$A$6:$C$105,3,FALSE),"Unknown item"))</x:f>
      </x:c>
      <x:c r="P96" s="42" t="str">
        <x:f>IF(A96="","",IF(COUNTIFS($A$6:$A$105,A96)&lt;&gt;1,"Duplicate ID",IF(OR(O96="Unknown item",NOT(ISNUMBER(J96))),"Item/cost incomplete",IF(M96&lt;0,"Negative stock",IF(AND(E96="Purchased",G96&lt;=0),"Quantity required","OK")))))</x:f>
      </x:c>
    </x:row>
    <x:row r="97" ht="23" customHeight="1">
      <x:c r="A97" s="36"/>
      <x:c r="B97" s="36"/>
      <x:c r="C97" s="40"/>
      <x:c r="D97" s="36"/>
      <x:c r="E97" s="36"/>
      <x:c r="F97" s="36"/>
      <x:c r="G97" s="41"/>
      <x:c r="H97" s="41"/>
      <x:c r="I97" s="41"/>
      <x:c r="J97" s="37" t="str">
        <x:f>IF(A97="","",IF(E97="Manufactured",IF(COUNTIFS('Production'!$A$6:$A$105,F97)=1,IF(VLOOKUP(F97,'Production'!$A$6:$M$105,13,FALSE)="Closed",VLOOKUP(F97,'Production'!$A$6:$L$105,12,FALSE),"Pending close"),"Missing batch"),IF(AND(G97&gt;0,ISNUMBER(H97),ISNUMBER(I97)),(H97+I97)/G97,"Enter qty/cost")))</x:f>
      </x:c>
      <x:c r="K97" s="37" t="str">
        <x:f>IF(A97="","",SUMIFS('Stock Log'!$E$6:$E$205,'Stock Log'!$C$6:$C$205,A97,'Stock Log'!$B$6:$B$205,"&lt;="&amp;'Settings'!$B$7,'Stock Log'!$I$6:$I$205,"Approved"))</x:f>
      </x:c>
      <x:c r="L97" s="37" t="str">
        <x:f>IF(A97="","",SUMIFS('Stock Log'!$F$6:$F$205,'Stock Log'!$C$6:$C$205,A97,'Stock Log'!$B$6:$B$205,"&lt;="&amp;'Settings'!$B$7,'Stock Log'!$I$6:$I$205,"Approved"))</x:f>
      </x:c>
      <x:c r="M97" s="37" t="str">
        <x:f>IF(A97="","",K97-L97)</x:f>
      </x:c>
      <x:c r="N97" s="37" t="str">
        <x:f>IF(A97="","",IF(ISNUMBER(J97),M97*J97,"Cost missing"))</x:f>
      </x:c>
      <x:c r="O97" s="42" t="str">
        <x:f>IF(A97="","",IF(COUNTIFS('Items'!$A$6:$A$105,B97)=1,VLOOKUP(B97,'Items'!$A$6:$C$105,3,FALSE),"Unknown item"))</x:f>
      </x:c>
      <x:c r="P97" s="42" t="str">
        <x:f>IF(A97="","",IF(COUNTIFS($A$6:$A$105,A97)&lt;&gt;1,"Duplicate ID",IF(OR(O97="Unknown item",NOT(ISNUMBER(J97))),"Item/cost incomplete",IF(M97&lt;0,"Negative stock",IF(AND(E97="Purchased",G97&lt;=0),"Quantity required","OK")))))</x:f>
      </x:c>
    </x:row>
    <x:row r="98" ht="23" customHeight="1">
      <x:c r="A98" s="36"/>
      <x:c r="B98" s="36"/>
      <x:c r="C98" s="40"/>
      <x:c r="D98" s="36"/>
      <x:c r="E98" s="36"/>
      <x:c r="F98" s="36"/>
      <x:c r="G98" s="41"/>
      <x:c r="H98" s="41"/>
      <x:c r="I98" s="41"/>
      <x:c r="J98" s="37" t="str">
        <x:f>IF(A98="","",IF(E98="Manufactured",IF(COUNTIFS('Production'!$A$6:$A$105,F98)=1,IF(VLOOKUP(F98,'Production'!$A$6:$M$105,13,FALSE)="Closed",VLOOKUP(F98,'Production'!$A$6:$L$105,12,FALSE),"Pending close"),"Missing batch"),IF(AND(G98&gt;0,ISNUMBER(H98),ISNUMBER(I98)),(H98+I98)/G98,"Enter qty/cost")))</x:f>
      </x:c>
      <x:c r="K98" s="37" t="str">
        <x:f>IF(A98="","",SUMIFS('Stock Log'!$E$6:$E$205,'Stock Log'!$C$6:$C$205,A98,'Stock Log'!$B$6:$B$205,"&lt;="&amp;'Settings'!$B$7,'Stock Log'!$I$6:$I$205,"Approved"))</x:f>
      </x:c>
      <x:c r="L98" s="37" t="str">
        <x:f>IF(A98="","",SUMIFS('Stock Log'!$F$6:$F$205,'Stock Log'!$C$6:$C$205,A98,'Stock Log'!$B$6:$B$205,"&lt;="&amp;'Settings'!$B$7,'Stock Log'!$I$6:$I$205,"Approved"))</x:f>
      </x:c>
      <x:c r="M98" s="37" t="str">
        <x:f>IF(A98="","",K98-L98)</x:f>
      </x:c>
      <x:c r="N98" s="37" t="str">
        <x:f>IF(A98="","",IF(ISNUMBER(J98),M98*J98,"Cost missing"))</x:f>
      </x:c>
      <x:c r="O98" s="42" t="str">
        <x:f>IF(A98="","",IF(COUNTIFS('Items'!$A$6:$A$105,B98)=1,VLOOKUP(B98,'Items'!$A$6:$C$105,3,FALSE),"Unknown item"))</x:f>
      </x:c>
      <x:c r="P98" s="42" t="str">
        <x:f>IF(A98="","",IF(COUNTIFS($A$6:$A$105,A98)&lt;&gt;1,"Duplicate ID",IF(OR(O98="Unknown item",NOT(ISNUMBER(J98))),"Item/cost incomplete",IF(M98&lt;0,"Negative stock",IF(AND(E98="Purchased",G98&lt;=0),"Quantity required","OK")))))</x:f>
      </x:c>
    </x:row>
    <x:row r="99" ht="23" customHeight="1">
      <x:c r="A99" s="36"/>
      <x:c r="B99" s="36"/>
      <x:c r="C99" s="40"/>
      <x:c r="D99" s="36"/>
      <x:c r="E99" s="36"/>
      <x:c r="F99" s="36"/>
      <x:c r="G99" s="41"/>
      <x:c r="H99" s="41"/>
      <x:c r="I99" s="41"/>
      <x:c r="J99" s="37" t="str">
        <x:f>IF(A99="","",IF(E99="Manufactured",IF(COUNTIFS('Production'!$A$6:$A$105,F99)=1,IF(VLOOKUP(F99,'Production'!$A$6:$M$105,13,FALSE)="Closed",VLOOKUP(F99,'Production'!$A$6:$L$105,12,FALSE),"Pending close"),"Missing batch"),IF(AND(G99&gt;0,ISNUMBER(H99),ISNUMBER(I99)),(H99+I99)/G99,"Enter qty/cost")))</x:f>
      </x:c>
      <x:c r="K99" s="37" t="str">
        <x:f>IF(A99="","",SUMIFS('Stock Log'!$E$6:$E$205,'Stock Log'!$C$6:$C$205,A99,'Stock Log'!$B$6:$B$205,"&lt;="&amp;'Settings'!$B$7,'Stock Log'!$I$6:$I$205,"Approved"))</x:f>
      </x:c>
      <x:c r="L99" s="37" t="str">
        <x:f>IF(A99="","",SUMIFS('Stock Log'!$F$6:$F$205,'Stock Log'!$C$6:$C$205,A99,'Stock Log'!$B$6:$B$205,"&lt;="&amp;'Settings'!$B$7,'Stock Log'!$I$6:$I$205,"Approved"))</x:f>
      </x:c>
      <x:c r="M99" s="37" t="str">
        <x:f>IF(A99="","",K99-L99)</x:f>
      </x:c>
      <x:c r="N99" s="37" t="str">
        <x:f>IF(A99="","",IF(ISNUMBER(J99),M99*J99,"Cost missing"))</x:f>
      </x:c>
      <x:c r="O99" s="42" t="str">
        <x:f>IF(A99="","",IF(COUNTIFS('Items'!$A$6:$A$105,B99)=1,VLOOKUP(B99,'Items'!$A$6:$C$105,3,FALSE),"Unknown item"))</x:f>
      </x:c>
      <x:c r="P99" s="42" t="str">
        <x:f>IF(A99="","",IF(COUNTIFS($A$6:$A$105,A99)&lt;&gt;1,"Duplicate ID",IF(OR(O99="Unknown item",NOT(ISNUMBER(J99))),"Item/cost incomplete",IF(M99&lt;0,"Negative stock",IF(AND(E99="Purchased",G99&lt;=0),"Quantity required","OK")))))</x:f>
      </x:c>
    </x:row>
    <x:row r="100" ht="23" customHeight="1">
      <x:c r="A100" s="36"/>
      <x:c r="B100" s="36"/>
      <x:c r="C100" s="40"/>
      <x:c r="D100" s="36"/>
      <x:c r="E100" s="36"/>
      <x:c r="F100" s="36"/>
      <x:c r="G100" s="41"/>
      <x:c r="H100" s="41"/>
      <x:c r="I100" s="41"/>
      <x:c r="J100" s="37" t="str">
        <x:f>IF(A100="","",IF(E100="Manufactured",IF(COUNTIFS('Production'!$A$6:$A$105,F100)=1,IF(VLOOKUP(F100,'Production'!$A$6:$M$105,13,FALSE)="Closed",VLOOKUP(F100,'Production'!$A$6:$L$105,12,FALSE),"Pending close"),"Missing batch"),IF(AND(G100&gt;0,ISNUMBER(H100),ISNUMBER(I100)),(H100+I100)/G100,"Enter qty/cost")))</x:f>
      </x:c>
      <x:c r="K100" s="37" t="str">
        <x:f>IF(A100="","",SUMIFS('Stock Log'!$E$6:$E$205,'Stock Log'!$C$6:$C$205,A100,'Stock Log'!$B$6:$B$205,"&lt;="&amp;'Settings'!$B$7,'Stock Log'!$I$6:$I$205,"Approved"))</x:f>
      </x:c>
      <x:c r="L100" s="37" t="str">
        <x:f>IF(A100="","",SUMIFS('Stock Log'!$F$6:$F$205,'Stock Log'!$C$6:$C$205,A100,'Stock Log'!$B$6:$B$205,"&lt;="&amp;'Settings'!$B$7,'Stock Log'!$I$6:$I$205,"Approved"))</x:f>
      </x:c>
      <x:c r="M100" s="37" t="str">
        <x:f>IF(A100="","",K100-L100)</x:f>
      </x:c>
      <x:c r="N100" s="37" t="str">
        <x:f>IF(A100="","",IF(ISNUMBER(J100),M100*J100,"Cost missing"))</x:f>
      </x:c>
      <x:c r="O100" s="42" t="str">
        <x:f>IF(A100="","",IF(COUNTIFS('Items'!$A$6:$A$105,B100)=1,VLOOKUP(B100,'Items'!$A$6:$C$105,3,FALSE),"Unknown item"))</x:f>
      </x:c>
      <x:c r="P100" s="42" t="str">
        <x:f>IF(A100="","",IF(COUNTIFS($A$6:$A$105,A100)&lt;&gt;1,"Duplicate ID",IF(OR(O100="Unknown item",NOT(ISNUMBER(J100))),"Item/cost incomplete",IF(M100&lt;0,"Negative stock",IF(AND(E100="Purchased",G100&lt;=0),"Quantity required","OK")))))</x:f>
      </x:c>
    </x:row>
    <x:row r="101" ht="23" customHeight="1">
      <x:c r="A101" s="36"/>
      <x:c r="B101" s="36"/>
      <x:c r="C101" s="40"/>
      <x:c r="D101" s="36"/>
      <x:c r="E101" s="36"/>
      <x:c r="F101" s="36"/>
      <x:c r="G101" s="41"/>
      <x:c r="H101" s="41"/>
      <x:c r="I101" s="41"/>
      <x:c r="J101" s="37" t="str">
        <x:f>IF(A101="","",IF(E101="Manufactured",IF(COUNTIFS('Production'!$A$6:$A$105,F101)=1,IF(VLOOKUP(F101,'Production'!$A$6:$M$105,13,FALSE)="Closed",VLOOKUP(F101,'Production'!$A$6:$L$105,12,FALSE),"Pending close"),"Missing batch"),IF(AND(G101&gt;0,ISNUMBER(H101),ISNUMBER(I101)),(H101+I101)/G101,"Enter qty/cost")))</x:f>
      </x:c>
      <x:c r="K101" s="37" t="str">
        <x:f>IF(A101="","",SUMIFS('Stock Log'!$E$6:$E$205,'Stock Log'!$C$6:$C$205,A101,'Stock Log'!$B$6:$B$205,"&lt;="&amp;'Settings'!$B$7,'Stock Log'!$I$6:$I$205,"Approved"))</x:f>
      </x:c>
      <x:c r="L101" s="37" t="str">
        <x:f>IF(A101="","",SUMIFS('Stock Log'!$F$6:$F$205,'Stock Log'!$C$6:$C$205,A101,'Stock Log'!$B$6:$B$205,"&lt;="&amp;'Settings'!$B$7,'Stock Log'!$I$6:$I$205,"Approved"))</x:f>
      </x:c>
      <x:c r="M101" s="37" t="str">
        <x:f>IF(A101="","",K101-L101)</x:f>
      </x:c>
      <x:c r="N101" s="37" t="str">
        <x:f>IF(A101="","",IF(ISNUMBER(J101),M101*J101,"Cost missing"))</x:f>
      </x:c>
      <x:c r="O101" s="42" t="str">
        <x:f>IF(A101="","",IF(COUNTIFS('Items'!$A$6:$A$105,B101)=1,VLOOKUP(B101,'Items'!$A$6:$C$105,3,FALSE),"Unknown item"))</x:f>
      </x:c>
      <x:c r="P101" s="42" t="str">
        <x:f>IF(A101="","",IF(COUNTIFS($A$6:$A$105,A101)&lt;&gt;1,"Duplicate ID",IF(OR(O101="Unknown item",NOT(ISNUMBER(J101))),"Item/cost incomplete",IF(M101&lt;0,"Negative stock",IF(AND(E101="Purchased",G101&lt;=0),"Quantity required","OK")))))</x:f>
      </x:c>
    </x:row>
    <x:row r="102" ht="23" customHeight="1">
      <x:c r="A102" s="36"/>
      <x:c r="B102" s="36"/>
      <x:c r="C102" s="40"/>
      <x:c r="D102" s="36"/>
      <x:c r="E102" s="36"/>
      <x:c r="F102" s="36"/>
      <x:c r="G102" s="41"/>
      <x:c r="H102" s="41"/>
      <x:c r="I102" s="41"/>
      <x:c r="J102" s="37" t="str">
        <x:f>IF(A102="","",IF(E102="Manufactured",IF(COUNTIFS('Production'!$A$6:$A$105,F102)=1,IF(VLOOKUP(F102,'Production'!$A$6:$M$105,13,FALSE)="Closed",VLOOKUP(F102,'Production'!$A$6:$L$105,12,FALSE),"Pending close"),"Missing batch"),IF(AND(G102&gt;0,ISNUMBER(H102),ISNUMBER(I102)),(H102+I102)/G102,"Enter qty/cost")))</x:f>
      </x:c>
      <x:c r="K102" s="37" t="str">
        <x:f>IF(A102="","",SUMIFS('Stock Log'!$E$6:$E$205,'Stock Log'!$C$6:$C$205,A102,'Stock Log'!$B$6:$B$205,"&lt;="&amp;'Settings'!$B$7,'Stock Log'!$I$6:$I$205,"Approved"))</x:f>
      </x:c>
      <x:c r="L102" s="37" t="str">
        <x:f>IF(A102="","",SUMIFS('Stock Log'!$F$6:$F$205,'Stock Log'!$C$6:$C$205,A102,'Stock Log'!$B$6:$B$205,"&lt;="&amp;'Settings'!$B$7,'Stock Log'!$I$6:$I$205,"Approved"))</x:f>
      </x:c>
      <x:c r="M102" s="37" t="str">
        <x:f>IF(A102="","",K102-L102)</x:f>
      </x:c>
      <x:c r="N102" s="37" t="str">
        <x:f>IF(A102="","",IF(ISNUMBER(J102),M102*J102,"Cost missing"))</x:f>
      </x:c>
      <x:c r="O102" s="42" t="str">
        <x:f>IF(A102="","",IF(COUNTIFS('Items'!$A$6:$A$105,B102)=1,VLOOKUP(B102,'Items'!$A$6:$C$105,3,FALSE),"Unknown item"))</x:f>
      </x:c>
      <x:c r="P102" s="42" t="str">
        <x:f>IF(A102="","",IF(COUNTIFS($A$6:$A$105,A102)&lt;&gt;1,"Duplicate ID",IF(OR(O102="Unknown item",NOT(ISNUMBER(J102))),"Item/cost incomplete",IF(M102&lt;0,"Negative stock",IF(AND(E102="Purchased",G102&lt;=0),"Quantity required","OK")))))</x:f>
      </x:c>
    </x:row>
    <x:row r="103" ht="23" customHeight="1">
      <x:c r="A103" s="36"/>
      <x:c r="B103" s="36"/>
      <x:c r="C103" s="40"/>
      <x:c r="D103" s="36"/>
      <x:c r="E103" s="36"/>
      <x:c r="F103" s="36"/>
      <x:c r="G103" s="41"/>
      <x:c r="H103" s="41"/>
      <x:c r="I103" s="41"/>
      <x:c r="J103" s="37" t="str">
        <x:f>IF(A103="","",IF(E103="Manufactured",IF(COUNTIFS('Production'!$A$6:$A$105,F103)=1,IF(VLOOKUP(F103,'Production'!$A$6:$M$105,13,FALSE)="Closed",VLOOKUP(F103,'Production'!$A$6:$L$105,12,FALSE),"Pending close"),"Missing batch"),IF(AND(G103&gt;0,ISNUMBER(H103),ISNUMBER(I103)),(H103+I103)/G103,"Enter qty/cost")))</x:f>
      </x:c>
      <x:c r="K103" s="37" t="str">
        <x:f>IF(A103="","",SUMIFS('Stock Log'!$E$6:$E$205,'Stock Log'!$C$6:$C$205,A103,'Stock Log'!$B$6:$B$205,"&lt;="&amp;'Settings'!$B$7,'Stock Log'!$I$6:$I$205,"Approved"))</x:f>
      </x:c>
      <x:c r="L103" s="37" t="str">
        <x:f>IF(A103="","",SUMIFS('Stock Log'!$F$6:$F$205,'Stock Log'!$C$6:$C$205,A103,'Stock Log'!$B$6:$B$205,"&lt;="&amp;'Settings'!$B$7,'Stock Log'!$I$6:$I$205,"Approved"))</x:f>
      </x:c>
      <x:c r="M103" s="37" t="str">
        <x:f>IF(A103="","",K103-L103)</x:f>
      </x:c>
      <x:c r="N103" s="37" t="str">
        <x:f>IF(A103="","",IF(ISNUMBER(J103),M103*J103,"Cost missing"))</x:f>
      </x:c>
      <x:c r="O103" s="42" t="str">
        <x:f>IF(A103="","",IF(COUNTIFS('Items'!$A$6:$A$105,B103)=1,VLOOKUP(B103,'Items'!$A$6:$C$105,3,FALSE),"Unknown item"))</x:f>
      </x:c>
      <x:c r="P103" s="42" t="str">
        <x:f>IF(A103="","",IF(COUNTIFS($A$6:$A$105,A103)&lt;&gt;1,"Duplicate ID",IF(OR(O103="Unknown item",NOT(ISNUMBER(J103))),"Item/cost incomplete",IF(M103&lt;0,"Negative stock",IF(AND(E103="Purchased",G103&lt;=0),"Quantity required","OK")))))</x:f>
      </x:c>
    </x:row>
    <x:row r="104" ht="23" customHeight="1">
      <x:c r="A104" s="36"/>
      <x:c r="B104" s="36"/>
      <x:c r="C104" s="40"/>
      <x:c r="D104" s="36"/>
      <x:c r="E104" s="36"/>
      <x:c r="F104" s="36"/>
      <x:c r="G104" s="41"/>
      <x:c r="H104" s="41"/>
      <x:c r="I104" s="41"/>
      <x:c r="J104" s="37" t="str">
        <x:f>IF(A104="","",IF(E104="Manufactured",IF(COUNTIFS('Production'!$A$6:$A$105,F104)=1,IF(VLOOKUP(F104,'Production'!$A$6:$M$105,13,FALSE)="Closed",VLOOKUP(F104,'Production'!$A$6:$L$105,12,FALSE),"Pending close"),"Missing batch"),IF(AND(G104&gt;0,ISNUMBER(H104),ISNUMBER(I104)),(H104+I104)/G104,"Enter qty/cost")))</x:f>
      </x:c>
      <x:c r="K104" s="37" t="str">
        <x:f>IF(A104="","",SUMIFS('Stock Log'!$E$6:$E$205,'Stock Log'!$C$6:$C$205,A104,'Stock Log'!$B$6:$B$205,"&lt;="&amp;'Settings'!$B$7,'Stock Log'!$I$6:$I$205,"Approved"))</x:f>
      </x:c>
      <x:c r="L104" s="37" t="str">
        <x:f>IF(A104="","",SUMIFS('Stock Log'!$F$6:$F$205,'Stock Log'!$C$6:$C$205,A104,'Stock Log'!$B$6:$B$205,"&lt;="&amp;'Settings'!$B$7,'Stock Log'!$I$6:$I$205,"Approved"))</x:f>
      </x:c>
      <x:c r="M104" s="37" t="str">
        <x:f>IF(A104="","",K104-L104)</x:f>
      </x:c>
      <x:c r="N104" s="37" t="str">
        <x:f>IF(A104="","",IF(ISNUMBER(J104),M104*J104,"Cost missing"))</x:f>
      </x:c>
      <x:c r="O104" s="42" t="str">
        <x:f>IF(A104="","",IF(COUNTIFS('Items'!$A$6:$A$105,B104)=1,VLOOKUP(B104,'Items'!$A$6:$C$105,3,FALSE),"Unknown item"))</x:f>
      </x:c>
      <x:c r="P104" s="42" t="str">
        <x:f>IF(A104="","",IF(COUNTIFS($A$6:$A$105,A104)&lt;&gt;1,"Duplicate ID",IF(OR(O104="Unknown item",NOT(ISNUMBER(J104))),"Item/cost incomplete",IF(M104&lt;0,"Negative stock",IF(AND(E104="Purchased",G104&lt;=0),"Quantity required","OK")))))</x:f>
      </x:c>
    </x:row>
    <x:row r="105" ht="23" customHeight="1">
      <x:c r="A105" s="36"/>
      <x:c r="B105" s="36"/>
      <x:c r="C105" s="40"/>
      <x:c r="D105" s="36"/>
      <x:c r="E105" s="36"/>
      <x:c r="F105" s="36"/>
      <x:c r="G105" s="41"/>
      <x:c r="H105" s="41"/>
      <x:c r="I105" s="41"/>
      <x:c r="J105" s="37" t="str">
        <x:f>IF(A105="","",IF(E105="Manufactured",IF(COUNTIFS('Production'!$A$6:$A$105,F105)=1,IF(VLOOKUP(F105,'Production'!$A$6:$M$105,13,FALSE)="Closed",VLOOKUP(F105,'Production'!$A$6:$L$105,12,FALSE),"Pending close"),"Missing batch"),IF(AND(G105&gt;0,ISNUMBER(H105),ISNUMBER(I105)),(H105+I105)/G105,"Enter qty/cost")))</x:f>
      </x:c>
      <x:c r="K105" s="37" t="str">
        <x:f>IF(A105="","",SUMIFS('Stock Log'!$E$6:$E$205,'Stock Log'!$C$6:$C$205,A105,'Stock Log'!$B$6:$B$205,"&lt;="&amp;'Settings'!$B$7,'Stock Log'!$I$6:$I$205,"Approved"))</x:f>
      </x:c>
      <x:c r="L105" s="37" t="str">
        <x:f>IF(A105="","",SUMIFS('Stock Log'!$F$6:$F$205,'Stock Log'!$C$6:$C$205,A105,'Stock Log'!$B$6:$B$205,"&lt;="&amp;'Settings'!$B$7,'Stock Log'!$I$6:$I$205,"Approved"))</x:f>
      </x:c>
      <x:c r="M105" s="37" t="str">
        <x:f>IF(A105="","",K105-L105)</x:f>
      </x:c>
      <x:c r="N105" s="37" t="str">
        <x:f>IF(A105="","",IF(ISNUMBER(J105),M105*J105,"Cost missing"))</x:f>
      </x:c>
      <x:c r="O105" s="42" t="str">
        <x:f>IF(A105="","",IF(COUNTIFS('Items'!$A$6:$A$105,B105)=1,VLOOKUP(B105,'Items'!$A$6:$C$105,3,FALSE),"Unknown item"))</x:f>
      </x:c>
      <x:c r="P105" s="42" t="str">
        <x:f>IF(A105="","",IF(COUNTIFS($A$6:$A$105,A105)&lt;&gt;1,"Duplicate ID",IF(OR(O105="Unknown item",NOT(ISNUMBER(J105))),"Item/cost incomplete",IF(M105&lt;0,"Negative stock",IF(AND(E105="Purchased",G105&lt;=0),"Quantity required","OK")))))</x:f>
      </x:c>
    </x:row>
  </x:sheetData>
  <x:conditionalFormatting sqref="P6:P105">
    <x:cfRule type="expression" dxfId="1" priority="1">
      <x:formula>AND(P6&lt;&gt;"",P6&lt;&gt;"OK")</x:formula>
    </x:cfRule>
  </x:conditionalFormatting>
  <x:dataValidations count="2">
    <x:dataValidation type="list" sqref="B6:B105">
      <x:formula1>'Items'!$A$6:$A$105</x:formula1>
    </x:dataValidation>
    <x:dataValidation type="list" sqref="E6:E105">
      <x:formula1>"Purchased,Manufactured"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b6efbebdb5462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</x:row>
    <x:row r="2" ht="23" customHeight="1">
      <x:c r="A2" s="32" t="str">
        <x:v>AFK THEORY / Stock Log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</x:row>
    <x:row r="5" ht="34" customHeight="1">
      <x:c r="A5" s="38" t="str">
        <x:v>Stock ID</x:v>
      </x:c>
      <x:c r="B5" s="38" t="str">
        <x:v>Date</x:v>
      </x:c>
      <x:c r="C5" s="38" t="str">
        <x:v>Lot ID</x:v>
      </x:c>
      <x:c r="D5" s="38" t="str">
        <x:v>Reason</x:v>
      </x:c>
      <x:c r="E5" s="38" t="str">
        <x:v>Quantity in</x:v>
      </x:c>
      <x:c r="F5" s="38" t="str">
        <x:v>Quantity out</x:v>
      </x:c>
      <x:c r="G5" s="38" t="str">
        <x:v>Location</x:v>
      </x:c>
      <x:c r="H5" s="38" t="str">
        <x:v>Reference ID</x:v>
      </x:c>
      <x:c r="I5" s="38" t="str">
        <x:v>Status</x:v>
      </x:c>
      <x:c r="J5" s="38" t="str">
        <x:v>Entered by</x:v>
      </x:c>
      <x:c r="K5" s="38" t="str">
        <x:v>Reviewed by</x:v>
      </x:c>
      <x:c r="L5" s="38" t="str">
        <x:v>Item ID</x:v>
      </x:c>
      <x:c r="M5" s="38" t="str">
        <x:v>Class</x:v>
      </x:c>
      <x:c r="N5" s="38" t="str">
        <x:v>Unit cost</x:v>
      </x:c>
      <x:c r="O5" s="38" t="str">
        <x:v>Value in</x:v>
      </x:c>
      <x:c r="P5" s="38" t="str">
        <x:v>Value out</x:v>
      </x:c>
      <x:c r="Q5" s="38" t="str">
        <x:v>Check</x:v>
      </x:c>
    </x:row>
    <x:row r="6" ht="23" customHeight="1">
      <x:c r="A6" s="36"/>
      <x:c r="B6" s="40"/>
      <x:c r="C6" s="36"/>
      <x:c r="D6" s="36"/>
      <x:c r="E6" s="41"/>
      <x:c r="F6" s="41"/>
      <x:c r="G6" s="36"/>
      <x:c r="H6" s="36"/>
      <x:c r="I6" s="36"/>
      <x:c r="J6" s="36"/>
      <x:c r="K6" s="36"/>
      <x:c r="L6" s="42" t="str">
        <x:f>IF(A6="","",IF(COUNTIFS('Lots'!$A$6:$A$105,C6)=1,VLOOKUP(C6,'Lots'!$A$6:$O$105,2,FALSE),"Unknown lot"))</x:f>
      </x:c>
      <x:c r="M6" s="42" t="str">
        <x:f>IF(A6="","",IF(COUNTIFS('Lots'!$A$6:$A$105,C6)=1,VLOOKUP(C6,'Lots'!$A$6:$O$105,15,FALSE),"Unknown lot"))</x:f>
      </x:c>
      <x:c r="N6" s="37" t="str">
        <x:f>IF(A6="","",IF(COUNTIFS('Lots'!$A$6:$A$105,C6)=1,VLOOKUP(C6,'Lots'!$A$6:$O$105,10,FALSE),"Unknown lot"))</x:f>
      </x:c>
      <x:c r="O6" s="37" t="str">
        <x:f>IF(A6="","",IF(ISNUMBER(N6),E6*N6,"Cost missing"))</x:f>
      </x:c>
      <x:c r="P6" s="37" t="str">
        <x:f>IF(A6="","",IF(ISNUMBER(N6),F6*N6,"Cost missing"))</x:f>
      </x:c>
      <x:c r="Q6" s="42" t="str">
        <x:f>IF(A6="","",IF(COUNTIFS($A$6:$A$205,A6)&lt;&gt;1,"Duplicate ID",IF(OR(NOT(ISNUMBER(B6)),G6="",H6="",J6="",E6&lt;0,F6&lt;0,AND(E6&gt;0,F6&gt;0),E6+F6&lt;=0),"Check required inputs",IF(OR(L6="Unknown lot",NOT(ISNUMBER(N6))),"Lot/cost incomplete",IF(AND(I6="Approved",OR(K6="",K6=J6)),"Independent review needed","OK")))))</x:f>
      </x:c>
    </x:row>
    <x:row r="7" ht="23" customHeight="1">
      <x:c r="A7" s="36"/>
      <x:c r="B7" s="40"/>
      <x:c r="C7" s="36"/>
      <x:c r="D7" s="36"/>
      <x:c r="E7" s="41"/>
      <x:c r="F7" s="41"/>
      <x:c r="G7" s="36"/>
      <x:c r="H7" s="36"/>
      <x:c r="I7" s="36"/>
      <x:c r="J7" s="36"/>
      <x:c r="K7" s="36"/>
      <x:c r="L7" s="42" t="str">
        <x:f>IF(A7="","",IF(COUNTIFS('Lots'!$A$6:$A$105,C7)=1,VLOOKUP(C7,'Lots'!$A$6:$O$105,2,FALSE),"Unknown lot"))</x:f>
      </x:c>
      <x:c r="M7" s="42" t="str">
        <x:f>IF(A7="","",IF(COUNTIFS('Lots'!$A$6:$A$105,C7)=1,VLOOKUP(C7,'Lots'!$A$6:$O$105,15,FALSE),"Unknown lot"))</x:f>
      </x:c>
      <x:c r="N7" s="37" t="str">
        <x:f>IF(A7="","",IF(COUNTIFS('Lots'!$A$6:$A$105,C7)=1,VLOOKUP(C7,'Lots'!$A$6:$O$105,10,FALSE),"Unknown lot"))</x:f>
      </x:c>
      <x:c r="O7" s="37" t="str">
        <x:f>IF(A7="","",IF(ISNUMBER(N7),E7*N7,"Cost missing"))</x:f>
      </x:c>
      <x:c r="P7" s="37" t="str">
        <x:f>IF(A7="","",IF(ISNUMBER(N7),F7*N7,"Cost missing"))</x:f>
      </x:c>
      <x:c r="Q7" s="42" t="str">
        <x:f>IF(A7="","",IF(COUNTIFS($A$6:$A$205,A7)&lt;&gt;1,"Duplicate ID",IF(OR(NOT(ISNUMBER(B7)),G7="",H7="",J7="",E7&lt;0,F7&lt;0,AND(E7&gt;0,F7&gt;0),E7+F7&lt;=0),"Check required inputs",IF(OR(L7="Unknown lot",NOT(ISNUMBER(N7))),"Lot/cost incomplete",IF(AND(I7="Approved",OR(K7="",K7=J7)),"Independent review needed","OK")))))</x:f>
      </x:c>
    </x:row>
    <x:row r="8" ht="23" customHeight="1">
      <x:c r="A8" s="36"/>
      <x:c r="B8" s="40"/>
      <x:c r="C8" s="36"/>
      <x:c r="D8" s="36"/>
      <x:c r="E8" s="41"/>
      <x:c r="F8" s="41"/>
      <x:c r="G8" s="36"/>
      <x:c r="H8" s="36"/>
      <x:c r="I8" s="36"/>
      <x:c r="J8" s="36"/>
      <x:c r="K8" s="36"/>
      <x:c r="L8" s="42" t="str">
        <x:f>IF(A8="","",IF(COUNTIFS('Lots'!$A$6:$A$105,C8)=1,VLOOKUP(C8,'Lots'!$A$6:$O$105,2,FALSE),"Unknown lot"))</x:f>
      </x:c>
      <x:c r="M8" s="42" t="str">
        <x:f>IF(A8="","",IF(COUNTIFS('Lots'!$A$6:$A$105,C8)=1,VLOOKUP(C8,'Lots'!$A$6:$O$105,15,FALSE),"Unknown lot"))</x:f>
      </x:c>
      <x:c r="N8" s="37" t="str">
        <x:f>IF(A8="","",IF(COUNTIFS('Lots'!$A$6:$A$105,C8)=1,VLOOKUP(C8,'Lots'!$A$6:$O$105,10,FALSE),"Unknown lot"))</x:f>
      </x:c>
      <x:c r="O8" s="37" t="str">
        <x:f>IF(A8="","",IF(ISNUMBER(N8),E8*N8,"Cost missing"))</x:f>
      </x:c>
      <x:c r="P8" s="37" t="str">
        <x:f>IF(A8="","",IF(ISNUMBER(N8),F8*N8,"Cost missing"))</x:f>
      </x:c>
      <x:c r="Q8" s="42" t="str">
        <x:f>IF(A8="","",IF(COUNTIFS($A$6:$A$205,A8)&lt;&gt;1,"Duplicate ID",IF(OR(NOT(ISNUMBER(B8)),G8="",H8="",J8="",E8&lt;0,F8&lt;0,AND(E8&gt;0,F8&gt;0),E8+F8&lt;=0),"Check required inputs",IF(OR(L8="Unknown lot",NOT(ISNUMBER(N8))),"Lot/cost incomplete",IF(AND(I8="Approved",OR(K8="",K8=J8)),"Independent review needed","OK")))))</x:f>
      </x:c>
    </x:row>
    <x:row r="9" ht="23" customHeight="1">
      <x:c r="A9" s="36"/>
      <x:c r="B9" s="40"/>
      <x:c r="C9" s="36"/>
      <x:c r="D9" s="36"/>
      <x:c r="E9" s="41"/>
      <x:c r="F9" s="41"/>
      <x:c r="G9" s="36"/>
      <x:c r="H9" s="36"/>
      <x:c r="I9" s="36"/>
      <x:c r="J9" s="36"/>
      <x:c r="K9" s="36"/>
      <x:c r="L9" s="42" t="str">
        <x:f>IF(A9="","",IF(COUNTIFS('Lots'!$A$6:$A$105,C9)=1,VLOOKUP(C9,'Lots'!$A$6:$O$105,2,FALSE),"Unknown lot"))</x:f>
      </x:c>
      <x:c r="M9" s="42" t="str">
        <x:f>IF(A9="","",IF(COUNTIFS('Lots'!$A$6:$A$105,C9)=1,VLOOKUP(C9,'Lots'!$A$6:$O$105,15,FALSE),"Unknown lot"))</x:f>
      </x:c>
      <x:c r="N9" s="37" t="str">
        <x:f>IF(A9="","",IF(COUNTIFS('Lots'!$A$6:$A$105,C9)=1,VLOOKUP(C9,'Lots'!$A$6:$O$105,10,FALSE),"Unknown lot"))</x:f>
      </x:c>
      <x:c r="O9" s="37" t="str">
        <x:f>IF(A9="","",IF(ISNUMBER(N9),E9*N9,"Cost missing"))</x:f>
      </x:c>
      <x:c r="P9" s="37" t="str">
        <x:f>IF(A9="","",IF(ISNUMBER(N9),F9*N9,"Cost missing"))</x:f>
      </x:c>
      <x:c r="Q9" s="42" t="str">
        <x:f>IF(A9="","",IF(COUNTIFS($A$6:$A$205,A9)&lt;&gt;1,"Duplicate ID",IF(OR(NOT(ISNUMBER(B9)),G9="",H9="",J9="",E9&lt;0,F9&lt;0,AND(E9&gt;0,F9&gt;0),E9+F9&lt;=0),"Check required inputs",IF(OR(L9="Unknown lot",NOT(ISNUMBER(N9))),"Lot/cost incomplete",IF(AND(I9="Approved",OR(K9="",K9=J9)),"Independent review needed","OK")))))</x:f>
      </x:c>
    </x:row>
    <x:row r="10" ht="23" customHeight="1">
      <x:c r="A10" s="36"/>
      <x:c r="B10" s="40"/>
      <x:c r="C10" s="36"/>
      <x:c r="D10" s="36"/>
      <x:c r="E10" s="41"/>
      <x:c r="F10" s="41"/>
      <x:c r="G10" s="36"/>
      <x:c r="H10" s="36"/>
      <x:c r="I10" s="36"/>
      <x:c r="J10" s="36"/>
      <x:c r="K10" s="36"/>
      <x:c r="L10" s="42" t="str">
        <x:f>IF(A10="","",IF(COUNTIFS('Lots'!$A$6:$A$105,C10)=1,VLOOKUP(C10,'Lots'!$A$6:$O$105,2,FALSE),"Unknown lot"))</x:f>
      </x:c>
      <x:c r="M10" s="42" t="str">
        <x:f>IF(A10="","",IF(COUNTIFS('Lots'!$A$6:$A$105,C10)=1,VLOOKUP(C10,'Lots'!$A$6:$O$105,15,FALSE),"Unknown lot"))</x:f>
      </x:c>
      <x:c r="N10" s="37" t="str">
        <x:f>IF(A10="","",IF(COUNTIFS('Lots'!$A$6:$A$105,C10)=1,VLOOKUP(C10,'Lots'!$A$6:$O$105,10,FALSE),"Unknown lot"))</x:f>
      </x:c>
      <x:c r="O10" s="37" t="str">
        <x:f>IF(A10="","",IF(ISNUMBER(N10),E10*N10,"Cost missing"))</x:f>
      </x:c>
      <x:c r="P10" s="37" t="str">
        <x:f>IF(A10="","",IF(ISNUMBER(N10),F10*N10,"Cost missing"))</x:f>
      </x:c>
      <x:c r="Q10" s="42" t="str">
        <x:f>IF(A10="","",IF(COUNTIFS($A$6:$A$205,A10)&lt;&gt;1,"Duplicate ID",IF(OR(NOT(ISNUMBER(B10)),G10="",H10="",J10="",E10&lt;0,F10&lt;0,AND(E10&gt;0,F10&gt;0),E10+F10&lt;=0),"Check required inputs",IF(OR(L10="Unknown lot",NOT(ISNUMBER(N10))),"Lot/cost incomplete",IF(AND(I10="Approved",OR(K10="",K10=J10)),"Independent review needed","OK")))))</x:f>
      </x:c>
    </x:row>
    <x:row r="11" ht="23" customHeight="1">
      <x:c r="A11" s="36"/>
      <x:c r="B11" s="40"/>
      <x:c r="C11" s="36"/>
      <x:c r="D11" s="36"/>
      <x:c r="E11" s="41"/>
      <x:c r="F11" s="41"/>
      <x:c r="G11" s="36"/>
      <x:c r="H11" s="36"/>
      <x:c r="I11" s="36"/>
      <x:c r="J11" s="36"/>
      <x:c r="K11" s="36"/>
      <x:c r="L11" s="42" t="str">
        <x:f>IF(A11="","",IF(COUNTIFS('Lots'!$A$6:$A$105,C11)=1,VLOOKUP(C11,'Lots'!$A$6:$O$105,2,FALSE),"Unknown lot"))</x:f>
      </x:c>
      <x:c r="M11" s="42" t="str">
        <x:f>IF(A11="","",IF(COUNTIFS('Lots'!$A$6:$A$105,C11)=1,VLOOKUP(C11,'Lots'!$A$6:$O$105,15,FALSE),"Unknown lot"))</x:f>
      </x:c>
      <x:c r="N11" s="37" t="str">
        <x:f>IF(A11="","",IF(COUNTIFS('Lots'!$A$6:$A$105,C11)=1,VLOOKUP(C11,'Lots'!$A$6:$O$105,10,FALSE),"Unknown lot"))</x:f>
      </x:c>
      <x:c r="O11" s="37" t="str">
        <x:f>IF(A11="","",IF(ISNUMBER(N11),E11*N11,"Cost missing"))</x:f>
      </x:c>
      <x:c r="P11" s="37" t="str">
        <x:f>IF(A11="","",IF(ISNUMBER(N11),F11*N11,"Cost missing"))</x:f>
      </x:c>
      <x:c r="Q11" s="42" t="str">
        <x:f>IF(A11="","",IF(COUNTIFS($A$6:$A$205,A11)&lt;&gt;1,"Duplicate ID",IF(OR(NOT(ISNUMBER(B11)),G11="",H11="",J11="",E11&lt;0,F11&lt;0,AND(E11&gt;0,F11&gt;0),E11+F11&lt;=0),"Check required inputs",IF(OR(L11="Unknown lot",NOT(ISNUMBER(N11))),"Lot/cost incomplete",IF(AND(I11="Approved",OR(K11="",K11=J11)),"Independent review needed","OK")))))</x:f>
      </x:c>
    </x:row>
    <x:row r="12" ht="23" customHeight="1">
      <x:c r="A12" s="36"/>
      <x:c r="B12" s="40"/>
      <x:c r="C12" s="36"/>
      <x:c r="D12" s="36"/>
      <x:c r="E12" s="41"/>
      <x:c r="F12" s="41"/>
      <x:c r="G12" s="36"/>
      <x:c r="H12" s="36"/>
      <x:c r="I12" s="36"/>
      <x:c r="J12" s="36"/>
      <x:c r="K12" s="36"/>
      <x:c r="L12" s="42" t="str">
        <x:f>IF(A12="","",IF(COUNTIFS('Lots'!$A$6:$A$105,C12)=1,VLOOKUP(C12,'Lots'!$A$6:$O$105,2,FALSE),"Unknown lot"))</x:f>
      </x:c>
      <x:c r="M12" s="42" t="str">
        <x:f>IF(A12="","",IF(COUNTIFS('Lots'!$A$6:$A$105,C12)=1,VLOOKUP(C12,'Lots'!$A$6:$O$105,15,FALSE),"Unknown lot"))</x:f>
      </x:c>
      <x:c r="N12" s="37" t="str">
        <x:f>IF(A12="","",IF(COUNTIFS('Lots'!$A$6:$A$105,C12)=1,VLOOKUP(C12,'Lots'!$A$6:$O$105,10,FALSE),"Unknown lot"))</x:f>
      </x:c>
      <x:c r="O12" s="37" t="str">
        <x:f>IF(A12="","",IF(ISNUMBER(N12),E12*N12,"Cost missing"))</x:f>
      </x:c>
      <x:c r="P12" s="37" t="str">
        <x:f>IF(A12="","",IF(ISNUMBER(N12),F12*N12,"Cost missing"))</x:f>
      </x:c>
      <x:c r="Q12" s="42" t="str">
        <x:f>IF(A12="","",IF(COUNTIFS($A$6:$A$205,A12)&lt;&gt;1,"Duplicate ID",IF(OR(NOT(ISNUMBER(B12)),G12="",H12="",J12="",E12&lt;0,F12&lt;0,AND(E12&gt;0,F12&gt;0),E12+F12&lt;=0),"Check required inputs",IF(OR(L12="Unknown lot",NOT(ISNUMBER(N12))),"Lot/cost incomplete",IF(AND(I12="Approved",OR(K12="",K12=J12)),"Independent review needed","OK")))))</x:f>
      </x:c>
    </x:row>
    <x:row r="13" ht="23" customHeight="1">
      <x:c r="A13" s="36"/>
      <x:c r="B13" s="40"/>
      <x:c r="C13" s="36"/>
      <x:c r="D13" s="36"/>
      <x:c r="E13" s="41"/>
      <x:c r="F13" s="41"/>
      <x:c r="G13" s="36"/>
      <x:c r="H13" s="36"/>
      <x:c r="I13" s="36"/>
      <x:c r="J13" s="36"/>
      <x:c r="K13" s="36"/>
      <x:c r="L13" s="42" t="str">
        <x:f>IF(A13="","",IF(COUNTIFS('Lots'!$A$6:$A$105,C13)=1,VLOOKUP(C13,'Lots'!$A$6:$O$105,2,FALSE),"Unknown lot"))</x:f>
      </x:c>
      <x:c r="M13" s="42" t="str">
        <x:f>IF(A13="","",IF(COUNTIFS('Lots'!$A$6:$A$105,C13)=1,VLOOKUP(C13,'Lots'!$A$6:$O$105,15,FALSE),"Unknown lot"))</x:f>
      </x:c>
      <x:c r="N13" s="37" t="str">
        <x:f>IF(A13="","",IF(COUNTIFS('Lots'!$A$6:$A$105,C13)=1,VLOOKUP(C13,'Lots'!$A$6:$O$105,10,FALSE),"Unknown lot"))</x:f>
      </x:c>
      <x:c r="O13" s="37" t="str">
        <x:f>IF(A13="","",IF(ISNUMBER(N13),E13*N13,"Cost missing"))</x:f>
      </x:c>
      <x:c r="P13" s="37" t="str">
        <x:f>IF(A13="","",IF(ISNUMBER(N13),F13*N13,"Cost missing"))</x:f>
      </x:c>
      <x:c r="Q13" s="42" t="str">
        <x:f>IF(A13="","",IF(COUNTIFS($A$6:$A$205,A13)&lt;&gt;1,"Duplicate ID",IF(OR(NOT(ISNUMBER(B13)),G13="",H13="",J13="",E13&lt;0,F13&lt;0,AND(E13&gt;0,F13&gt;0),E13+F13&lt;=0),"Check required inputs",IF(OR(L13="Unknown lot",NOT(ISNUMBER(N13))),"Lot/cost incomplete",IF(AND(I13="Approved",OR(K13="",K13=J13)),"Independent review needed","OK")))))</x:f>
      </x:c>
    </x:row>
    <x:row r="14" ht="23" customHeight="1">
      <x:c r="A14" s="36"/>
      <x:c r="B14" s="40"/>
      <x:c r="C14" s="36"/>
      <x:c r="D14" s="36"/>
      <x:c r="E14" s="41"/>
      <x:c r="F14" s="41"/>
      <x:c r="G14" s="36"/>
      <x:c r="H14" s="36"/>
      <x:c r="I14" s="36"/>
      <x:c r="J14" s="36"/>
      <x:c r="K14" s="36"/>
      <x:c r="L14" s="42" t="str">
        <x:f>IF(A14="","",IF(COUNTIFS('Lots'!$A$6:$A$105,C14)=1,VLOOKUP(C14,'Lots'!$A$6:$O$105,2,FALSE),"Unknown lot"))</x:f>
      </x:c>
      <x:c r="M14" s="42" t="str">
        <x:f>IF(A14="","",IF(COUNTIFS('Lots'!$A$6:$A$105,C14)=1,VLOOKUP(C14,'Lots'!$A$6:$O$105,15,FALSE),"Unknown lot"))</x:f>
      </x:c>
      <x:c r="N14" s="37" t="str">
        <x:f>IF(A14="","",IF(COUNTIFS('Lots'!$A$6:$A$105,C14)=1,VLOOKUP(C14,'Lots'!$A$6:$O$105,10,FALSE),"Unknown lot"))</x:f>
      </x:c>
      <x:c r="O14" s="37" t="str">
        <x:f>IF(A14="","",IF(ISNUMBER(N14),E14*N14,"Cost missing"))</x:f>
      </x:c>
      <x:c r="P14" s="37" t="str">
        <x:f>IF(A14="","",IF(ISNUMBER(N14),F14*N14,"Cost missing"))</x:f>
      </x:c>
      <x:c r="Q14" s="42" t="str">
        <x:f>IF(A14="","",IF(COUNTIFS($A$6:$A$205,A14)&lt;&gt;1,"Duplicate ID",IF(OR(NOT(ISNUMBER(B14)),G14="",H14="",J14="",E14&lt;0,F14&lt;0,AND(E14&gt;0,F14&gt;0),E14+F14&lt;=0),"Check required inputs",IF(OR(L14="Unknown lot",NOT(ISNUMBER(N14))),"Lot/cost incomplete",IF(AND(I14="Approved",OR(K14="",K14=J14)),"Independent review needed","OK")))))</x:f>
      </x:c>
    </x:row>
    <x:row r="15" ht="23" customHeight="1">
      <x:c r="A15" s="36"/>
      <x:c r="B15" s="40"/>
      <x:c r="C15" s="36"/>
      <x:c r="D15" s="36"/>
      <x:c r="E15" s="41"/>
      <x:c r="F15" s="41"/>
      <x:c r="G15" s="36"/>
      <x:c r="H15" s="36"/>
      <x:c r="I15" s="36"/>
      <x:c r="J15" s="36"/>
      <x:c r="K15" s="36"/>
      <x:c r="L15" s="42" t="str">
        <x:f>IF(A15="","",IF(COUNTIFS('Lots'!$A$6:$A$105,C15)=1,VLOOKUP(C15,'Lots'!$A$6:$O$105,2,FALSE),"Unknown lot"))</x:f>
      </x:c>
      <x:c r="M15" s="42" t="str">
        <x:f>IF(A15="","",IF(COUNTIFS('Lots'!$A$6:$A$105,C15)=1,VLOOKUP(C15,'Lots'!$A$6:$O$105,15,FALSE),"Unknown lot"))</x:f>
      </x:c>
      <x:c r="N15" s="37" t="str">
        <x:f>IF(A15="","",IF(COUNTIFS('Lots'!$A$6:$A$105,C15)=1,VLOOKUP(C15,'Lots'!$A$6:$O$105,10,FALSE),"Unknown lot"))</x:f>
      </x:c>
      <x:c r="O15" s="37" t="str">
        <x:f>IF(A15="","",IF(ISNUMBER(N15),E15*N15,"Cost missing"))</x:f>
      </x:c>
      <x:c r="P15" s="37" t="str">
        <x:f>IF(A15="","",IF(ISNUMBER(N15),F15*N15,"Cost missing"))</x:f>
      </x:c>
      <x:c r="Q15" s="42" t="str">
        <x:f>IF(A15="","",IF(COUNTIFS($A$6:$A$205,A15)&lt;&gt;1,"Duplicate ID",IF(OR(NOT(ISNUMBER(B15)),G15="",H15="",J15="",E15&lt;0,F15&lt;0,AND(E15&gt;0,F15&gt;0),E15+F15&lt;=0),"Check required inputs",IF(OR(L15="Unknown lot",NOT(ISNUMBER(N15))),"Lot/cost incomplete",IF(AND(I15="Approved",OR(K15="",K15=J15)),"Independent review needed","OK")))))</x:f>
      </x:c>
    </x:row>
    <x:row r="16" ht="23" customHeight="1">
      <x:c r="A16" s="36"/>
      <x:c r="B16" s="40"/>
      <x:c r="C16" s="36"/>
      <x:c r="D16" s="36"/>
      <x:c r="E16" s="41"/>
      <x:c r="F16" s="41"/>
      <x:c r="G16" s="36"/>
      <x:c r="H16" s="36"/>
      <x:c r="I16" s="36"/>
      <x:c r="J16" s="36"/>
      <x:c r="K16" s="36"/>
      <x:c r="L16" s="42" t="str">
        <x:f>IF(A16="","",IF(COUNTIFS('Lots'!$A$6:$A$105,C16)=1,VLOOKUP(C16,'Lots'!$A$6:$O$105,2,FALSE),"Unknown lot"))</x:f>
      </x:c>
      <x:c r="M16" s="42" t="str">
        <x:f>IF(A16="","",IF(COUNTIFS('Lots'!$A$6:$A$105,C16)=1,VLOOKUP(C16,'Lots'!$A$6:$O$105,15,FALSE),"Unknown lot"))</x:f>
      </x:c>
      <x:c r="N16" s="37" t="str">
        <x:f>IF(A16="","",IF(COUNTIFS('Lots'!$A$6:$A$105,C16)=1,VLOOKUP(C16,'Lots'!$A$6:$O$105,10,FALSE),"Unknown lot"))</x:f>
      </x:c>
      <x:c r="O16" s="37" t="str">
        <x:f>IF(A16="","",IF(ISNUMBER(N16),E16*N16,"Cost missing"))</x:f>
      </x:c>
      <x:c r="P16" s="37" t="str">
        <x:f>IF(A16="","",IF(ISNUMBER(N16),F16*N16,"Cost missing"))</x:f>
      </x:c>
      <x:c r="Q16" s="42" t="str">
        <x:f>IF(A16="","",IF(COUNTIFS($A$6:$A$205,A16)&lt;&gt;1,"Duplicate ID",IF(OR(NOT(ISNUMBER(B16)),G16="",H16="",J16="",E16&lt;0,F16&lt;0,AND(E16&gt;0,F16&gt;0),E16+F16&lt;=0),"Check required inputs",IF(OR(L16="Unknown lot",NOT(ISNUMBER(N16))),"Lot/cost incomplete",IF(AND(I16="Approved",OR(K16="",K16=J16)),"Independent review needed","OK")))))</x:f>
      </x:c>
    </x:row>
    <x:row r="17" ht="23" customHeight="1">
      <x:c r="A17" s="36"/>
      <x:c r="B17" s="40"/>
      <x:c r="C17" s="36"/>
      <x:c r="D17" s="36"/>
      <x:c r="E17" s="41"/>
      <x:c r="F17" s="41"/>
      <x:c r="G17" s="36"/>
      <x:c r="H17" s="36"/>
      <x:c r="I17" s="36"/>
      <x:c r="J17" s="36"/>
      <x:c r="K17" s="36"/>
      <x:c r="L17" s="42" t="str">
        <x:f>IF(A17="","",IF(COUNTIFS('Lots'!$A$6:$A$105,C17)=1,VLOOKUP(C17,'Lots'!$A$6:$O$105,2,FALSE),"Unknown lot"))</x:f>
      </x:c>
      <x:c r="M17" s="42" t="str">
        <x:f>IF(A17="","",IF(COUNTIFS('Lots'!$A$6:$A$105,C17)=1,VLOOKUP(C17,'Lots'!$A$6:$O$105,15,FALSE),"Unknown lot"))</x:f>
      </x:c>
      <x:c r="N17" s="37" t="str">
        <x:f>IF(A17="","",IF(COUNTIFS('Lots'!$A$6:$A$105,C17)=1,VLOOKUP(C17,'Lots'!$A$6:$O$105,10,FALSE),"Unknown lot"))</x:f>
      </x:c>
      <x:c r="O17" s="37" t="str">
        <x:f>IF(A17="","",IF(ISNUMBER(N17),E17*N17,"Cost missing"))</x:f>
      </x:c>
      <x:c r="P17" s="37" t="str">
        <x:f>IF(A17="","",IF(ISNUMBER(N17),F17*N17,"Cost missing"))</x:f>
      </x:c>
      <x:c r="Q17" s="42" t="str">
        <x:f>IF(A17="","",IF(COUNTIFS($A$6:$A$205,A17)&lt;&gt;1,"Duplicate ID",IF(OR(NOT(ISNUMBER(B17)),G17="",H17="",J17="",E17&lt;0,F17&lt;0,AND(E17&gt;0,F17&gt;0),E17+F17&lt;=0),"Check required inputs",IF(OR(L17="Unknown lot",NOT(ISNUMBER(N17))),"Lot/cost incomplete",IF(AND(I17="Approved",OR(K17="",K17=J17)),"Independent review needed","OK")))))</x:f>
      </x:c>
    </x:row>
    <x:row r="18" ht="23" customHeight="1">
      <x:c r="A18" s="36"/>
      <x:c r="B18" s="40"/>
      <x:c r="C18" s="36"/>
      <x:c r="D18" s="36"/>
      <x:c r="E18" s="41"/>
      <x:c r="F18" s="41"/>
      <x:c r="G18" s="36"/>
      <x:c r="H18" s="36"/>
      <x:c r="I18" s="36"/>
      <x:c r="J18" s="36"/>
      <x:c r="K18" s="36"/>
      <x:c r="L18" s="42" t="str">
        <x:f>IF(A18="","",IF(COUNTIFS('Lots'!$A$6:$A$105,C18)=1,VLOOKUP(C18,'Lots'!$A$6:$O$105,2,FALSE),"Unknown lot"))</x:f>
      </x:c>
      <x:c r="M18" s="42" t="str">
        <x:f>IF(A18="","",IF(COUNTIFS('Lots'!$A$6:$A$105,C18)=1,VLOOKUP(C18,'Lots'!$A$6:$O$105,15,FALSE),"Unknown lot"))</x:f>
      </x:c>
      <x:c r="N18" s="37" t="str">
        <x:f>IF(A18="","",IF(COUNTIFS('Lots'!$A$6:$A$105,C18)=1,VLOOKUP(C18,'Lots'!$A$6:$O$105,10,FALSE),"Unknown lot"))</x:f>
      </x:c>
      <x:c r="O18" s="37" t="str">
        <x:f>IF(A18="","",IF(ISNUMBER(N18),E18*N18,"Cost missing"))</x:f>
      </x:c>
      <x:c r="P18" s="37" t="str">
        <x:f>IF(A18="","",IF(ISNUMBER(N18),F18*N18,"Cost missing"))</x:f>
      </x:c>
      <x:c r="Q18" s="42" t="str">
        <x:f>IF(A18="","",IF(COUNTIFS($A$6:$A$205,A18)&lt;&gt;1,"Duplicate ID",IF(OR(NOT(ISNUMBER(B18)),G18="",H18="",J18="",E18&lt;0,F18&lt;0,AND(E18&gt;0,F18&gt;0),E18+F18&lt;=0),"Check required inputs",IF(OR(L18="Unknown lot",NOT(ISNUMBER(N18))),"Lot/cost incomplete",IF(AND(I18="Approved",OR(K18="",K18=J18)),"Independent review needed","OK")))))</x:f>
      </x:c>
    </x:row>
    <x:row r="19" ht="23" customHeight="1">
      <x:c r="A19" s="36"/>
      <x:c r="B19" s="40"/>
      <x:c r="C19" s="36"/>
      <x:c r="D19" s="36"/>
      <x:c r="E19" s="41"/>
      <x:c r="F19" s="41"/>
      <x:c r="G19" s="36"/>
      <x:c r="H19" s="36"/>
      <x:c r="I19" s="36"/>
      <x:c r="J19" s="36"/>
      <x:c r="K19" s="36"/>
      <x:c r="L19" s="42" t="str">
        <x:f>IF(A19="","",IF(COUNTIFS('Lots'!$A$6:$A$105,C19)=1,VLOOKUP(C19,'Lots'!$A$6:$O$105,2,FALSE),"Unknown lot"))</x:f>
      </x:c>
      <x:c r="M19" s="42" t="str">
        <x:f>IF(A19="","",IF(COUNTIFS('Lots'!$A$6:$A$105,C19)=1,VLOOKUP(C19,'Lots'!$A$6:$O$105,15,FALSE),"Unknown lot"))</x:f>
      </x:c>
      <x:c r="N19" s="37" t="str">
        <x:f>IF(A19="","",IF(COUNTIFS('Lots'!$A$6:$A$105,C19)=1,VLOOKUP(C19,'Lots'!$A$6:$O$105,10,FALSE),"Unknown lot"))</x:f>
      </x:c>
      <x:c r="O19" s="37" t="str">
        <x:f>IF(A19="","",IF(ISNUMBER(N19),E19*N19,"Cost missing"))</x:f>
      </x:c>
      <x:c r="P19" s="37" t="str">
        <x:f>IF(A19="","",IF(ISNUMBER(N19),F19*N19,"Cost missing"))</x:f>
      </x:c>
      <x:c r="Q19" s="42" t="str">
        <x:f>IF(A19="","",IF(COUNTIFS($A$6:$A$205,A19)&lt;&gt;1,"Duplicate ID",IF(OR(NOT(ISNUMBER(B19)),G19="",H19="",J19="",E19&lt;0,F19&lt;0,AND(E19&gt;0,F19&gt;0),E19+F19&lt;=0),"Check required inputs",IF(OR(L19="Unknown lot",NOT(ISNUMBER(N19))),"Lot/cost incomplete",IF(AND(I19="Approved",OR(K19="",K19=J19)),"Independent review needed","OK")))))</x:f>
      </x:c>
    </x:row>
    <x:row r="20" ht="23" customHeight="1">
      <x:c r="A20" s="36"/>
      <x:c r="B20" s="40"/>
      <x:c r="C20" s="36"/>
      <x:c r="D20" s="36"/>
      <x:c r="E20" s="41"/>
      <x:c r="F20" s="41"/>
      <x:c r="G20" s="36"/>
      <x:c r="H20" s="36"/>
      <x:c r="I20" s="36"/>
      <x:c r="J20" s="36"/>
      <x:c r="K20" s="36"/>
      <x:c r="L20" s="42" t="str">
        <x:f>IF(A20="","",IF(COUNTIFS('Lots'!$A$6:$A$105,C20)=1,VLOOKUP(C20,'Lots'!$A$6:$O$105,2,FALSE),"Unknown lot"))</x:f>
      </x:c>
      <x:c r="M20" s="42" t="str">
        <x:f>IF(A20="","",IF(COUNTIFS('Lots'!$A$6:$A$105,C20)=1,VLOOKUP(C20,'Lots'!$A$6:$O$105,15,FALSE),"Unknown lot"))</x:f>
      </x:c>
      <x:c r="N20" s="37" t="str">
        <x:f>IF(A20="","",IF(COUNTIFS('Lots'!$A$6:$A$105,C20)=1,VLOOKUP(C20,'Lots'!$A$6:$O$105,10,FALSE),"Unknown lot"))</x:f>
      </x:c>
      <x:c r="O20" s="37" t="str">
        <x:f>IF(A20="","",IF(ISNUMBER(N20),E20*N20,"Cost missing"))</x:f>
      </x:c>
      <x:c r="P20" s="37" t="str">
        <x:f>IF(A20="","",IF(ISNUMBER(N20),F20*N20,"Cost missing"))</x:f>
      </x:c>
      <x:c r="Q20" s="42" t="str">
        <x:f>IF(A20="","",IF(COUNTIFS($A$6:$A$205,A20)&lt;&gt;1,"Duplicate ID",IF(OR(NOT(ISNUMBER(B20)),G20="",H20="",J20="",E20&lt;0,F20&lt;0,AND(E20&gt;0,F20&gt;0),E20+F20&lt;=0),"Check required inputs",IF(OR(L20="Unknown lot",NOT(ISNUMBER(N20))),"Lot/cost incomplete",IF(AND(I20="Approved",OR(K20="",K20=J20)),"Independent review needed","OK")))))</x:f>
      </x:c>
    </x:row>
    <x:row r="21" ht="23" customHeight="1">
      <x:c r="A21" s="36"/>
      <x:c r="B21" s="40"/>
      <x:c r="C21" s="36"/>
      <x:c r="D21" s="36"/>
      <x:c r="E21" s="41"/>
      <x:c r="F21" s="41"/>
      <x:c r="G21" s="36"/>
      <x:c r="H21" s="36"/>
      <x:c r="I21" s="36"/>
      <x:c r="J21" s="36"/>
      <x:c r="K21" s="36"/>
      <x:c r="L21" s="42" t="str">
        <x:f>IF(A21="","",IF(COUNTIFS('Lots'!$A$6:$A$105,C21)=1,VLOOKUP(C21,'Lots'!$A$6:$O$105,2,FALSE),"Unknown lot"))</x:f>
      </x:c>
      <x:c r="M21" s="42" t="str">
        <x:f>IF(A21="","",IF(COUNTIFS('Lots'!$A$6:$A$105,C21)=1,VLOOKUP(C21,'Lots'!$A$6:$O$105,15,FALSE),"Unknown lot"))</x:f>
      </x:c>
      <x:c r="N21" s="37" t="str">
        <x:f>IF(A21="","",IF(COUNTIFS('Lots'!$A$6:$A$105,C21)=1,VLOOKUP(C21,'Lots'!$A$6:$O$105,10,FALSE),"Unknown lot"))</x:f>
      </x:c>
      <x:c r="O21" s="37" t="str">
        <x:f>IF(A21="","",IF(ISNUMBER(N21),E21*N21,"Cost missing"))</x:f>
      </x:c>
      <x:c r="P21" s="37" t="str">
        <x:f>IF(A21="","",IF(ISNUMBER(N21),F21*N21,"Cost missing"))</x:f>
      </x:c>
      <x:c r="Q21" s="42" t="str">
        <x:f>IF(A21="","",IF(COUNTIFS($A$6:$A$205,A21)&lt;&gt;1,"Duplicate ID",IF(OR(NOT(ISNUMBER(B21)),G21="",H21="",J21="",E21&lt;0,F21&lt;0,AND(E21&gt;0,F21&gt;0),E21+F21&lt;=0),"Check required inputs",IF(OR(L21="Unknown lot",NOT(ISNUMBER(N21))),"Lot/cost incomplete",IF(AND(I21="Approved",OR(K21="",K21=J21)),"Independent review needed","OK")))))</x:f>
      </x:c>
    </x:row>
    <x:row r="22" ht="23" customHeight="1">
      <x:c r="A22" s="36"/>
      <x:c r="B22" s="40"/>
      <x:c r="C22" s="36"/>
      <x:c r="D22" s="36"/>
      <x:c r="E22" s="41"/>
      <x:c r="F22" s="41"/>
      <x:c r="G22" s="36"/>
      <x:c r="H22" s="36"/>
      <x:c r="I22" s="36"/>
      <x:c r="J22" s="36"/>
      <x:c r="K22" s="36"/>
      <x:c r="L22" s="42" t="str">
        <x:f>IF(A22="","",IF(COUNTIFS('Lots'!$A$6:$A$105,C22)=1,VLOOKUP(C22,'Lots'!$A$6:$O$105,2,FALSE),"Unknown lot"))</x:f>
      </x:c>
      <x:c r="M22" s="42" t="str">
        <x:f>IF(A22="","",IF(COUNTIFS('Lots'!$A$6:$A$105,C22)=1,VLOOKUP(C22,'Lots'!$A$6:$O$105,15,FALSE),"Unknown lot"))</x:f>
      </x:c>
      <x:c r="N22" s="37" t="str">
        <x:f>IF(A22="","",IF(COUNTIFS('Lots'!$A$6:$A$105,C22)=1,VLOOKUP(C22,'Lots'!$A$6:$O$105,10,FALSE),"Unknown lot"))</x:f>
      </x:c>
      <x:c r="O22" s="37" t="str">
        <x:f>IF(A22="","",IF(ISNUMBER(N22),E22*N22,"Cost missing"))</x:f>
      </x:c>
      <x:c r="P22" s="37" t="str">
        <x:f>IF(A22="","",IF(ISNUMBER(N22),F22*N22,"Cost missing"))</x:f>
      </x:c>
      <x:c r="Q22" s="42" t="str">
        <x:f>IF(A22="","",IF(COUNTIFS($A$6:$A$205,A22)&lt;&gt;1,"Duplicate ID",IF(OR(NOT(ISNUMBER(B22)),G22="",H22="",J22="",E22&lt;0,F22&lt;0,AND(E22&gt;0,F22&gt;0),E22+F22&lt;=0),"Check required inputs",IF(OR(L22="Unknown lot",NOT(ISNUMBER(N22))),"Lot/cost incomplete",IF(AND(I22="Approved",OR(K22="",K22=J22)),"Independent review needed","OK")))))</x:f>
      </x:c>
    </x:row>
    <x:row r="23" ht="23" customHeight="1">
      <x:c r="A23" s="36"/>
      <x:c r="B23" s="40"/>
      <x:c r="C23" s="36"/>
      <x:c r="D23" s="36"/>
      <x:c r="E23" s="41"/>
      <x:c r="F23" s="41"/>
      <x:c r="G23" s="36"/>
      <x:c r="H23" s="36"/>
      <x:c r="I23" s="36"/>
      <x:c r="J23" s="36"/>
      <x:c r="K23" s="36"/>
      <x:c r="L23" s="42" t="str">
        <x:f>IF(A23="","",IF(COUNTIFS('Lots'!$A$6:$A$105,C23)=1,VLOOKUP(C23,'Lots'!$A$6:$O$105,2,FALSE),"Unknown lot"))</x:f>
      </x:c>
      <x:c r="M23" s="42" t="str">
        <x:f>IF(A23="","",IF(COUNTIFS('Lots'!$A$6:$A$105,C23)=1,VLOOKUP(C23,'Lots'!$A$6:$O$105,15,FALSE),"Unknown lot"))</x:f>
      </x:c>
      <x:c r="N23" s="37" t="str">
        <x:f>IF(A23="","",IF(COUNTIFS('Lots'!$A$6:$A$105,C23)=1,VLOOKUP(C23,'Lots'!$A$6:$O$105,10,FALSE),"Unknown lot"))</x:f>
      </x:c>
      <x:c r="O23" s="37" t="str">
        <x:f>IF(A23="","",IF(ISNUMBER(N23),E23*N23,"Cost missing"))</x:f>
      </x:c>
      <x:c r="P23" s="37" t="str">
        <x:f>IF(A23="","",IF(ISNUMBER(N23),F23*N23,"Cost missing"))</x:f>
      </x:c>
      <x:c r="Q23" s="42" t="str">
        <x:f>IF(A23="","",IF(COUNTIFS($A$6:$A$205,A23)&lt;&gt;1,"Duplicate ID",IF(OR(NOT(ISNUMBER(B23)),G23="",H23="",J23="",E23&lt;0,F23&lt;0,AND(E23&gt;0,F23&gt;0),E23+F23&lt;=0),"Check required inputs",IF(OR(L23="Unknown lot",NOT(ISNUMBER(N23))),"Lot/cost incomplete",IF(AND(I23="Approved",OR(K23="",K23=J23)),"Independent review needed","OK")))))</x:f>
      </x:c>
    </x:row>
    <x:row r="24" ht="23" customHeight="1">
      <x:c r="A24" s="36"/>
      <x:c r="B24" s="40"/>
      <x:c r="C24" s="36"/>
      <x:c r="D24" s="36"/>
      <x:c r="E24" s="41"/>
      <x:c r="F24" s="41"/>
      <x:c r="G24" s="36"/>
      <x:c r="H24" s="36"/>
      <x:c r="I24" s="36"/>
      <x:c r="J24" s="36"/>
      <x:c r="K24" s="36"/>
      <x:c r="L24" s="42" t="str">
        <x:f>IF(A24="","",IF(COUNTIFS('Lots'!$A$6:$A$105,C24)=1,VLOOKUP(C24,'Lots'!$A$6:$O$105,2,FALSE),"Unknown lot"))</x:f>
      </x:c>
      <x:c r="M24" s="42" t="str">
        <x:f>IF(A24="","",IF(COUNTIFS('Lots'!$A$6:$A$105,C24)=1,VLOOKUP(C24,'Lots'!$A$6:$O$105,15,FALSE),"Unknown lot"))</x:f>
      </x:c>
      <x:c r="N24" s="37" t="str">
        <x:f>IF(A24="","",IF(COUNTIFS('Lots'!$A$6:$A$105,C24)=1,VLOOKUP(C24,'Lots'!$A$6:$O$105,10,FALSE),"Unknown lot"))</x:f>
      </x:c>
      <x:c r="O24" s="37" t="str">
        <x:f>IF(A24="","",IF(ISNUMBER(N24),E24*N24,"Cost missing"))</x:f>
      </x:c>
      <x:c r="P24" s="37" t="str">
        <x:f>IF(A24="","",IF(ISNUMBER(N24),F24*N24,"Cost missing"))</x:f>
      </x:c>
      <x:c r="Q24" s="42" t="str">
        <x:f>IF(A24="","",IF(COUNTIFS($A$6:$A$205,A24)&lt;&gt;1,"Duplicate ID",IF(OR(NOT(ISNUMBER(B24)),G24="",H24="",J24="",E24&lt;0,F24&lt;0,AND(E24&gt;0,F24&gt;0),E24+F24&lt;=0),"Check required inputs",IF(OR(L24="Unknown lot",NOT(ISNUMBER(N24))),"Lot/cost incomplete",IF(AND(I24="Approved",OR(K24="",K24=J24)),"Independent review needed","OK")))))</x:f>
      </x:c>
    </x:row>
    <x:row r="25" ht="23" customHeight="1">
      <x:c r="A25" s="36"/>
      <x:c r="B25" s="40"/>
      <x:c r="C25" s="36"/>
      <x:c r="D25" s="36"/>
      <x:c r="E25" s="41"/>
      <x:c r="F25" s="41"/>
      <x:c r="G25" s="36"/>
      <x:c r="H25" s="36"/>
      <x:c r="I25" s="36"/>
      <x:c r="J25" s="36"/>
      <x:c r="K25" s="36"/>
      <x:c r="L25" s="42" t="str">
        <x:f>IF(A25="","",IF(COUNTIFS('Lots'!$A$6:$A$105,C25)=1,VLOOKUP(C25,'Lots'!$A$6:$O$105,2,FALSE),"Unknown lot"))</x:f>
      </x:c>
      <x:c r="M25" s="42" t="str">
        <x:f>IF(A25="","",IF(COUNTIFS('Lots'!$A$6:$A$105,C25)=1,VLOOKUP(C25,'Lots'!$A$6:$O$105,15,FALSE),"Unknown lot"))</x:f>
      </x:c>
      <x:c r="N25" s="37" t="str">
        <x:f>IF(A25="","",IF(COUNTIFS('Lots'!$A$6:$A$105,C25)=1,VLOOKUP(C25,'Lots'!$A$6:$O$105,10,FALSE),"Unknown lot"))</x:f>
      </x:c>
      <x:c r="O25" s="37" t="str">
        <x:f>IF(A25="","",IF(ISNUMBER(N25),E25*N25,"Cost missing"))</x:f>
      </x:c>
      <x:c r="P25" s="37" t="str">
        <x:f>IF(A25="","",IF(ISNUMBER(N25),F25*N25,"Cost missing"))</x:f>
      </x:c>
      <x:c r="Q25" s="42" t="str">
        <x:f>IF(A25="","",IF(COUNTIFS($A$6:$A$205,A25)&lt;&gt;1,"Duplicate ID",IF(OR(NOT(ISNUMBER(B25)),G25="",H25="",J25="",E25&lt;0,F25&lt;0,AND(E25&gt;0,F25&gt;0),E25+F25&lt;=0),"Check required inputs",IF(OR(L25="Unknown lot",NOT(ISNUMBER(N25))),"Lot/cost incomplete",IF(AND(I25="Approved",OR(K25="",K25=J25)),"Independent review needed","OK")))))</x:f>
      </x:c>
    </x:row>
    <x:row r="26" ht="23" customHeight="1">
      <x:c r="A26" s="36"/>
      <x:c r="B26" s="40"/>
      <x:c r="C26" s="36"/>
      <x:c r="D26" s="36"/>
      <x:c r="E26" s="41"/>
      <x:c r="F26" s="41"/>
      <x:c r="G26" s="36"/>
      <x:c r="H26" s="36"/>
      <x:c r="I26" s="36"/>
      <x:c r="J26" s="36"/>
      <x:c r="K26" s="36"/>
      <x:c r="L26" s="42" t="str">
        <x:f>IF(A26="","",IF(COUNTIFS('Lots'!$A$6:$A$105,C26)=1,VLOOKUP(C26,'Lots'!$A$6:$O$105,2,FALSE),"Unknown lot"))</x:f>
      </x:c>
      <x:c r="M26" s="42" t="str">
        <x:f>IF(A26="","",IF(COUNTIFS('Lots'!$A$6:$A$105,C26)=1,VLOOKUP(C26,'Lots'!$A$6:$O$105,15,FALSE),"Unknown lot"))</x:f>
      </x:c>
      <x:c r="N26" s="37" t="str">
        <x:f>IF(A26="","",IF(COUNTIFS('Lots'!$A$6:$A$105,C26)=1,VLOOKUP(C26,'Lots'!$A$6:$O$105,10,FALSE),"Unknown lot"))</x:f>
      </x:c>
      <x:c r="O26" s="37" t="str">
        <x:f>IF(A26="","",IF(ISNUMBER(N26),E26*N26,"Cost missing"))</x:f>
      </x:c>
      <x:c r="P26" s="37" t="str">
        <x:f>IF(A26="","",IF(ISNUMBER(N26),F26*N26,"Cost missing"))</x:f>
      </x:c>
      <x:c r="Q26" s="42" t="str">
        <x:f>IF(A26="","",IF(COUNTIFS($A$6:$A$205,A26)&lt;&gt;1,"Duplicate ID",IF(OR(NOT(ISNUMBER(B26)),G26="",H26="",J26="",E26&lt;0,F26&lt;0,AND(E26&gt;0,F26&gt;0),E26+F26&lt;=0),"Check required inputs",IF(OR(L26="Unknown lot",NOT(ISNUMBER(N26))),"Lot/cost incomplete",IF(AND(I26="Approved",OR(K26="",K26=J26)),"Independent review needed","OK")))))</x:f>
      </x:c>
    </x:row>
    <x:row r="27" ht="23" customHeight="1">
      <x:c r="A27" s="36"/>
      <x:c r="B27" s="40"/>
      <x:c r="C27" s="36"/>
      <x:c r="D27" s="36"/>
      <x:c r="E27" s="41"/>
      <x:c r="F27" s="41"/>
      <x:c r="G27" s="36"/>
      <x:c r="H27" s="36"/>
      <x:c r="I27" s="36"/>
      <x:c r="J27" s="36"/>
      <x:c r="K27" s="36"/>
      <x:c r="L27" s="42" t="str">
        <x:f>IF(A27="","",IF(COUNTIFS('Lots'!$A$6:$A$105,C27)=1,VLOOKUP(C27,'Lots'!$A$6:$O$105,2,FALSE),"Unknown lot"))</x:f>
      </x:c>
      <x:c r="M27" s="42" t="str">
        <x:f>IF(A27="","",IF(COUNTIFS('Lots'!$A$6:$A$105,C27)=1,VLOOKUP(C27,'Lots'!$A$6:$O$105,15,FALSE),"Unknown lot"))</x:f>
      </x:c>
      <x:c r="N27" s="37" t="str">
        <x:f>IF(A27="","",IF(COUNTIFS('Lots'!$A$6:$A$105,C27)=1,VLOOKUP(C27,'Lots'!$A$6:$O$105,10,FALSE),"Unknown lot"))</x:f>
      </x:c>
      <x:c r="O27" s="37" t="str">
        <x:f>IF(A27="","",IF(ISNUMBER(N27),E27*N27,"Cost missing"))</x:f>
      </x:c>
      <x:c r="P27" s="37" t="str">
        <x:f>IF(A27="","",IF(ISNUMBER(N27),F27*N27,"Cost missing"))</x:f>
      </x:c>
      <x:c r="Q27" s="42" t="str">
        <x:f>IF(A27="","",IF(COUNTIFS($A$6:$A$205,A27)&lt;&gt;1,"Duplicate ID",IF(OR(NOT(ISNUMBER(B27)),G27="",H27="",J27="",E27&lt;0,F27&lt;0,AND(E27&gt;0,F27&gt;0),E27+F27&lt;=0),"Check required inputs",IF(OR(L27="Unknown lot",NOT(ISNUMBER(N27))),"Lot/cost incomplete",IF(AND(I27="Approved",OR(K27="",K27=J27)),"Independent review needed","OK")))))</x:f>
      </x:c>
    </x:row>
    <x:row r="28" ht="23" customHeight="1">
      <x:c r="A28" s="36"/>
      <x:c r="B28" s="40"/>
      <x:c r="C28" s="36"/>
      <x:c r="D28" s="36"/>
      <x:c r="E28" s="41"/>
      <x:c r="F28" s="41"/>
      <x:c r="G28" s="36"/>
      <x:c r="H28" s="36"/>
      <x:c r="I28" s="36"/>
      <x:c r="J28" s="36"/>
      <x:c r="K28" s="36"/>
      <x:c r="L28" s="42" t="str">
        <x:f>IF(A28="","",IF(COUNTIFS('Lots'!$A$6:$A$105,C28)=1,VLOOKUP(C28,'Lots'!$A$6:$O$105,2,FALSE),"Unknown lot"))</x:f>
      </x:c>
      <x:c r="M28" s="42" t="str">
        <x:f>IF(A28="","",IF(COUNTIFS('Lots'!$A$6:$A$105,C28)=1,VLOOKUP(C28,'Lots'!$A$6:$O$105,15,FALSE),"Unknown lot"))</x:f>
      </x:c>
      <x:c r="N28" s="37" t="str">
        <x:f>IF(A28="","",IF(COUNTIFS('Lots'!$A$6:$A$105,C28)=1,VLOOKUP(C28,'Lots'!$A$6:$O$105,10,FALSE),"Unknown lot"))</x:f>
      </x:c>
      <x:c r="O28" s="37" t="str">
        <x:f>IF(A28="","",IF(ISNUMBER(N28),E28*N28,"Cost missing"))</x:f>
      </x:c>
      <x:c r="P28" s="37" t="str">
        <x:f>IF(A28="","",IF(ISNUMBER(N28),F28*N28,"Cost missing"))</x:f>
      </x:c>
      <x:c r="Q28" s="42" t="str">
        <x:f>IF(A28="","",IF(COUNTIFS($A$6:$A$205,A28)&lt;&gt;1,"Duplicate ID",IF(OR(NOT(ISNUMBER(B28)),G28="",H28="",J28="",E28&lt;0,F28&lt;0,AND(E28&gt;0,F28&gt;0),E28+F28&lt;=0),"Check required inputs",IF(OR(L28="Unknown lot",NOT(ISNUMBER(N28))),"Lot/cost incomplete",IF(AND(I28="Approved",OR(K28="",K28=J28)),"Independent review needed","OK")))))</x:f>
      </x:c>
    </x:row>
    <x:row r="29" ht="23" customHeight="1">
      <x:c r="A29" s="36"/>
      <x:c r="B29" s="40"/>
      <x:c r="C29" s="36"/>
      <x:c r="D29" s="36"/>
      <x:c r="E29" s="41"/>
      <x:c r="F29" s="41"/>
      <x:c r="G29" s="36"/>
      <x:c r="H29" s="36"/>
      <x:c r="I29" s="36"/>
      <x:c r="J29" s="36"/>
      <x:c r="K29" s="36"/>
      <x:c r="L29" s="42" t="str">
        <x:f>IF(A29="","",IF(COUNTIFS('Lots'!$A$6:$A$105,C29)=1,VLOOKUP(C29,'Lots'!$A$6:$O$105,2,FALSE),"Unknown lot"))</x:f>
      </x:c>
      <x:c r="M29" s="42" t="str">
        <x:f>IF(A29="","",IF(COUNTIFS('Lots'!$A$6:$A$105,C29)=1,VLOOKUP(C29,'Lots'!$A$6:$O$105,15,FALSE),"Unknown lot"))</x:f>
      </x:c>
      <x:c r="N29" s="37" t="str">
        <x:f>IF(A29="","",IF(COUNTIFS('Lots'!$A$6:$A$105,C29)=1,VLOOKUP(C29,'Lots'!$A$6:$O$105,10,FALSE),"Unknown lot"))</x:f>
      </x:c>
      <x:c r="O29" s="37" t="str">
        <x:f>IF(A29="","",IF(ISNUMBER(N29),E29*N29,"Cost missing"))</x:f>
      </x:c>
      <x:c r="P29" s="37" t="str">
        <x:f>IF(A29="","",IF(ISNUMBER(N29),F29*N29,"Cost missing"))</x:f>
      </x:c>
      <x:c r="Q29" s="42" t="str">
        <x:f>IF(A29="","",IF(COUNTIFS($A$6:$A$205,A29)&lt;&gt;1,"Duplicate ID",IF(OR(NOT(ISNUMBER(B29)),G29="",H29="",J29="",E29&lt;0,F29&lt;0,AND(E29&gt;0,F29&gt;0),E29+F29&lt;=0),"Check required inputs",IF(OR(L29="Unknown lot",NOT(ISNUMBER(N29))),"Lot/cost incomplete",IF(AND(I29="Approved",OR(K29="",K29=J29)),"Independent review needed","OK")))))</x:f>
      </x:c>
    </x:row>
    <x:row r="30" ht="23" customHeight="1">
      <x:c r="A30" s="36"/>
      <x:c r="B30" s="40"/>
      <x:c r="C30" s="36"/>
      <x:c r="D30" s="36"/>
      <x:c r="E30" s="41"/>
      <x:c r="F30" s="41"/>
      <x:c r="G30" s="36"/>
      <x:c r="H30" s="36"/>
      <x:c r="I30" s="36"/>
      <x:c r="J30" s="36"/>
      <x:c r="K30" s="36"/>
      <x:c r="L30" s="42" t="str">
        <x:f>IF(A30="","",IF(COUNTIFS('Lots'!$A$6:$A$105,C30)=1,VLOOKUP(C30,'Lots'!$A$6:$O$105,2,FALSE),"Unknown lot"))</x:f>
      </x:c>
      <x:c r="M30" s="42" t="str">
        <x:f>IF(A30="","",IF(COUNTIFS('Lots'!$A$6:$A$105,C30)=1,VLOOKUP(C30,'Lots'!$A$6:$O$105,15,FALSE),"Unknown lot"))</x:f>
      </x:c>
      <x:c r="N30" s="37" t="str">
        <x:f>IF(A30="","",IF(COUNTIFS('Lots'!$A$6:$A$105,C30)=1,VLOOKUP(C30,'Lots'!$A$6:$O$105,10,FALSE),"Unknown lot"))</x:f>
      </x:c>
      <x:c r="O30" s="37" t="str">
        <x:f>IF(A30="","",IF(ISNUMBER(N30),E30*N30,"Cost missing"))</x:f>
      </x:c>
      <x:c r="P30" s="37" t="str">
        <x:f>IF(A30="","",IF(ISNUMBER(N30),F30*N30,"Cost missing"))</x:f>
      </x:c>
      <x:c r="Q30" s="42" t="str">
        <x:f>IF(A30="","",IF(COUNTIFS($A$6:$A$205,A30)&lt;&gt;1,"Duplicate ID",IF(OR(NOT(ISNUMBER(B30)),G30="",H30="",J30="",E30&lt;0,F30&lt;0,AND(E30&gt;0,F30&gt;0),E30+F30&lt;=0),"Check required inputs",IF(OR(L30="Unknown lot",NOT(ISNUMBER(N30))),"Lot/cost incomplete",IF(AND(I30="Approved",OR(K30="",K30=J30)),"Independent review needed","OK")))))</x:f>
      </x:c>
    </x:row>
    <x:row r="31" ht="23" customHeight="1">
      <x:c r="A31" s="36"/>
      <x:c r="B31" s="40"/>
      <x:c r="C31" s="36"/>
      <x:c r="D31" s="36"/>
      <x:c r="E31" s="41"/>
      <x:c r="F31" s="41"/>
      <x:c r="G31" s="36"/>
      <x:c r="H31" s="36"/>
      <x:c r="I31" s="36"/>
      <x:c r="J31" s="36"/>
      <x:c r="K31" s="36"/>
      <x:c r="L31" s="42" t="str">
        <x:f>IF(A31="","",IF(COUNTIFS('Lots'!$A$6:$A$105,C31)=1,VLOOKUP(C31,'Lots'!$A$6:$O$105,2,FALSE),"Unknown lot"))</x:f>
      </x:c>
      <x:c r="M31" s="42" t="str">
        <x:f>IF(A31="","",IF(COUNTIFS('Lots'!$A$6:$A$105,C31)=1,VLOOKUP(C31,'Lots'!$A$6:$O$105,15,FALSE),"Unknown lot"))</x:f>
      </x:c>
      <x:c r="N31" s="37" t="str">
        <x:f>IF(A31="","",IF(COUNTIFS('Lots'!$A$6:$A$105,C31)=1,VLOOKUP(C31,'Lots'!$A$6:$O$105,10,FALSE),"Unknown lot"))</x:f>
      </x:c>
      <x:c r="O31" s="37" t="str">
        <x:f>IF(A31="","",IF(ISNUMBER(N31),E31*N31,"Cost missing"))</x:f>
      </x:c>
      <x:c r="P31" s="37" t="str">
        <x:f>IF(A31="","",IF(ISNUMBER(N31),F31*N31,"Cost missing"))</x:f>
      </x:c>
      <x:c r="Q31" s="42" t="str">
        <x:f>IF(A31="","",IF(COUNTIFS($A$6:$A$205,A31)&lt;&gt;1,"Duplicate ID",IF(OR(NOT(ISNUMBER(B31)),G31="",H31="",J31="",E31&lt;0,F31&lt;0,AND(E31&gt;0,F31&gt;0),E31+F31&lt;=0),"Check required inputs",IF(OR(L31="Unknown lot",NOT(ISNUMBER(N31))),"Lot/cost incomplete",IF(AND(I31="Approved",OR(K31="",K31=J31)),"Independent review needed","OK")))))</x:f>
      </x:c>
    </x:row>
    <x:row r="32" ht="23" customHeight="1">
      <x:c r="A32" s="36"/>
      <x:c r="B32" s="40"/>
      <x:c r="C32" s="36"/>
      <x:c r="D32" s="36"/>
      <x:c r="E32" s="41"/>
      <x:c r="F32" s="41"/>
      <x:c r="G32" s="36"/>
      <x:c r="H32" s="36"/>
      <x:c r="I32" s="36"/>
      <x:c r="J32" s="36"/>
      <x:c r="K32" s="36"/>
      <x:c r="L32" s="42" t="str">
        <x:f>IF(A32="","",IF(COUNTIFS('Lots'!$A$6:$A$105,C32)=1,VLOOKUP(C32,'Lots'!$A$6:$O$105,2,FALSE),"Unknown lot"))</x:f>
      </x:c>
      <x:c r="M32" s="42" t="str">
        <x:f>IF(A32="","",IF(COUNTIFS('Lots'!$A$6:$A$105,C32)=1,VLOOKUP(C32,'Lots'!$A$6:$O$105,15,FALSE),"Unknown lot"))</x:f>
      </x:c>
      <x:c r="N32" s="37" t="str">
        <x:f>IF(A32="","",IF(COUNTIFS('Lots'!$A$6:$A$105,C32)=1,VLOOKUP(C32,'Lots'!$A$6:$O$105,10,FALSE),"Unknown lot"))</x:f>
      </x:c>
      <x:c r="O32" s="37" t="str">
        <x:f>IF(A32="","",IF(ISNUMBER(N32),E32*N32,"Cost missing"))</x:f>
      </x:c>
      <x:c r="P32" s="37" t="str">
        <x:f>IF(A32="","",IF(ISNUMBER(N32),F32*N32,"Cost missing"))</x:f>
      </x:c>
      <x:c r="Q32" s="42" t="str">
        <x:f>IF(A32="","",IF(COUNTIFS($A$6:$A$205,A32)&lt;&gt;1,"Duplicate ID",IF(OR(NOT(ISNUMBER(B32)),G32="",H32="",J32="",E32&lt;0,F32&lt;0,AND(E32&gt;0,F32&gt;0),E32+F32&lt;=0),"Check required inputs",IF(OR(L32="Unknown lot",NOT(ISNUMBER(N32))),"Lot/cost incomplete",IF(AND(I32="Approved",OR(K32="",K32=J32)),"Independent review needed","OK")))))</x:f>
      </x:c>
    </x:row>
    <x:row r="33" ht="23" customHeight="1">
      <x:c r="A33" s="36"/>
      <x:c r="B33" s="40"/>
      <x:c r="C33" s="36"/>
      <x:c r="D33" s="36"/>
      <x:c r="E33" s="41"/>
      <x:c r="F33" s="41"/>
      <x:c r="G33" s="36"/>
      <x:c r="H33" s="36"/>
      <x:c r="I33" s="36"/>
      <x:c r="J33" s="36"/>
      <x:c r="K33" s="36"/>
      <x:c r="L33" s="42" t="str">
        <x:f>IF(A33="","",IF(COUNTIFS('Lots'!$A$6:$A$105,C33)=1,VLOOKUP(C33,'Lots'!$A$6:$O$105,2,FALSE),"Unknown lot"))</x:f>
      </x:c>
      <x:c r="M33" s="42" t="str">
        <x:f>IF(A33="","",IF(COUNTIFS('Lots'!$A$6:$A$105,C33)=1,VLOOKUP(C33,'Lots'!$A$6:$O$105,15,FALSE),"Unknown lot"))</x:f>
      </x:c>
      <x:c r="N33" s="37" t="str">
        <x:f>IF(A33="","",IF(COUNTIFS('Lots'!$A$6:$A$105,C33)=1,VLOOKUP(C33,'Lots'!$A$6:$O$105,10,FALSE),"Unknown lot"))</x:f>
      </x:c>
      <x:c r="O33" s="37" t="str">
        <x:f>IF(A33="","",IF(ISNUMBER(N33),E33*N33,"Cost missing"))</x:f>
      </x:c>
      <x:c r="P33" s="37" t="str">
        <x:f>IF(A33="","",IF(ISNUMBER(N33),F33*N33,"Cost missing"))</x:f>
      </x:c>
      <x:c r="Q33" s="42" t="str">
        <x:f>IF(A33="","",IF(COUNTIFS($A$6:$A$205,A33)&lt;&gt;1,"Duplicate ID",IF(OR(NOT(ISNUMBER(B33)),G33="",H33="",J33="",E33&lt;0,F33&lt;0,AND(E33&gt;0,F33&gt;0),E33+F33&lt;=0),"Check required inputs",IF(OR(L33="Unknown lot",NOT(ISNUMBER(N33))),"Lot/cost incomplete",IF(AND(I33="Approved",OR(K33="",K33=J33)),"Independent review needed","OK")))))</x:f>
      </x:c>
    </x:row>
    <x:row r="34" ht="23" customHeight="1">
      <x:c r="A34" s="36"/>
      <x:c r="B34" s="40"/>
      <x:c r="C34" s="36"/>
      <x:c r="D34" s="36"/>
      <x:c r="E34" s="41"/>
      <x:c r="F34" s="41"/>
      <x:c r="G34" s="36"/>
      <x:c r="H34" s="36"/>
      <x:c r="I34" s="36"/>
      <x:c r="J34" s="36"/>
      <x:c r="K34" s="36"/>
      <x:c r="L34" s="42" t="str">
        <x:f>IF(A34="","",IF(COUNTIFS('Lots'!$A$6:$A$105,C34)=1,VLOOKUP(C34,'Lots'!$A$6:$O$105,2,FALSE),"Unknown lot"))</x:f>
      </x:c>
      <x:c r="M34" s="42" t="str">
        <x:f>IF(A34="","",IF(COUNTIFS('Lots'!$A$6:$A$105,C34)=1,VLOOKUP(C34,'Lots'!$A$6:$O$105,15,FALSE),"Unknown lot"))</x:f>
      </x:c>
      <x:c r="N34" s="37" t="str">
        <x:f>IF(A34="","",IF(COUNTIFS('Lots'!$A$6:$A$105,C34)=1,VLOOKUP(C34,'Lots'!$A$6:$O$105,10,FALSE),"Unknown lot"))</x:f>
      </x:c>
      <x:c r="O34" s="37" t="str">
        <x:f>IF(A34="","",IF(ISNUMBER(N34),E34*N34,"Cost missing"))</x:f>
      </x:c>
      <x:c r="P34" s="37" t="str">
        <x:f>IF(A34="","",IF(ISNUMBER(N34),F34*N34,"Cost missing"))</x:f>
      </x:c>
      <x:c r="Q34" s="42" t="str">
        <x:f>IF(A34="","",IF(COUNTIFS($A$6:$A$205,A34)&lt;&gt;1,"Duplicate ID",IF(OR(NOT(ISNUMBER(B34)),G34="",H34="",J34="",E34&lt;0,F34&lt;0,AND(E34&gt;0,F34&gt;0),E34+F34&lt;=0),"Check required inputs",IF(OR(L34="Unknown lot",NOT(ISNUMBER(N34))),"Lot/cost incomplete",IF(AND(I34="Approved",OR(K34="",K34=J34)),"Independent review needed","OK")))))</x:f>
      </x:c>
    </x:row>
    <x:row r="35" ht="23" customHeight="1">
      <x:c r="A35" s="36"/>
      <x:c r="B35" s="40"/>
      <x:c r="C35" s="36"/>
      <x:c r="D35" s="36"/>
      <x:c r="E35" s="41"/>
      <x:c r="F35" s="41"/>
      <x:c r="G35" s="36"/>
      <x:c r="H35" s="36"/>
      <x:c r="I35" s="36"/>
      <x:c r="J35" s="36"/>
      <x:c r="K35" s="36"/>
      <x:c r="L35" s="42" t="str">
        <x:f>IF(A35="","",IF(COUNTIFS('Lots'!$A$6:$A$105,C35)=1,VLOOKUP(C35,'Lots'!$A$6:$O$105,2,FALSE),"Unknown lot"))</x:f>
      </x:c>
      <x:c r="M35" s="42" t="str">
        <x:f>IF(A35="","",IF(COUNTIFS('Lots'!$A$6:$A$105,C35)=1,VLOOKUP(C35,'Lots'!$A$6:$O$105,15,FALSE),"Unknown lot"))</x:f>
      </x:c>
      <x:c r="N35" s="37" t="str">
        <x:f>IF(A35="","",IF(COUNTIFS('Lots'!$A$6:$A$105,C35)=1,VLOOKUP(C35,'Lots'!$A$6:$O$105,10,FALSE),"Unknown lot"))</x:f>
      </x:c>
      <x:c r="O35" s="37" t="str">
        <x:f>IF(A35="","",IF(ISNUMBER(N35),E35*N35,"Cost missing"))</x:f>
      </x:c>
      <x:c r="P35" s="37" t="str">
        <x:f>IF(A35="","",IF(ISNUMBER(N35),F35*N35,"Cost missing"))</x:f>
      </x:c>
      <x:c r="Q35" s="42" t="str">
        <x:f>IF(A35="","",IF(COUNTIFS($A$6:$A$205,A35)&lt;&gt;1,"Duplicate ID",IF(OR(NOT(ISNUMBER(B35)),G35="",H35="",J35="",E35&lt;0,F35&lt;0,AND(E35&gt;0,F35&gt;0),E35+F35&lt;=0),"Check required inputs",IF(OR(L35="Unknown lot",NOT(ISNUMBER(N35))),"Lot/cost incomplete",IF(AND(I35="Approved",OR(K35="",K35=J35)),"Independent review needed","OK")))))</x:f>
      </x:c>
    </x:row>
    <x:row r="36" ht="23" customHeight="1">
      <x:c r="A36" s="36"/>
      <x:c r="B36" s="40"/>
      <x:c r="C36" s="36"/>
      <x:c r="D36" s="36"/>
      <x:c r="E36" s="41"/>
      <x:c r="F36" s="41"/>
      <x:c r="G36" s="36"/>
      <x:c r="H36" s="36"/>
      <x:c r="I36" s="36"/>
      <x:c r="J36" s="36"/>
      <x:c r="K36" s="36"/>
      <x:c r="L36" s="42" t="str">
        <x:f>IF(A36="","",IF(COUNTIFS('Lots'!$A$6:$A$105,C36)=1,VLOOKUP(C36,'Lots'!$A$6:$O$105,2,FALSE),"Unknown lot"))</x:f>
      </x:c>
      <x:c r="M36" s="42" t="str">
        <x:f>IF(A36="","",IF(COUNTIFS('Lots'!$A$6:$A$105,C36)=1,VLOOKUP(C36,'Lots'!$A$6:$O$105,15,FALSE),"Unknown lot"))</x:f>
      </x:c>
      <x:c r="N36" s="37" t="str">
        <x:f>IF(A36="","",IF(COUNTIFS('Lots'!$A$6:$A$105,C36)=1,VLOOKUP(C36,'Lots'!$A$6:$O$105,10,FALSE),"Unknown lot"))</x:f>
      </x:c>
      <x:c r="O36" s="37" t="str">
        <x:f>IF(A36="","",IF(ISNUMBER(N36),E36*N36,"Cost missing"))</x:f>
      </x:c>
      <x:c r="P36" s="37" t="str">
        <x:f>IF(A36="","",IF(ISNUMBER(N36),F36*N36,"Cost missing"))</x:f>
      </x:c>
      <x:c r="Q36" s="42" t="str">
        <x:f>IF(A36="","",IF(COUNTIFS($A$6:$A$205,A36)&lt;&gt;1,"Duplicate ID",IF(OR(NOT(ISNUMBER(B36)),G36="",H36="",J36="",E36&lt;0,F36&lt;0,AND(E36&gt;0,F36&gt;0),E36+F36&lt;=0),"Check required inputs",IF(OR(L36="Unknown lot",NOT(ISNUMBER(N36))),"Lot/cost incomplete",IF(AND(I36="Approved",OR(K36="",K36=J36)),"Independent review needed","OK")))))</x:f>
      </x:c>
    </x:row>
    <x:row r="37" ht="23" customHeight="1">
      <x:c r="A37" s="36"/>
      <x:c r="B37" s="40"/>
      <x:c r="C37" s="36"/>
      <x:c r="D37" s="36"/>
      <x:c r="E37" s="41"/>
      <x:c r="F37" s="41"/>
      <x:c r="G37" s="36"/>
      <x:c r="H37" s="36"/>
      <x:c r="I37" s="36"/>
      <x:c r="J37" s="36"/>
      <x:c r="K37" s="36"/>
      <x:c r="L37" s="42" t="str">
        <x:f>IF(A37="","",IF(COUNTIFS('Lots'!$A$6:$A$105,C37)=1,VLOOKUP(C37,'Lots'!$A$6:$O$105,2,FALSE),"Unknown lot"))</x:f>
      </x:c>
      <x:c r="M37" s="42" t="str">
        <x:f>IF(A37="","",IF(COUNTIFS('Lots'!$A$6:$A$105,C37)=1,VLOOKUP(C37,'Lots'!$A$6:$O$105,15,FALSE),"Unknown lot"))</x:f>
      </x:c>
      <x:c r="N37" s="37" t="str">
        <x:f>IF(A37="","",IF(COUNTIFS('Lots'!$A$6:$A$105,C37)=1,VLOOKUP(C37,'Lots'!$A$6:$O$105,10,FALSE),"Unknown lot"))</x:f>
      </x:c>
      <x:c r="O37" s="37" t="str">
        <x:f>IF(A37="","",IF(ISNUMBER(N37),E37*N37,"Cost missing"))</x:f>
      </x:c>
      <x:c r="P37" s="37" t="str">
        <x:f>IF(A37="","",IF(ISNUMBER(N37),F37*N37,"Cost missing"))</x:f>
      </x:c>
      <x:c r="Q37" s="42" t="str">
        <x:f>IF(A37="","",IF(COUNTIFS($A$6:$A$205,A37)&lt;&gt;1,"Duplicate ID",IF(OR(NOT(ISNUMBER(B37)),G37="",H37="",J37="",E37&lt;0,F37&lt;0,AND(E37&gt;0,F37&gt;0),E37+F37&lt;=0),"Check required inputs",IF(OR(L37="Unknown lot",NOT(ISNUMBER(N37))),"Lot/cost incomplete",IF(AND(I37="Approved",OR(K37="",K37=J37)),"Independent review needed","OK")))))</x:f>
      </x:c>
    </x:row>
    <x:row r="38" ht="23" customHeight="1">
      <x:c r="A38" s="36"/>
      <x:c r="B38" s="40"/>
      <x:c r="C38" s="36"/>
      <x:c r="D38" s="36"/>
      <x:c r="E38" s="41"/>
      <x:c r="F38" s="41"/>
      <x:c r="G38" s="36"/>
      <x:c r="H38" s="36"/>
      <x:c r="I38" s="36"/>
      <x:c r="J38" s="36"/>
      <x:c r="K38" s="36"/>
      <x:c r="L38" s="42" t="str">
        <x:f>IF(A38="","",IF(COUNTIFS('Lots'!$A$6:$A$105,C38)=1,VLOOKUP(C38,'Lots'!$A$6:$O$105,2,FALSE),"Unknown lot"))</x:f>
      </x:c>
      <x:c r="M38" s="42" t="str">
        <x:f>IF(A38="","",IF(COUNTIFS('Lots'!$A$6:$A$105,C38)=1,VLOOKUP(C38,'Lots'!$A$6:$O$105,15,FALSE),"Unknown lot"))</x:f>
      </x:c>
      <x:c r="N38" s="37" t="str">
        <x:f>IF(A38="","",IF(COUNTIFS('Lots'!$A$6:$A$105,C38)=1,VLOOKUP(C38,'Lots'!$A$6:$O$105,10,FALSE),"Unknown lot"))</x:f>
      </x:c>
      <x:c r="O38" s="37" t="str">
        <x:f>IF(A38="","",IF(ISNUMBER(N38),E38*N38,"Cost missing"))</x:f>
      </x:c>
      <x:c r="P38" s="37" t="str">
        <x:f>IF(A38="","",IF(ISNUMBER(N38),F38*N38,"Cost missing"))</x:f>
      </x:c>
      <x:c r="Q38" s="42" t="str">
        <x:f>IF(A38="","",IF(COUNTIFS($A$6:$A$205,A38)&lt;&gt;1,"Duplicate ID",IF(OR(NOT(ISNUMBER(B38)),G38="",H38="",J38="",E38&lt;0,F38&lt;0,AND(E38&gt;0,F38&gt;0),E38+F38&lt;=0),"Check required inputs",IF(OR(L38="Unknown lot",NOT(ISNUMBER(N38))),"Lot/cost incomplete",IF(AND(I38="Approved",OR(K38="",K38=J38)),"Independent review needed","OK")))))</x:f>
      </x:c>
    </x:row>
    <x:row r="39" ht="23" customHeight="1">
      <x:c r="A39" s="36"/>
      <x:c r="B39" s="40"/>
      <x:c r="C39" s="36"/>
      <x:c r="D39" s="36"/>
      <x:c r="E39" s="41"/>
      <x:c r="F39" s="41"/>
      <x:c r="G39" s="36"/>
      <x:c r="H39" s="36"/>
      <x:c r="I39" s="36"/>
      <x:c r="J39" s="36"/>
      <x:c r="K39" s="36"/>
      <x:c r="L39" s="42" t="str">
        <x:f>IF(A39="","",IF(COUNTIFS('Lots'!$A$6:$A$105,C39)=1,VLOOKUP(C39,'Lots'!$A$6:$O$105,2,FALSE),"Unknown lot"))</x:f>
      </x:c>
      <x:c r="M39" s="42" t="str">
        <x:f>IF(A39="","",IF(COUNTIFS('Lots'!$A$6:$A$105,C39)=1,VLOOKUP(C39,'Lots'!$A$6:$O$105,15,FALSE),"Unknown lot"))</x:f>
      </x:c>
      <x:c r="N39" s="37" t="str">
        <x:f>IF(A39="","",IF(COUNTIFS('Lots'!$A$6:$A$105,C39)=1,VLOOKUP(C39,'Lots'!$A$6:$O$105,10,FALSE),"Unknown lot"))</x:f>
      </x:c>
      <x:c r="O39" s="37" t="str">
        <x:f>IF(A39="","",IF(ISNUMBER(N39),E39*N39,"Cost missing"))</x:f>
      </x:c>
      <x:c r="P39" s="37" t="str">
        <x:f>IF(A39="","",IF(ISNUMBER(N39),F39*N39,"Cost missing"))</x:f>
      </x:c>
      <x:c r="Q39" s="42" t="str">
        <x:f>IF(A39="","",IF(COUNTIFS($A$6:$A$205,A39)&lt;&gt;1,"Duplicate ID",IF(OR(NOT(ISNUMBER(B39)),G39="",H39="",J39="",E39&lt;0,F39&lt;0,AND(E39&gt;0,F39&gt;0),E39+F39&lt;=0),"Check required inputs",IF(OR(L39="Unknown lot",NOT(ISNUMBER(N39))),"Lot/cost incomplete",IF(AND(I39="Approved",OR(K39="",K39=J39)),"Independent review needed","OK")))))</x:f>
      </x:c>
    </x:row>
    <x:row r="40" ht="23" customHeight="1">
      <x:c r="A40" s="36"/>
      <x:c r="B40" s="40"/>
      <x:c r="C40" s="36"/>
      <x:c r="D40" s="36"/>
      <x:c r="E40" s="41"/>
      <x:c r="F40" s="41"/>
      <x:c r="G40" s="36"/>
      <x:c r="H40" s="36"/>
      <x:c r="I40" s="36"/>
      <x:c r="J40" s="36"/>
      <x:c r="K40" s="36"/>
      <x:c r="L40" s="42" t="str">
        <x:f>IF(A40="","",IF(COUNTIFS('Lots'!$A$6:$A$105,C40)=1,VLOOKUP(C40,'Lots'!$A$6:$O$105,2,FALSE),"Unknown lot"))</x:f>
      </x:c>
      <x:c r="M40" s="42" t="str">
        <x:f>IF(A40="","",IF(COUNTIFS('Lots'!$A$6:$A$105,C40)=1,VLOOKUP(C40,'Lots'!$A$6:$O$105,15,FALSE),"Unknown lot"))</x:f>
      </x:c>
      <x:c r="N40" s="37" t="str">
        <x:f>IF(A40="","",IF(COUNTIFS('Lots'!$A$6:$A$105,C40)=1,VLOOKUP(C40,'Lots'!$A$6:$O$105,10,FALSE),"Unknown lot"))</x:f>
      </x:c>
      <x:c r="O40" s="37" t="str">
        <x:f>IF(A40="","",IF(ISNUMBER(N40),E40*N40,"Cost missing"))</x:f>
      </x:c>
      <x:c r="P40" s="37" t="str">
        <x:f>IF(A40="","",IF(ISNUMBER(N40),F40*N40,"Cost missing"))</x:f>
      </x:c>
      <x:c r="Q40" s="42" t="str">
        <x:f>IF(A40="","",IF(COUNTIFS($A$6:$A$205,A40)&lt;&gt;1,"Duplicate ID",IF(OR(NOT(ISNUMBER(B40)),G40="",H40="",J40="",E40&lt;0,F40&lt;0,AND(E40&gt;0,F40&gt;0),E40+F40&lt;=0),"Check required inputs",IF(OR(L40="Unknown lot",NOT(ISNUMBER(N40))),"Lot/cost incomplete",IF(AND(I40="Approved",OR(K40="",K40=J40)),"Independent review needed","OK")))))</x:f>
      </x:c>
    </x:row>
    <x:row r="41" ht="23" customHeight="1">
      <x:c r="A41" s="36"/>
      <x:c r="B41" s="40"/>
      <x:c r="C41" s="36"/>
      <x:c r="D41" s="36"/>
      <x:c r="E41" s="41"/>
      <x:c r="F41" s="41"/>
      <x:c r="G41" s="36"/>
      <x:c r="H41" s="36"/>
      <x:c r="I41" s="36"/>
      <x:c r="J41" s="36"/>
      <x:c r="K41" s="36"/>
      <x:c r="L41" s="42" t="str">
        <x:f>IF(A41="","",IF(COUNTIFS('Lots'!$A$6:$A$105,C41)=1,VLOOKUP(C41,'Lots'!$A$6:$O$105,2,FALSE),"Unknown lot"))</x:f>
      </x:c>
      <x:c r="M41" s="42" t="str">
        <x:f>IF(A41="","",IF(COUNTIFS('Lots'!$A$6:$A$105,C41)=1,VLOOKUP(C41,'Lots'!$A$6:$O$105,15,FALSE),"Unknown lot"))</x:f>
      </x:c>
      <x:c r="N41" s="37" t="str">
        <x:f>IF(A41="","",IF(COUNTIFS('Lots'!$A$6:$A$105,C41)=1,VLOOKUP(C41,'Lots'!$A$6:$O$105,10,FALSE),"Unknown lot"))</x:f>
      </x:c>
      <x:c r="O41" s="37" t="str">
        <x:f>IF(A41="","",IF(ISNUMBER(N41),E41*N41,"Cost missing"))</x:f>
      </x:c>
      <x:c r="P41" s="37" t="str">
        <x:f>IF(A41="","",IF(ISNUMBER(N41),F41*N41,"Cost missing"))</x:f>
      </x:c>
      <x:c r="Q41" s="42" t="str">
        <x:f>IF(A41="","",IF(COUNTIFS($A$6:$A$205,A41)&lt;&gt;1,"Duplicate ID",IF(OR(NOT(ISNUMBER(B41)),G41="",H41="",J41="",E41&lt;0,F41&lt;0,AND(E41&gt;0,F41&gt;0),E41+F41&lt;=0),"Check required inputs",IF(OR(L41="Unknown lot",NOT(ISNUMBER(N41))),"Lot/cost incomplete",IF(AND(I41="Approved",OR(K41="",K41=J41)),"Independent review needed","OK")))))</x:f>
      </x:c>
    </x:row>
    <x:row r="42" ht="23" customHeight="1">
      <x:c r="A42" s="36"/>
      <x:c r="B42" s="40"/>
      <x:c r="C42" s="36"/>
      <x:c r="D42" s="36"/>
      <x:c r="E42" s="41"/>
      <x:c r="F42" s="41"/>
      <x:c r="G42" s="36"/>
      <x:c r="H42" s="36"/>
      <x:c r="I42" s="36"/>
      <x:c r="J42" s="36"/>
      <x:c r="K42" s="36"/>
      <x:c r="L42" s="42" t="str">
        <x:f>IF(A42="","",IF(COUNTIFS('Lots'!$A$6:$A$105,C42)=1,VLOOKUP(C42,'Lots'!$A$6:$O$105,2,FALSE),"Unknown lot"))</x:f>
      </x:c>
      <x:c r="M42" s="42" t="str">
        <x:f>IF(A42="","",IF(COUNTIFS('Lots'!$A$6:$A$105,C42)=1,VLOOKUP(C42,'Lots'!$A$6:$O$105,15,FALSE),"Unknown lot"))</x:f>
      </x:c>
      <x:c r="N42" s="37" t="str">
        <x:f>IF(A42="","",IF(COUNTIFS('Lots'!$A$6:$A$105,C42)=1,VLOOKUP(C42,'Lots'!$A$6:$O$105,10,FALSE),"Unknown lot"))</x:f>
      </x:c>
      <x:c r="O42" s="37" t="str">
        <x:f>IF(A42="","",IF(ISNUMBER(N42),E42*N42,"Cost missing"))</x:f>
      </x:c>
      <x:c r="P42" s="37" t="str">
        <x:f>IF(A42="","",IF(ISNUMBER(N42),F42*N42,"Cost missing"))</x:f>
      </x:c>
      <x:c r="Q42" s="42" t="str">
        <x:f>IF(A42="","",IF(COUNTIFS($A$6:$A$205,A42)&lt;&gt;1,"Duplicate ID",IF(OR(NOT(ISNUMBER(B42)),G42="",H42="",J42="",E42&lt;0,F42&lt;0,AND(E42&gt;0,F42&gt;0),E42+F42&lt;=0),"Check required inputs",IF(OR(L42="Unknown lot",NOT(ISNUMBER(N42))),"Lot/cost incomplete",IF(AND(I42="Approved",OR(K42="",K42=J42)),"Independent review needed","OK")))))</x:f>
      </x:c>
    </x:row>
    <x:row r="43" ht="23" customHeight="1">
      <x:c r="A43" s="36"/>
      <x:c r="B43" s="40"/>
      <x:c r="C43" s="36"/>
      <x:c r="D43" s="36"/>
      <x:c r="E43" s="41"/>
      <x:c r="F43" s="41"/>
      <x:c r="G43" s="36"/>
      <x:c r="H43" s="36"/>
      <x:c r="I43" s="36"/>
      <x:c r="J43" s="36"/>
      <x:c r="K43" s="36"/>
      <x:c r="L43" s="42" t="str">
        <x:f>IF(A43="","",IF(COUNTIFS('Lots'!$A$6:$A$105,C43)=1,VLOOKUP(C43,'Lots'!$A$6:$O$105,2,FALSE),"Unknown lot"))</x:f>
      </x:c>
      <x:c r="M43" s="42" t="str">
        <x:f>IF(A43="","",IF(COUNTIFS('Lots'!$A$6:$A$105,C43)=1,VLOOKUP(C43,'Lots'!$A$6:$O$105,15,FALSE),"Unknown lot"))</x:f>
      </x:c>
      <x:c r="N43" s="37" t="str">
        <x:f>IF(A43="","",IF(COUNTIFS('Lots'!$A$6:$A$105,C43)=1,VLOOKUP(C43,'Lots'!$A$6:$O$105,10,FALSE),"Unknown lot"))</x:f>
      </x:c>
      <x:c r="O43" s="37" t="str">
        <x:f>IF(A43="","",IF(ISNUMBER(N43),E43*N43,"Cost missing"))</x:f>
      </x:c>
      <x:c r="P43" s="37" t="str">
        <x:f>IF(A43="","",IF(ISNUMBER(N43),F43*N43,"Cost missing"))</x:f>
      </x:c>
      <x:c r="Q43" s="42" t="str">
        <x:f>IF(A43="","",IF(COUNTIFS($A$6:$A$205,A43)&lt;&gt;1,"Duplicate ID",IF(OR(NOT(ISNUMBER(B43)),G43="",H43="",J43="",E43&lt;0,F43&lt;0,AND(E43&gt;0,F43&gt;0),E43+F43&lt;=0),"Check required inputs",IF(OR(L43="Unknown lot",NOT(ISNUMBER(N43))),"Lot/cost incomplete",IF(AND(I43="Approved",OR(K43="",K43=J43)),"Independent review needed","OK")))))</x:f>
      </x:c>
    </x:row>
    <x:row r="44" ht="23" customHeight="1">
      <x:c r="A44" s="36"/>
      <x:c r="B44" s="40"/>
      <x:c r="C44" s="36"/>
      <x:c r="D44" s="36"/>
      <x:c r="E44" s="41"/>
      <x:c r="F44" s="41"/>
      <x:c r="G44" s="36"/>
      <x:c r="H44" s="36"/>
      <x:c r="I44" s="36"/>
      <x:c r="J44" s="36"/>
      <x:c r="K44" s="36"/>
      <x:c r="L44" s="42" t="str">
        <x:f>IF(A44="","",IF(COUNTIFS('Lots'!$A$6:$A$105,C44)=1,VLOOKUP(C44,'Lots'!$A$6:$O$105,2,FALSE),"Unknown lot"))</x:f>
      </x:c>
      <x:c r="M44" s="42" t="str">
        <x:f>IF(A44="","",IF(COUNTIFS('Lots'!$A$6:$A$105,C44)=1,VLOOKUP(C44,'Lots'!$A$6:$O$105,15,FALSE),"Unknown lot"))</x:f>
      </x:c>
      <x:c r="N44" s="37" t="str">
        <x:f>IF(A44="","",IF(COUNTIFS('Lots'!$A$6:$A$105,C44)=1,VLOOKUP(C44,'Lots'!$A$6:$O$105,10,FALSE),"Unknown lot"))</x:f>
      </x:c>
      <x:c r="O44" s="37" t="str">
        <x:f>IF(A44="","",IF(ISNUMBER(N44),E44*N44,"Cost missing"))</x:f>
      </x:c>
      <x:c r="P44" s="37" t="str">
        <x:f>IF(A44="","",IF(ISNUMBER(N44),F44*N44,"Cost missing"))</x:f>
      </x:c>
      <x:c r="Q44" s="42" t="str">
        <x:f>IF(A44="","",IF(COUNTIFS($A$6:$A$205,A44)&lt;&gt;1,"Duplicate ID",IF(OR(NOT(ISNUMBER(B44)),G44="",H44="",J44="",E44&lt;0,F44&lt;0,AND(E44&gt;0,F44&gt;0),E44+F44&lt;=0),"Check required inputs",IF(OR(L44="Unknown lot",NOT(ISNUMBER(N44))),"Lot/cost incomplete",IF(AND(I44="Approved",OR(K44="",K44=J44)),"Independent review needed","OK")))))</x:f>
      </x:c>
    </x:row>
    <x:row r="45" ht="23" customHeight="1">
      <x:c r="A45" s="36"/>
      <x:c r="B45" s="40"/>
      <x:c r="C45" s="36"/>
      <x:c r="D45" s="36"/>
      <x:c r="E45" s="41"/>
      <x:c r="F45" s="41"/>
      <x:c r="G45" s="36"/>
      <x:c r="H45" s="36"/>
      <x:c r="I45" s="36"/>
      <x:c r="J45" s="36"/>
      <x:c r="K45" s="36"/>
      <x:c r="L45" s="42" t="str">
        <x:f>IF(A45="","",IF(COUNTIFS('Lots'!$A$6:$A$105,C45)=1,VLOOKUP(C45,'Lots'!$A$6:$O$105,2,FALSE),"Unknown lot"))</x:f>
      </x:c>
      <x:c r="M45" s="42" t="str">
        <x:f>IF(A45="","",IF(COUNTIFS('Lots'!$A$6:$A$105,C45)=1,VLOOKUP(C45,'Lots'!$A$6:$O$105,15,FALSE),"Unknown lot"))</x:f>
      </x:c>
      <x:c r="N45" s="37" t="str">
        <x:f>IF(A45="","",IF(COUNTIFS('Lots'!$A$6:$A$105,C45)=1,VLOOKUP(C45,'Lots'!$A$6:$O$105,10,FALSE),"Unknown lot"))</x:f>
      </x:c>
      <x:c r="O45" s="37" t="str">
        <x:f>IF(A45="","",IF(ISNUMBER(N45),E45*N45,"Cost missing"))</x:f>
      </x:c>
      <x:c r="P45" s="37" t="str">
        <x:f>IF(A45="","",IF(ISNUMBER(N45),F45*N45,"Cost missing"))</x:f>
      </x:c>
      <x:c r="Q45" s="42" t="str">
        <x:f>IF(A45="","",IF(COUNTIFS($A$6:$A$205,A45)&lt;&gt;1,"Duplicate ID",IF(OR(NOT(ISNUMBER(B45)),G45="",H45="",J45="",E45&lt;0,F45&lt;0,AND(E45&gt;0,F45&gt;0),E45+F45&lt;=0),"Check required inputs",IF(OR(L45="Unknown lot",NOT(ISNUMBER(N45))),"Lot/cost incomplete",IF(AND(I45="Approved",OR(K45="",K45=J45)),"Independent review needed","OK")))))</x:f>
      </x:c>
    </x:row>
    <x:row r="46" ht="23" customHeight="1">
      <x:c r="A46" s="36"/>
      <x:c r="B46" s="40"/>
      <x:c r="C46" s="36"/>
      <x:c r="D46" s="36"/>
      <x:c r="E46" s="41"/>
      <x:c r="F46" s="41"/>
      <x:c r="G46" s="36"/>
      <x:c r="H46" s="36"/>
      <x:c r="I46" s="36"/>
      <x:c r="J46" s="36"/>
      <x:c r="K46" s="36"/>
      <x:c r="L46" s="42" t="str">
        <x:f>IF(A46="","",IF(COUNTIFS('Lots'!$A$6:$A$105,C46)=1,VLOOKUP(C46,'Lots'!$A$6:$O$105,2,FALSE),"Unknown lot"))</x:f>
      </x:c>
      <x:c r="M46" s="42" t="str">
        <x:f>IF(A46="","",IF(COUNTIFS('Lots'!$A$6:$A$105,C46)=1,VLOOKUP(C46,'Lots'!$A$6:$O$105,15,FALSE),"Unknown lot"))</x:f>
      </x:c>
      <x:c r="N46" s="37" t="str">
        <x:f>IF(A46="","",IF(COUNTIFS('Lots'!$A$6:$A$105,C46)=1,VLOOKUP(C46,'Lots'!$A$6:$O$105,10,FALSE),"Unknown lot"))</x:f>
      </x:c>
      <x:c r="O46" s="37" t="str">
        <x:f>IF(A46="","",IF(ISNUMBER(N46),E46*N46,"Cost missing"))</x:f>
      </x:c>
      <x:c r="P46" s="37" t="str">
        <x:f>IF(A46="","",IF(ISNUMBER(N46),F46*N46,"Cost missing"))</x:f>
      </x:c>
      <x:c r="Q46" s="42" t="str">
        <x:f>IF(A46="","",IF(COUNTIFS($A$6:$A$205,A46)&lt;&gt;1,"Duplicate ID",IF(OR(NOT(ISNUMBER(B46)),G46="",H46="",J46="",E46&lt;0,F46&lt;0,AND(E46&gt;0,F46&gt;0),E46+F46&lt;=0),"Check required inputs",IF(OR(L46="Unknown lot",NOT(ISNUMBER(N46))),"Lot/cost incomplete",IF(AND(I46="Approved",OR(K46="",K46=J46)),"Independent review needed","OK")))))</x:f>
      </x:c>
    </x:row>
    <x:row r="47" ht="23" customHeight="1">
      <x:c r="A47" s="36"/>
      <x:c r="B47" s="40"/>
      <x:c r="C47" s="36"/>
      <x:c r="D47" s="36"/>
      <x:c r="E47" s="41"/>
      <x:c r="F47" s="41"/>
      <x:c r="G47" s="36"/>
      <x:c r="H47" s="36"/>
      <x:c r="I47" s="36"/>
      <x:c r="J47" s="36"/>
      <x:c r="K47" s="36"/>
      <x:c r="L47" s="42" t="str">
        <x:f>IF(A47="","",IF(COUNTIFS('Lots'!$A$6:$A$105,C47)=1,VLOOKUP(C47,'Lots'!$A$6:$O$105,2,FALSE),"Unknown lot"))</x:f>
      </x:c>
      <x:c r="M47" s="42" t="str">
        <x:f>IF(A47="","",IF(COUNTIFS('Lots'!$A$6:$A$105,C47)=1,VLOOKUP(C47,'Lots'!$A$6:$O$105,15,FALSE),"Unknown lot"))</x:f>
      </x:c>
      <x:c r="N47" s="37" t="str">
        <x:f>IF(A47="","",IF(COUNTIFS('Lots'!$A$6:$A$105,C47)=1,VLOOKUP(C47,'Lots'!$A$6:$O$105,10,FALSE),"Unknown lot"))</x:f>
      </x:c>
      <x:c r="O47" s="37" t="str">
        <x:f>IF(A47="","",IF(ISNUMBER(N47),E47*N47,"Cost missing"))</x:f>
      </x:c>
      <x:c r="P47" s="37" t="str">
        <x:f>IF(A47="","",IF(ISNUMBER(N47),F47*N47,"Cost missing"))</x:f>
      </x:c>
      <x:c r="Q47" s="42" t="str">
        <x:f>IF(A47="","",IF(COUNTIFS($A$6:$A$205,A47)&lt;&gt;1,"Duplicate ID",IF(OR(NOT(ISNUMBER(B47)),G47="",H47="",J47="",E47&lt;0,F47&lt;0,AND(E47&gt;0,F47&gt;0),E47+F47&lt;=0),"Check required inputs",IF(OR(L47="Unknown lot",NOT(ISNUMBER(N47))),"Lot/cost incomplete",IF(AND(I47="Approved",OR(K47="",K47=J47)),"Independent review needed","OK")))))</x:f>
      </x:c>
    </x:row>
    <x:row r="48" ht="23" customHeight="1">
      <x:c r="A48" s="36"/>
      <x:c r="B48" s="40"/>
      <x:c r="C48" s="36"/>
      <x:c r="D48" s="36"/>
      <x:c r="E48" s="41"/>
      <x:c r="F48" s="41"/>
      <x:c r="G48" s="36"/>
      <x:c r="H48" s="36"/>
      <x:c r="I48" s="36"/>
      <x:c r="J48" s="36"/>
      <x:c r="K48" s="36"/>
      <x:c r="L48" s="42" t="str">
        <x:f>IF(A48="","",IF(COUNTIFS('Lots'!$A$6:$A$105,C48)=1,VLOOKUP(C48,'Lots'!$A$6:$O$105,2,FALSE),"Unknown lot"))</x:f>
      </x:c>
      <x:c r="M48" s="42" t="str">
        <x:f>IF(A48="","",IF(COUNTIFS('Lots'!$A$6:$A$105,C48)=1,VLOOKUP(C48,'Lots'!$A$6:$O$105,15,FALSE),"Unknown lot"))</x:f>
      </x:c>
      <x:c r="N48" s="37" t="str">
        <x:f>IF(A48="","",IF(COUNTIFS('Lots'!$A$6:$A$105,C48)=1,VLOOKUP(C48,'Lots'!$A$6:$O$105,10,FALSE),"Unknown lot"))</x:f>
      </x:c>
      <x:c r="O48" s="37" t="str">
        <x:f>IF(A48="","",IF(ISNUMBER(N48),E48*N48,"Cost missing"))</x:f>
      </x:c>
      <x:c r="P48" s="37" t="str">
        <x:f>IF(A48="","",IF(ISNUMBER(N48),F48*N48,"Cost missing"))</x:f>
      </x:c>
      <x:c r="Q48" s="42" t="str">
        <x:f>IF(A48="","",IF(COUNTIFS($A$6:$A$205,A48)&lt;&gt;1,"Duplicate ID",IF(OR(NOT(ISNUMBER(B48)),G48="",H48="",J48="",E48&lt;0,F48&lt;0,AND(E48&gt;0,F48&gt;0),E48+F48&lt;=0),"Check required inputs",IF(OR(L48="Unknown lot",NOT(ISNUMBER(N48))),"Lot/cost incomplete",IF(AND(I48="Approved",OR(K48="",K48=J48)),"Independent review needed","OK")))))</x:f>
      </x:c>
    </x:row>
    <x:row r="49" ht="23" customHeight="1">
      <x:c r="A49" s="36"/>
      <x:c r="B49" s="40"/>
      <x:c r="C49" s="36"/>
      <x:c r="D49" s="36"/>
      <x:c r="E49" s="41"/>
      <x:c r="F49" s="41"/>
      <x:c r="G49" s="36"/>
      <x:c r="H49" s="36"/>
      <x:c r="I49" s="36"/>
      <x:c r="J49" s="36"/>
      <x:c r="K49" s="36"/>
      <x:c r="L49" s="42" t="str">
        <x:f>IF(A49="","",IF(COUNTIFS('Lots'!$A$6:$A$105,C49)=1,VLOOKUP(C49,'Lots'!$A$6:$O$105,2,FALSE),"Unknown lot"))</x:f>
      </x:c>
      <x:c r="M49" s="42" t="str">
        <x:f>IF(A49="","",IF(COUNTIFS('Lots'!$A$6:$A$105,C49)=1,VLOOKUP(C49,'Lots'!$A$6:$O$105,15,FALSE),"Unknown lot"))</x:f>
      </x:c>
      <x:c r="N49" s="37" t="str">
        <x:f>IF(A49="","",IF(COUNTIFS('Lots'!$A$6:$A$105,C49)=1,VLOOKUP(C49,'Lots'!$A$6:$O$105,10,FALSE),"Unknown lot"))</x:f>
      </x:c>
      <x:c r="O49" s="37" t="str">
        <x:f>IF(A49="","",IF(ISNUMBER(N49),E49*N49,"Cost missing"))</x:f>
      </x:c>
      <x:c r="P49" s="37" t="str">
        <x:f>IF(A49="","",IF(ISNUMBER(N49),F49*N49,"Cost missing"))</x:f>
      </x:c>
      <x:c r="Q49" s="42" t="str">
        <x:f>IF(A49="","",IF(COUNTIFS($A$6:$A$205,A49)&lt;&gt;1,"Duplicate ID",IF(OR(NOT(ISNUMBER(B49)),G49="",H49="",J49="",E49&lt;0,F49&lt;0,AND(E49&gt;0,F49&gt;0),E49+F49&lt;=0),"Check required inputs",IF(OR(L49="Unknown lot",NOT(ISNUMBER(N49))),"Lot/cost incomplete",IF(AND(I49="Approved",OR(K49="",K49=J49)),"Independent review needed","OK")))))</x:f>
      </x:c>
    </x:row>
    <x:row r="50" ht="23" customHeight="1">
      <x:c r="A50" s="36"/>
      <x:c r="B50" s="40"/>
      <x:c r="C50" s="36"/>
      <x:c r="D50" s="36"/>
      <x:c r="E50" s="41"/>
      <x:c r="F50" s="41"/>
      <x:c r="G50" s="36"/>
      <x:c r="H50" s="36"/>
      <x:c r="I50" s="36"/>
      <x:c r="J50" s="36"/>
      <x:c r="K50" s="36"/>
      <x:c r="L50" s="42" t="str">
        <x:f>IF(A50="","",IF(COUNTIFS('Lots'!$A$6:$A$105,C50)=1,VLOOKUP(C50,'Lots'!$A$6:$O$105,2,FALSE),"Unknown lot"))</x:f>
      </x:c>
      <x:c r="M50" s="42" t="str">
        <x:f>IF(A50="","",IF(COUNTIFS('Lots'!$A$6:$A$105,C50)=1,VLOOKUP(C50,'Lots'!$A$6:$O$105,15,FALSE),"Unknown lot"))</x:f>
      </x:c>
      <x:c r="N50" s="37" t="str">
        <x:f>IF(A50="","",IF(COUNTIFS('Lots'!$A$6:$A$105,C50)=1,VLOOKUP(C50,'Lots'!$A$6:$O$105,10,FALSE),"Unknown lot"))</x:f>
      </x:c>
      <x:c r="O50" s="37" t="str">
        <x:f>IF(A50="","",IF(ISNUMBER(N50),E50*N50,"Cost missing"))</x:f>
      </x:c>
      <x:c r="P50" s="37" t="str">
        <x:f>IF(A50="","",IF(ISNUMBER(N50),F50*N50,"Cost missing"))</x:f>
      </x:c>
      <x:c r="Q50" s="42" t="str">
        <x:f>IF(A50="","",IF(COUNTIFS($A$6:$A$205,A50)&lt;&gt;1,"Duplicate ID",IF(OR(NOT(ISNUMBER(B50)),G50="",H50="",J50="",E50&lt;0,F50&lt;0,AND(E50&gt;0,F50&gt;0),E50+F50&lt;=0),"Check required inputs",IF(OR(L50="Unknown lot",NOT(ISNUMBER(N50))),"Lot/cost incomplete",IF(AND(I50="Approved",OR(K50="",K50=J50)),"Independent review needed","OK")))))</x:f>
      </x:c>
    </x:row>
    <x:row r="51" ht="23" customHeight="1">
      <x:c r="A51" s="36"/>
      <x:c r="B51" s="40"/>
      <x:c r="C51" s="36"/>
      <x:c r="D51" s="36"/>
      <x:c r="E51" s="41"/>
      <x:c r="F51" s="41"/>
      <x:c r="G51" s="36"/>
      <x:c r="H51" s="36"/>
      <x:c r="I51" s="36"/>
      <x:c r="J51" s="36"/>
      <x:c r="K51" s="36"/>
      <x:c r="L51" s="42" t="str">
        <x:f>IF(A51="","",IF(COUNTIFS('Lots'!$A$6:$A$105,C51)=1,VLOOKUP(C51,'Lots'!$A$6:$O$105,2,FALSE),"Unknown lot"))</x:f>
      </x:c>
      <x:c r="M51" s="42" t="str">
        <x:f>IF(A51="","",IF(COUNTIFS('Lots'!$A$6:$A$105,C51)=1,VLOOKUP(C51,'Lots'!$A$6:$O$105,15,FALSE),"Unknown lot"))</x:f>
      </x:c>
      <x:c r="N51" s="37" t="str">
        <x:f>IF(A51="","",IF(COUNTIFS('Lots'!$A$6:$A$105,C51)=1,VLOOKUP(C51,'Lots'!$A$6:$O$105,10,FALSE),"Unknown lot"))</x:f>
      </x:c>
      <x:c r="O51" s="37" t="str">
        <x:f>IF(A51="","",IF(ISNUMBER(N51),E51*N51,"Cost missing"))</x:f>
      </x:c>
      <x:c r="P51" s="37" t="str">
        <x:f>IF(A51="","",IF(ISNUMBER(N51),F51*N51,"Cost missing"))</x:f>
      </x:c>
      <x:c r="Q51" s="42" t="str">
        <x:f>IF(A51="","",IF(COUNTIFS($A$6:$A$205,A51)&lt;&gt;1,"Duplicate ID",IF(OR(NOT(ISNUMBER(B51)),G51="",H51="",J51="",E51&lt;0,F51&lt;0,AND(E51&gt;0,F51&gt;0),E51+F51&lt;=0),"Check required inputs",IF(OR(L51="Unknown lot",NOT(ISNUMBER(N51))),"Lot/cost incomplete",IF(AND(I51="Approved",OR(K51="",K51=J51)),"Independent review needed","OK")))))</x:f>
      </x:c>
    </x:row>
    <x:row r="52" ht="23" customHeight="1">
      <x:c r="A52" s="36"/>
      <x:c r="B52" s="40"/>
      <x:c r="C52" s="36"/>
      <x:c r="D52" s="36"/>
      <x:c r="E52" s="41"/>
      <x:c r="F52" s="41"/>
      <x:c r="G52" s="36"/>
      <x:c r="H52" s="36"/>
      <x:c r="I52" s="36"/>
      <x:c r="J52" s="36"/>
      <x:c r="K52" s="36"/>
      <x:c r="L52" s="42" t="str">
        <x:f>IF(A52="","",IF(COUNTIFS('Lots'!$A$6:$A$105,C52)=1,VLOOKUP(C52,'Lots'!$A$6:$O$105,2,FALSE),"Unknown lot"))</x:f>
      </x:c>
      <x:c r="M52" s="42" t="str">
        <x:f>IF(A52="","",IF(COUNTIFS('Lots'!$A$6:$A$105,C52)=1,VLOOKUP(C52,'Lots'!$A$6:$O$105,15,FALSE),"Unknown lot"))</x:f>
      </x:c>
      <x:c r="N52" s="37" t="str">
        <x:f>IF(A52="","",IF(COUNTIFS('Lots'!$A$6:$A$105,C52)=1,VLOOKUP(C52,'Lots'!$A$6:$O$105,10,FALSE),"Unknown lot"))</x:f>
      </x:c>
      <x:c r="O52" s="37" t="str">
        <x:f>IF(A52="","",IF(ISNUMBER(N52),E52*N52,"Cost missing"))</x:f>
      </x:c>
      <x:c r="P52" s="37" t="str">
        <x:f>IF(A52="","",IF(ISNUMBER(N52),F52*N52,"Cost missing"))</x:f>
      </x:c>
      <x:c r="Q52" s="42" t="str">
        <x:f>IF(A52="","",IF(COUNTIFS($A$6:$A$205,A52)&lt;&gt;1,"Duplicate ID",IF(OR(NOT(ISNUMBER(B52)),G52="",H52="",J52="",E52&lt;0,F52&lt;0,AND(E52&gt;0,F52&gt;0),E52+F52&lt;=0),"Check required inputs",IF(OR(L52="Unknown lot",NOT(ISNUMBER(N52))),"Lot/cost incomplete",IF(AND(I52="Approved",OR(K52="",K52=J52)),"Independent review needed","OK")))))</x:f>
      </x:c>
    </x:row>
    <x:row r="53" ht="23" customHeight="1">
      <x:c r="A53" s="36"/>
      <x:c r="B53" s="40"/>
      <x:c r="C53" s="36"/>
      <x:c r="D53" s="36"/>
      <x:c r="E53" s="41"/>
      <x:c r="F53" s="41"/>
      <x:c r="G53" s="36"/>
      <x:c r="H53" s="36"/>
      <x:c r="I53" s="36"/>
      <x:c r="J53" s="36"/>
      <x:c r="K53" s="36"/>
      <x:c r="L53" s="42" t="str">
        <x:f>IF(A53="","",IF(COUNTIFS('Lots'!$A$6:$A$105,C53)=1,VLOOKUP(C53,'Lots'!$A$6:$O$105,2,FALSE),"Unknown lot"))</x:f>
      </x:c>
      <x:c r="M53" s="42" t="str">
        <x:f>IF(A53="","",IF(COUNTIFS('Lots'!$A$6:$A$105,C53)=1,VLOOKUP(C53,'Lots'!$A$6:$O$105,15,FALSE),"Unknown lot"))</x:f>
      </x:c>
      <x:c r="N53" s="37" t="str">
        <x:f>IF(A53="","",IF(COUNTIFS('Lots'!$A$6:$A$105,C53)=1,VLOOKUP(C53,'Lots'!$A$6:$O$105,10,FALSE),"Unknown lot"))</x:f>
      </x:c>
      <x:c r="O53" s="37" t="str">
        <x:f>IF(A53="","",IF(ISNUMBER(N53),E53*N53,"Cost missing"))</x:f>
      </x:c>
      <x:c r="P53" s="37" t="str">
        <x:f>IF(A53="","",IF(ISNUMBER(N53),F53*N53,"Cost missing"))</x:f>
      </x:c>
      <x:c r="Q53" s="42" t="str">
        <x:f>IF(A53="","",IF(COUNTIFS($A$6:$A$205,A53)&lt;&gt;1,"Duplicate ID",IF(OR(NOT(ISNUMBER(B53)),G53="",H53="",J53="",E53&lt;0,F53&lt;0,AND(E53&gt;0,F53&gt;0),E53+F53&lt;=0),"Check required inputs",IF(OR(L53="Unknown lot",NOT(ISNUMBER(N53))),"Lot/cost incomplete",IF(AND(I53="Approved",OR(K53="",K53=J53)),"Independent review needed","OK")))))</x:f>
      </x:c>
    </x:row>
    <x:row r="54" ht="23" customHeight="1">
      <x:c r="A54" s="36"/>
      <x:c r="B54" s="40"/>
      <x:c r="C54" s="36"/>
      <x:c r="D54" s="36"/>
      <x:c r="E54" s="41"/>
      <x:c r="F54" s="41"/>
      <x:c r="G54" s="36"/>
      <x:c r="H54" s="36"/>
      <x:c r="I54" s="36"/>
      <x:c r="J54" s="36"/>
      <x:c r="K54" s="36"/>
      <x:c r="L54" s="42" t="str">
        <x:f>IF(A54="","",IF(COUNTIFS('Lots'!$A$6:$A$105,C54)=1,VLOOKUP(C54,'Lots'!$A$6:$O$105,2,FALSE),"Unknown lot"))</x:f>
      </x:c>
      <x:c r="M54" s="42" t="str">
        <x:f>IF(A54="","",IF(COUNTIFS('Lots'!$A$6:$A$105,C54)=1,VLOOKUP(C54,'Lots'!$A$6:$O$105,15,FALSE),"Unknown lot"))</x:f>
      </x:c>
      <x:c r="N54" s="37" t="str">
        <x:f>IF(A54="","",IF(COUNTIFS('Lots'!$A$6:$A$105,C54)=1,VLOOKUP(C54,'Lots'!$A$6:$O$105,10,FALSE),"Unknown lot"))</x:f>
      </x:c>
      <x:c r="O54" s="37" t="str">
        <x:f>IF(A54="","",IF(ISNUMBER(N54),E54*N54,"Cost missing"))</x:f>
      </x:c>
      <x:c r="P54" s="37" t="str">
        <x:f>IF(A54="","",IF(ISNUMBER(N54),F54*N54,"Cost missing"))</x:f>
      </x:c>
      <x:c r="Q54" s="42" t="str">
        <x:f>IF(A54="","",IF(COUNTIFS($A$6:$A$205,A54)&lt;&gt;1,"Duplicate ID",IF(OR(NOT(ISNUMBER(B54)),G54="",H54="",J54="",E54&lt;0,F54&lt;0,AND(E54&gt;0,F54&gt;0),E54+F54&lt;=0),"Check required inputs",IF(OR(L54="Unknown lot",NOT(ISNUMBER(N54))),"Lot/cost incomplete",IF(AND(I54="Approved",OR(K54="",K54=J54)),"Independent review needed","OK")))))</x:f>
      </x:c>
    </x:row>
    <x:row r="55" ht="23" customHeight="1">
      <x:c r="A55" s="36"/>
      <x:c r="B55" s="40"/>
      <x:c r="C55" s="36"/>
      <x:c r="D55" s="36"/>
      <x:c r="E55" s="41"/>
      <x:c r="F55" s="41"/>
      <x:c r="G55" s="36"/>
      <x:c r="H55" s="36"/>
      <x:c r="I55" s="36"/>
      <x:c r="J55" s="36"/>
      <x:c r="K55" s="36"/>
      <x:c r="L55" s="42" t="str">
        <x:f>IF(A55="","",IF(COUNTIFS('Lots'!$A$6:$A$105,C55)=1,VLOOKUP(C55,'Lots'!$A$6:$O$105,2,FALSE),"Unknown lot"))</x:f>
      </x:c>
      <x:c r="M55" s="42" t="str">
        <x:f>IF(A55="","",IF(COUNTIFS('Lots'!$A$6:$A$105,C55)=1,VLOOKUP(C55,'Lots'!$A$6:$O$105,15,FALSE),"Unknown lot"))</x:f>
      </x:c>
      <x:c r="N55" s="37" t="str">
        <x:f>IF(A55="","",IF(COUNTIFS('Lots'!$A$6:$A$105,C55)=1,VLOOKUP(C55,'Lots'!$A$6:$O$105,10,FALSE),"Unknown lot"))</x:f>
      </x:c>
      <x:c r="O55" s="37" t="str">
        <x:f>IF(A55="","",IF(ISNUMBER(N55),E55*N55,"Cost missing"))</x:f>
      </x:c>
      <x:c r="P55" s="37" t="str">
        <x:f>IF(A55="","",IF(ISNUMBER(N55),F55*N55,"Cost missing"))</x:f>
      </x:c>
      <x:c r="Q55" s="42" t="str">
        <x:f>IF(A55="","",IF(COUNTIFS($A$6:$A$205,A55)&lt;&gt;1,"Duplicate ID",IF(OR(NOT(ISNUMBER(B55)),G55="",H55="",J55="",E55&lt;0,F55&lt;0,AND(E55&gt;0,F55&gt;0),E55+F55&lt;=0),"Check required inputs",IF(OR(L55="Unknown lot",NOT(ISNUMBER(N55))),"Lot/cost incomplete",IF(AND(I55="Approved",OR(K55="",K55=J55)),"Independent review needed","OK")))))</x:f>
      </x:c>
    </x:row>
    <x:row r="56" ht="23" customHeight="1">
      <x:c r="A56" s="36"/>
      <x:c r="B56" s="40"/>
      <x:c r="C56" s="36"/>
      <x:c r="D56" s="36"/>
      <x:c r="E56" s="41"/>
      <x:c r="F56" s="41"/>
      <x:c r="G56" s="36"/>
      <x:c r="H56" s="36"/>
      <x:c r="I56" s="36"/>
      <x:c r="J56" s="36"/>
      <x:c r="K56" s="36"/>
      <x:c r="L56" s="42" t="str">
        <x:f>IF(A56="","",IF(COUNTIFS('Lots'!$A$6:$A$105,C56)=1,VLOOKUP(C56,'Lots'!$A$6:$O$105,2,FALSE),"Unknown lot"))</x:f>
      </x:c>
      <x:c r="M56" s="42" t="str">
        <x:f>IF(A56="","",IF(COUNTIFS('Lots'!$A$6:$A$105,C56)=1,VLOOKUP(C56,'Lots'!$A$6:$O$105,15,FALSE),"Unknown lot"))</x:f>
      </x:c>
      <x:c r="N56" s="37" t="str">
        <x:f>IF(A56="","",IF(COUNTIFS('Lots'!$A$6:$A$105,C56)=1,VLOOKUP(C56,'Lots'!$A$6:$O$105,10,FALSE),"Unknown lot"))</x:f>
      </x:c>
      <x:c r="O56" s="37" t="str">
        <x:f>IF(A56="","",IF(ISNUMBER(N56),E56*N56,"Cost missing"))</x:f>
      </x:c>
      <x:c r="P56" s="37" t="str">
        <x:f>IF(A56="","",IF(ISNUMBER(N56),F56*N56,"Cost missing"))</x:f>
      </x:c>
      <x:c r="Q56" s="42" t="str">
        <x:f>IF(A56="","",IF(COUNTIFS($A$6:$A$205,A56)&lt;&gt;1,"Duplicate ID",IF(OR(NOT(ISNUMBER(B56)),G56="",H56="",J56="",E56&lt;0,F56&lt;0,AND(E56&gt;0,F56&gt;0),E56+F56&lt;=0),"Check required inputs",IF(OR(L56="Unknown lot",NOT(ISNUMBER(N56))),"Lot/cost incomplete",IF(AND(I56="Approved",OR(K56="",K56=J56)),"Independent review needed","OK")))))</x:f>
      </x:c>
    </x:row>
    <x:row r="57" ht="23" customHeight="1">
      <x:c r="A57" s="36"/>
      <x:c r="B57" s="40"/>
      <x:c r="C57" s="36"/>
      <x:c r="D57" s="36"/>
      <x:c r="E57" s="41"/>
      <x:c r="F57" s="41"/>
      <x:c r="G57" s="36"/>
      <x:c r="H57" s="36"/>
      <x:c r="I57" s="36"/>
      <x:c r="J57" s="36"/>
      <x:c r="K57" s="36"/>
      <x:c r="L57" s="42" t="str">
        <x:f>IF(A57="","",IF(COUNTIFS('Lots'!$A$6:$A$105,C57)=1,VLOOKUP(C57,'Lots'!$A$6:$O$105,2,FALSE),"Unknown lot"))</x:f>
      </x:c>
      <x:c r="M57" s="42" t="str">
        <x:f>IF(A57="","",IF(COUNTIFS('Lots'!$A$6:$A$105,C57)=1,VLOOKUP(C57,'Lots'!$A$6:$O$105,15,FALSE),"Unknown lot"))</x:f>
      </x:c>
      <x:c r="N57" s="37" t="str">
        <x:f>IF(A57="","",IF(COUNTIFS('Lots'!$A$6:$A$105,C57)=1,VLOOKUP(C57,'Lots'!$A$6:$O$105,10,FALSE),"Unknown lot"))</x:f>
      </x:c>
      <x:c r="O57" s="37" t="str">
        <x:f>IF(A57="","",IF(ISNUMBER(N57),E57*N57,"Cost missing"))</x:f>
      </x:c>
      <x:c r="P57" s="37" t="str">
        <x:f>IF(A57="","",IF(ISNUMBER(N57),F57*N57,"Cost missing"))</x:f>
      </x:c>
      <x:c r="Q57" s="42" t="str">
        <x:f>IF(A57="","",IF(COUNTIFS($A$6:$A$205,A57)&lt;&gt;1,"Duplicate ID",IF(OR(NOT(ISNUMBER(B57)),G57="",H57="",J57="",E57&lt;0,F57&lt;0,AND(E57&gt;0,F57&gt;0),E57+F57&lt;=0),"Check required inputs",IF(OR(L57="Unknown lot",NOT(ISNUMBER(N57))),"Lot/cost incomplete",IF(AND(I57="Approved",OR(K57="",K57=J57)),"Independent review needed","OK")))))</x:f>
      </x:c>
    </x:row>
    <x:row r="58" ht="23" customHeight="1">
      <x:c r="A58" s="36"/>
      <x:c r="B58" s="40"/>
      <x:c r="C58" s="36"/>
      <x:c r="D58" s="36"/>
      <x:c r="E58" s="41"/>
      <x:c r="F58" s="41"/>
      <x:c r="G58" s="36"/>
      <x:c r="H58" s="36"/>
      <x:c r="I58" s="36"/>
      <x:c r="J58" s="36"/>
      <x:c r="K58" s="36"/>
      <x:c r="L58" s="42" t="str">
        <x:f>IF(A58="","",IF(COUNTIFS('Lots'!$A$6:$A$105,C58)=1,VLOOKUP(C58,'Lots'!$A$6:$O$105,2,FALSE),"Unknown lot"))</x:f>
      </x:c>
      <x:c r="M58" s="42" t="str">
        <x:f>IF(A58="","",IF(COUNTIFS('Lots'!$A$6:$A$105,C58)=1,VLOOKUP(C58,'Lots'!$A$6:$O$105,15,FALSE),"Unknown lot"))</x:f>
      </x:c>
      <x:c r="N58" s="37" t="str">
        <x:f>IF(A58="","",IF(COUNTIFS('Lots'!$A$6:$A$105,C58)=1,VLOOKUP(C58,'Lots'!$A$6:$O$105,10,FALSE),"Unknown lot"))</x:f>
      </x:c>
      <x:c r="O58" s="37" t="str">
        <x:f>IF(A58="","",IF(ISNUMBER(N58),E58*N58,"Cost missing"))</x:f>
      </x:c>
      <x:c r="P58" s="37" t="str">
        <x:f>IF(A58="","",IF(ISNUMBER(N58),F58*N58,"Cost missing"))</x:f>
      </x:c>
      <x:c r="Q58" s="42" t="str">
        <x:f>IF(A58="","",IF(COUNTIFS($A$6:$A$205,A58)&lt;&gt;1,"Duplicate ID",IF(OR(NOT(ISNUMBER(B58)),G58="",H58="",J58="",E58&lt;0,F58&lt;0,AND(E58&gt;0,F58&gt;0),E58+F58&lt;=0),"Check required inputs",IF(OR(L58="Unknown lot",NOT(ISNUMBER(N58))),"Lot/cost incomplete",IF(AND(I58="Approved",OR(K58="",K58=J58)),"Independent review needed","OK")))))</x:f>
      </x:c>
    </x:row>
    <x:row r="59" ht="23" customHeight="1">
      <x:c r="A59" s="36"/>
      <x:c r="B59" s="40"/>
      <x:c r="C59" s="36"/>
      <x:c r="D59" s="36"/>
      <x:c r="E59" s="41"/>
      <x:c r="F59" s="41"/>
      <x:c r="G59" s="36"/>
      <x:c r="H59" s="36"/>
      <x:c r="I59" s="36"/>
      <x:c r="J59" s="36"/>
      <x:c r="K59" s="36"/>
      <x:c r="L59" s="42" t="str">
        <x:f>IF(A59="","",IF(COUNTIFS('Lots'!$A$6:$A$105,C59)=1,VLOOKUP(C59,'Lots'!$A$6:$O$105,2,FALSE),"Unknown lot"))</x:f>
      </x:c>
      <x:c r="M59" s="42" t="str">
        <x:f>IF(A59="","",IF(COUNTIFS('Lots'!$A$6:$A$105,C59)=1,VLOOKUP(C59,'Lots'!$A$6:$O$105,15,FALSE),"Unknown lot"))</x:f>
      </x:c>
      <x:c r="N59" s="37" t="str">
        <x:f>IF(A59="","",IF(COUNTIFS('Lots'!$A$6:$A$105,C59)=1,VLOOKUP(C59,'Lots'!$A$6:$O$105,10,FALSE),"Unknown lot"))</x:f>
      </x:c>
      <x:c r="O59" s="37" t="str">
        <x:f>IF(A59="","",IF(ISNUMBER(N59),E59*N59,"Cost missing"))</x:f>
      </x:c>
      <x:c r="P59" s="37" t="str">
        <x:f>IF(A59="","",IF(ISNUMBER(N59),F59*N59,"Cost missing"))</x:f>
      </x:c>
      <x:c r="Q59" s="42" t="str">
        <x:f>IF(A59="","",IF(COUNTIFS($A$6:$A$205,A59)&lt;&gt;1,"Duplicate ID",IF(OR(NOT(ISNUMBER(B59)),G59="",H59="",J59="",E59&lt;0,F59&lt;0,AND(E59&gt;0,F59&gt;0),E59+F59&lt;=0),"Check required inputs",IF(OR(L59="Unknown lot",NOT(ISNUMBER(N59))),"Lot/cost incomplete",IF(AND(I59="Approved",OR(K59="",K59=J59)),"Independent review needed","OK")))))</x:f>
      </x:c>
    </x:row>
    <x:row r="60" ht="23" customHeight="1">
      <x:c r="A60" s="36"/>
      <x:c r="B60" s="40"/>
      <x:c r="C60" s="36"/>
      <x:c r="D60" s="36"/>
      <x:c r="E60" s="41"/>
      <x:c r="F60" s="41"/>
      <x:c r="G60" s="36"/>
      <x:c r="H60" s="36"/>
      <x:c r="I60" s="36"/>
      <x:c r="J60" s="36"/>
      <x:c r="K60" s="36"/>
      <x:c r="L60" s="42" t="str">
        <x:f>IF(A60="","",IF(COUNTIFS('Lots'!$A$6:$A$105,C60)=1,VLOOKUP(C60,'Lots'!$A$6:$O$105,2,FALSE),"Unknown lot"))</x:f>
      </x:c>
      <x:c r="M60" s="42" t="str">
        <x:f>IF(A60="","",IF(COUNTIFS('Lots'!$A$6:$A$105,C60)=1,VLOOKUP(C60,'Lots'!$A$6:$O$105,15,FALSE),"Unknown lot"))</x:f>
      </x:c>
      <x:c r="N60" s="37" t="str">
        <x:f>IF(A60="","",IF(COUNTIFS('Lots'!$A$6:$A$105,C60)=1,VLOOKUP(C60,'Lots'!$A$6:$O$105,10,FALSE),"Unknown lot"))</x:f>
      </x:c>
      <x:c r="O60" s="37" t="str">
        <x:f>IF(A60="","",IF(ISNUMBER(N60),E60*N60,"Cost missing"))</x:f>
      </x:c>
      <x:c r="P60" s="37" t="str">
        <x:f>IF(A60="","",IF(ISNUMBER(N60),F60*N60,"Cost missing"))</x:f>
      </x:c>
      <x:c r="Q60" s="42" t="str">
        <x:f>IF(A60="","",IF(COUNTIFS($A$6:$A$205,A60)&lt;&gt;1,"Duplicate ID",IF(OR(NOT(ISNUMBER(B60)),G60="",H60="",J60="",E60&lt;0,F60&lt;0,AND(E60&gt;0,F60&gt;0),E60+F60&lt;=0),"Check required inputs",IF(OR(L60="Unknown lot",NOT(ISNUMBER(N60))),"Lot/cost incomplete",IF(AND(I60="Approved",OR(K60="",K60=J60)),"Independent review needed","OK")))))</x:f>
      </x:c>
    </x:row>
    <x:row r="61" ht="23" customHeight="1">
      <x:c r="A61" s="36"/>
      <x:c r="B61" s="40"/>
      <x:c r="C61" s="36"/>
      <x:c r="D61" s="36"/>
      <x:c r="E61" s="41"/>
      <x:c r="F61" s="41"/>
      <x:c r="G61" s="36"/>
      <x:c r="H61" s="36"/>
      <x:c r="I61" s="36"/>
      <x:c r="J61" s="36"/>
      <x:c r="K61" s="36"/>
      <x:c r="L61" s="42" t="str">
        <x:f>IF(A61="","",IF(COUNTIFS('Lots'!$A$6:$A$105,C61)=1,VLOOKUP(C61,'Lots'!$A$6:$O$105,2,FALSE),"Unknown lot"))</x:f>
      </x:c>
      <x:c r="M61" s="42" t="str">
        <x:f>IF(A61="","",IF(COUNTIFS('Lots'!$A$6:$A$105,C61)=1,VLOOKUP(C61,'Lots'!$A$6:$O$105,15,FALSE),"Unknown lot"))</x:f>
      </x:c>
      <x:c r="N61" s="37" t="str">
        <x:f>IF(A61="","",IF(COUNTIFS('Lots'!$A$6:$A$105,C61)=1,VLOOKUP(C61,'Lots'!$A$6:$O$105,10,FALSE),"Unknown lot"))</x:f>
      </x:c>
      <x:c r="O61" s="37" t="str">
        <x:f>IF(A61="","",IF(ISNUMBER(N61),E61*N61,"Cost missing"))</x:f>
      </x:c>
      <x:c r="P61" s="37" t="str">
        <x:f>IF(A61="","",IF(ISNUMBER(N61),F61*N61,"Cost missing"))</x:f>
      </x:c>
      <x:c r="Q61" s="42" t="str">
        <x:f>IF(A61="","",IF(COUNTIFS($A$6:$A$205,A61)&lt;&gt;1,"Duplicate ID",IF(OR(NOT(ISNUMBER(B61)),G61="",H61="",J61="",E61&lt;0,F61&lt;0,AND(E61&gt;0,F61&gt;0),E61+F61&lt;=0),"Check required inputs",IF(OR(L61="Unknown lot",NOT(ISNUMBER(N61))),"Lot/cost incomplete",IF(AND(I61="Approved",OR(K61="",K61=J61)),"Independent review needed","OK")))))</x:f>
      </x:c>
    </x:row>
    <x:row r="62" ht="23" customHeight="1">
      <x:c r="A62" s="36"/>
      <x:c r="B62" s="40"/>
      <x:c r="C62" s="36"/>
      <x:c r="D62" s="36"/>
      <x:c r="E62" s="41"/>
      <x:c r="F62" s="41"/>
      <x:c r="G62" s="36"/>
      <x:c r="H62" s="36"/>
      <x:c r="I62" s="36"/>
      <x:c r="J62" s="36"/>
      <x:c r="K62" s="36"/>
      <x:c r="L62" s="42" t="str">
        <x:f>IF(A62="","",IF(COUNTIFS('Lots'!$A$6:$A$105,C62)=1,VLOOKUP(C62,'Lots'!$A$6:$O$105,2,FALSE),"Unknown lot"))</x:f>
      </x:c>
      <x:c r="M62" s="42" t="str">
        <x:f>IF(A62="","",IF(COUNTIFS('Lots'!$A$6:$A$105,C62)=1,VLOOKUP(C62,'Lots'!$A$6:$O$105,15,FALSE),"Unknown lot"))</x:f>
      </x:c>
      <x:c r="N62" s="37" t="str">
        <x:f>IF(A62="","",IF(COUNTIFS('Lots'!$A$6:$A$105,C62)=1,VLOOKUP(C62,'Lots'!$A$6:$O$105,10,FALSE),"Unknown lot"))</x:f>
      </x:c>
      <x:c r="O62" s="37" t="str">
        <x:f>IF(A62="","",IF(ISNUMBER(N62),E62*N62,"Cost missing"))</x:f>
      </x:c>
      <x:c r="P62" s="37" t="str">
        <x:f>IF(A62="","",IF(ISNUMBER(N62),F62*N62,"Cost missing"))</x:f>
      </x:c>
      <x:c r="Q62" s="42" t="str">
        <x:f>IF(A62="","",IF(COUNTIFS($A$6:$A$205,A62)&lt;&gt;1,"Duplicate ID",IF(OR(NOT(ISNUMBER(B62)),G62="",H62="",J62="",E62&lt;0,F62&lt;0,AND(E62&gt;0,F62&gt;0),E62+F62&lt;=0),"Check required inputs",IF(OR(L62="Unknown lot",NOT(ISNUMBER(N62))),"Lot/cost incomplete",IF(AND(I62="Approved",OR(K62="",K62=J62)),"Independent review needed","OK")))))</x:f>
      </x:c>
    </x:row>
    <x:row r="63" ht="23" customHeight="1">
      <x:c r="A63" s="36"/>
      <x:c r="B63" s="40"/>
      <x:c r="C63" s="36"/>
      <x:c r="D63" s="36"/>
      <x:c r="E63" s="41"/>
      <x:c r="F63" s="41"/>
      <x:c r="G63" s="36"/>
      <x:c r="H63" s="36"/>
      <x:c r="I63" s="36"/>
      <x:c r="J63" s="36"/>
      <x:c r="K63" s="36"/>
      <x:c r="L63" s="42" t="str">
        <x:f>IF(A63="","",IF(COUNTIFS('Lots'!$A$6:$A$105,C63)=1,VLOOKUP(C63,'Lots'!$A$6:$O$105,2,FALSE),"Unknown lot"))</x:f>
      </x:c>
      <x:c r="M63" s="42" t="str">
        <x:f>IF(A63="","",IF(COUNTIFS('Lots'!$A$6:$A$105,C63)=1,VLOOKUP(C63,'Lots'!$A$6:$O$105,15,FALSE),"Unknown lot"))</x:f>
      </x:c>
      <x:c r="N63" s="37" t="str">
        <x:f>IF(A63="","",IF(COUNTIFS('Lots'!$A$6:$A$105,C63)=1,VLOOKUP(C63,'Lots'!$A$6:$O$105,10,FALSE),"Unknown lot"))</x:f>
      </x:c>
      <x:c r="O63" s="37" t="str">
        <x:f>IF(A63="","",IF(ISNUMBER(N63),E63*N63,"Cost missing"))</x:f>
      </x:c>
      <x:c r="P63" s="37" t="str">
        <x:f>IF(A63="","",IF(ISNUMBER(N63),F63*N63,"Cost missing"))</x:f>
      </x:c>
      <x:c r="Q63" s="42" t="str">
        <x:f>IF(A63="","",IF(COUNTIFS($A$6:$A$205,A63)&lt;&gt;1,"Duplicate ID",IF(OR(NOT(ISNUMBER(B63)),G63="",H63="",J63="",E63&lt;0,F63&lt;0,AND(E63&gt;0,F63&gt;0),E63+F63&lt;=0),"Check required inputs",IF(OR(L63="Unknown lot",NOT(ISNUMBER(N63))),"Lot/cost incomplete",IF(AND(I63="Approved",OR(K63="",K63=J63)),"Independent review needed","OK")))))</x:f>
      </x:c>
    </x:row>
    <x:row r="64" ht="23" customHeight="1">
      <x:c r="A64" s="36"/>
      <x:c r="B64" s="40"/>
      <x:c r="C64" s="36"/>
      <x:c r="D64" s="36"/>
      <x:c r="E64" s="41"/>
      <x:c r="F64" s="41"/>
      <x:c r="G64" s="36"/>
      <x:c r="H64" s="36"/>
      <x:c r="I64" s="36"/>
      <x:c r="J64" s="36"/>
      <x:c r="K64" s="36"/>
      <x:c r="L64" s="42" t="str">
        <x:f>IF(A64="","",IF(COUNTIFS('Lots'!$A$6:$A$105,C64)=1,VLOOKUP(C64,'Lots'!$A$6:$O$105,2,FALSE),"Unknown lot"))</x:f>
      </x:c>
      <x:c r="M64" s="42" t="str">
        <x:f>IF(A64="","",IF(COUNTIFS('Lots'!$A$6:$A$105,C64)=1,VLOOKUP(C64,'Lots'!$A$6:$O$105,15,FALSE),"Unknown lot"))</x:f>
      </x:c>
      <x:c r="N64" s="37" t="str">
        <x:f>IF(A64="","",IF(COUNTIFS('Lots'!$A$6:$A$105,C64)=1,VLOOKUP(C64,'Lots'!$A$6:$O$105,10,FALSE),"Unknown lot"))</x:f>
      </x:c>
      <x:c r="O64" s="37" t="str">
        <x:f>IF(A64="","",IF(ISNUMBER(N64),E64*N64,"Cost missing"))</x:f>
      </x:c>
      <x:c r="P64" s="37" t="str">
        <x:f>IF(A64="","",IF(ISNUMBER(N64),F64*N64,"Cost missing"))</x:f>
      </x:c>
      <x:c r="Q64" s="42" t="str">
        <x:f>IF(A64="","",IF(COUNTIFS($A$6:$A$205,A64)&lt;&gt;1,"Duplicate ID",IF(OR(NOT(ISNUMBER(B64)),G64="",H64="",J64="",E64&lt;0,F64&lt;0,AND(E64&gt;0,F64&gt;0),E64+F64&lt;=0),"Check required inputs",IF(OR(L64="Unknown lot",NOT(ISNUMBER(N64))),"Lot/cost incomplete",IF(AND(I64="Approved",OR(K64="",K64=J64)),"Independent review needed","OK")))))</x:f>
      </x:c>
    </x:row>
    <x:row r="65" ht="23" customHeight="1">
      <x:c r="A65" s="36"/>
      <x:c r="B65" s="40"/>
      <x:c r="C65" s="36"/>
      <x:c r="D65" s="36"/>
      <x:c r="E65" s="41"/>
      <x:c r="F65" s="41"/>
      <x:c r="G65" s="36"/>
      <x:c r="H65" s="36"/>
      <x:c r="I65" s="36"/>
      <x:c r="J65" s="36"/>
      <x:c r="K65" s="36"/>
      <x:c r="L65" s="42" t="str">
        <x:f>IF(A65="","",IF(COUNTIFS('Lots'!$A$6:$A$105,C65)=1,VLOOKUP(C65,'Lots'!$A$6:$O$105,2,FALSE),"Unknown lot"))</x:f>
      </x:c>
      <x:c r="M65" s="42" t="str">
        <x:f>IF(A65="","",IF(COUNTIFS('Lots'!$A$6:$A$105,C65)=1,VLOOKUP(C65,'Lots'!$A$6:$O$105,15,FALSE),"Unknown lot"))</x:f>
      </x:c>
      <x:c r="N65" s="37" t="str">
        <x:f>IF(A65="","",IF(COUNTIFS('Lots'!$A$6:$A$105,C65)=1,VLOOKUP(C65,'Lots'!$A$6:$O$105,10,FALSE),"Unknown lot"))</x:f>
      </x:c>
      <x:c r="O65" s="37" t="str">
        <x:f>IF(A65="","",IF(ISNUMBER(N65),E65*N65,"Cost missing"))</x:f>
      </x:c>
      <x:c r="P65" s="37" t="str">
        <x:f>IF(A65="","",IF(ISNUMBER(N65),F65*N65,"Cost missing"))</x:f>
      </x:c>
      <x:c r="Q65" s="42" t="str">
        <x:f>IF(A65="","",IF(COUNTIFS($A$6:$A$205,A65)&lt;&gt;1,"Duplicate ID",IF(OR(NOT(ISNUMBER(B65)),G65="",H65="",J65="",E65&lt;0,F65&lt;0,AND(E65&gt;0,F65&gt;0),E65+F65&lt;=0),"Check required inputs",IF(OR(L65="Unknown lot",NOT(ISNUMBER(N65))),"Lot/cost incomplete",IF(AND(I65="Approved",OR(K65="",K65=J65)),"Independent review needed","OK")))))</x:f>
      </x:c>
    </x:row>
    <x:row r="66" ht="23" customHeight="1">
      <x:c r="A66" s="36"/>
      <x:c r="B66" s="40"/>
      <x:c r="C66" s="36"/>
      <x:c r="D66" s="36"/>
      <x:c r="E66" s="41"/>
      <x:c r="F66" s="41"/>
      <x:c r="G66" s="36"/>
      <x:c r="H66" s="36"/>
      <x:c r="I66" s="36"/>
      <x:c r="J66" s="36"/>
      <x:c r="K66" s="36"/>
      <x:c r="L66" s="42" t="str">
        <x:f>IF(A66="","",IF(COUNTIFS('Lots'!$A$6:$A$105,C66)=1,VLOOKUP(C66,'Lots'!$A$6:$O$105,2,FALSE),"Unknown lot"))</x:f>
      </x:c>
      <x:c r="M66" s="42" t="str">
        <x:f>IF(A66="","",IF(COUNTIFS('Lots'!$A$6:$A$105,C66)=1,VLOOKUP(C66,'Lots'!$A$6:$O$105,15,FALSE),"Unknown lot"))</x:f>
      </x:c>
      <x:c r="N66" s="37" t="str">
        <x:f>IF(A66="","",IF(COUNTIFS('Lots'!$A$6:$A$105,C66)=1,VLOOKUP(C66,'Lots'!$A$6:$O$105,10,FALSE),"Unknown lot"))</x:f>
      </x:c>
      <x:c r="O66" s="37" t="str">
        <x:f>IF(A66="","",IF(ISNUMBER(N66),E66*N66,"Cost missing"))</x:f>
      </x:c>
      <x:c r="P66" s="37" t="str">
        <x:f>IF(A66="","",IF(ISNUMBER(N66),F66*N66,"Cost missing"))</x:f>
      </x:c>
      <x:c r="Q66" s="42" t="str">
        <x:f>IF(A66="","",IF(COUNTIFS($A$6:$A$205,A66)&lt;&gt;1,"Duplicate ID",IF(OR(NOT(ISNUMBER(B66)),G66="",H66="",J66="",E66&lt;0,F66&lt;0,AND(E66&gt;0,F66&gt;0),E66+F66&lt;=0),"Check required inputs",IF(OR(L66="Unknown lot",NOT(ISNUMBER(N66))),"Lot/cost incomplete",IF(AND(I66="Approved",OR(K66="",K66=J66)),"Independent review needed","OK")))))</x:f>
      </x:c>
    </x:row>
    <x:row r="67" ht="23" customHeight="1">
      <x:c r="A67" s="36"/>
      <x:c r="B67" s="40"/>
      <x:c r="C67" s="36"/>
      <x:c r="D67" s="36"/>
      <x:c r="E67" s="41"/>
      <x:c r="F67" s="41"/>
      <x:c r="G67" s="36"/>
      <x:c r="H67" s="36"/>
      <x:c r="I67" s="36"/>
      <x:c r="J67" s="36"/>
      <x:c r="K67" s="36"/>
      <x:c r="L67" s="42" t="str">
        <x:f>IF(A67="","",IF(COUNTIFS('Lots'!$A$6:$A$105,C67)=1,VLOOKUP(C67,'Lots'!$A$6:$O$105,2,FALSE),"Unknown lot"))</x:f>
      </x:c>
      <x:c r="M67" s="42" t="str">
        <x:f>IF(A67="","",IF(COUNTIFS('Lots'!$A$6:$A$105,C67)=1,VLOOKUP(C67,'Lots'!$A$6:$O$105,15,FALSE),"Unknown lot"))</x:f>
      </x:c>
      <x:c r="N67" s="37" t="str">
        <x:f>IF(A67="","",IF(COUNTIFS('Lots'!$A$6:$A$105,C67)=1,VLOOKUP(C67,'Lots'!$A$6:$O$105,10,FALSE),"Unknown lot"))</x:f>
      </x:c>
      <x:c r="O67" s="37" t="str">
        <x:f>IF(A67="","",IF(ISNUMBER(N67),E67*N67,"Cost missing"))</x:f>
      </x:c>
      <x:c r="P67" s="37" t="str">
        <x:f>IF(A67="","",IF(ISNUMBER(N67),F67*N67,"Cost missing"))</x:f>
      </x:c>
      <x:c r="Q67" s="42" t="str">
        <x:f>IF(A67="","",IF(COUNTIFS($A$6:$A$205,A67)&lt;&gt;1,"Duplicate ID",IF(OR(NOT(ISNUMBER(B67)),G67="",H67="",J67="",E67&lt;0,F67&lt;0,AND(E67&gt;0,F67&gt;0),E67+F67&lt;=0),"Check required inputs",IF(OR(L67="Unknown lot",NOT(ISNUMBER(N67))),"Lot/cost incomplete",IF(AND(I67="Approved",OR(K67="",K67=J67)),"Independent review needed","OK")))))</x:f>
      </x:c>
    </x:row>
    <x:row r="68" ht="23" customHeight="1">
      <x:c r="A68" s="36"/>
      <x:c r="B68" s="40"/>
      <x:c r="C68" s="36"/>
      <x:c r="D68" s="36"/>
      <x:c r="E68" s="41"/>
      <x:c r="F68" s="41"/>
      <x:c r="G68" s="36"/>
      <x:c r="H68" s="36"/>
      <x:c r="I68" s="36"/>
      <x:c r="J68" s="36"/>
      <x:c r="K68" s="36"/>
      <x:c r="L68" s="42" t="str">
        <x:f>IF(A68="","",IF(COUNTIFS('Lots'!$A$6:$A$105,C68)=1,VLOOKUP(C68,'Lots'!$A$6:$O$105,2,FALSE),"Unknown lot"))</x:f>
      </x:c>
      <x:c r="M68" s="42" t="str">
        <x:f>IF(A68="","",IF(COUNTIFS('Lots'!$A$6:$A$105,C68)=1,VLOOKUP(C68,'Lots'!$A$6:$O$105,15,FALSE),"Unknown lot"))</x:f>
      </x:c>
      <x:c r="N68" s="37" t="str">
        <x:f>IF(A68="","",IF(COUNTIFS('Lots'!$A$6:$A$105,C68)=1,VLOOKUP(C68,'Lots'!$A$6:$O$105,10,FALSE),"Unknown lot"))</x:f>
      </x:c>
      <x:c r="O68" s="37" t="str">
        <x:f>IF(A68="","",IF(ISNUMBER(N68),E68*N68,"Cost missing"))</x:f>
      </x:c>
      <x:c r="P68" s="37" t="str">
        <x:f>IF(A68="","",IF(ISNUMBER(N68),F68*N68,"Cost missing"))</x:f>
      </x:c>
      <x:c r="Q68" s="42" t="str">
        <x:f>IF(A68="","",IF(COUNTIFS($A$6:$A$205,A68)&lt;&gt;1,"Duplicate ID",IF(OR(NOT(ISNUMBER(B68)),G68="",H68="",J68="",E68&lt;0,F68&lt;0,AND(E68&gt;0,F68&gt;0),E68+F68&lt;=0),"Check required inputs",IF(OR(L68="Unknown lot",NOT(ISNUMBER(N68))),"Lot/cost incomplete",IF(AND(I68="Approved",OR(K68="",K68=J68)),"Independent review needed","OK")))))</x:f>
      </x:c>
    </x:row>
    <x:row r="69" ht="23" customHeight="1">
      <x:c r="A69" s="36"/>
      <x:c r="B69" s="40"/>
      <x:c r="C69" s="36"/>
      <x:c r="D69" s="36"/>
      <x:c r="E69" s="41"/>
      <x:c r="F69" s="41"/>
      <x:c r="G69" s="36"/>
      <x:c r="H69" s="36"/>
      <x:c r="I69" s="36"/>
      <x:c r="J69" s="36"/>
      <x:c r="K69" s="36"/>
      <x:c r="L69" s="42" t="str">
        <x:f>IF(A69="","",IF(COUNTIFS('Lots'!$A$6:$A$105,C69)=1,VLOOKUP(C69,'Lots'!$A$6:$O$105,2,FALSE),"Unknown lot"))</x:f>
      </x:c>
      <x:c r="M69" s="42" t="str">
        <x:f>IF(A69="","",IF(COUNTIFS('Lots'!$A$6:$A$105,C69)=1,VLOOKUP(C69,'Lots'!$A$6:$O$105,15,FALSE),"Unknown lot"))</x:f>
      </x:c>
      <x:c r="N69" s="37" t="str">
        <x:f>IF(A69="","",IF(COUNTIFS('Lots'!$A$6:$A$105,C69)=1,VLOOKUP(C69,'Lots'!$A$6:$O$105,10,FALSE),"Unknown lot"))</x:f>
      </x:c>
      <x:c r="O69" s="37" t="str">
        <x:f>IF(A69="","",IF(ISNUMBER(N69),E69*N69,"Cost missing"))</x:f>
      </x:c>
      <x:c r="P69" s="37" t="str">
        <x:f>IF(A69="","",IF(ISNUMBER(N69),F69*N69,"Cost missing"))</x:f>
      </x:c>
      <x:c r="Q69" s="42" t="str">
        <x:f>IF(A69="","",IF(COUNTIFS($A$6:$A$205,A69)&lt;&gt;1,"Duplicate ID",IF(OR(NOT(ISNUMBER(B69)),G69="",H69="",J69="",E69&lt;0,F69&lt;0,AND(E69&gt;0,F69&gt;0),E69+F69&lt;=0),"Check required inputs",IF(OR(L69="Unknown lot",NOT(ISNUMBER(N69))),"Lot/cost incomplete",IF(AND(I69="Approved",OR(K69="",K69=J69)),"Independent review needed","OK")))))</x:f>
      </x:c>
    </x:row>
    <x:row r="70" ht="23" customHeight="1">
      <x:c r="A70" s="36"/>
      <x:c r="B70" s="40"/>
      <x:c r="C70" s="36"/>
      <x:c r="D70" s="36"/>
      <x:c r="E70" s="41"/>
      <x:c r="F70" s="41"/>
      <x:c r="G70" s="36"/>
      <x:c r="H70" s="36"/>
      <x:c r="I70" s="36"/>
      <x:c r="J70" s="36"/>
      <x:c r="K70" s="36"/>
      <x:c r="L70" s="42" t="str">
        <x:f>IF(A70="","",IF(COUNTIFS('Lots'!$A$6:$A$105,C70)=1,VLOOKUP(C70,'Lots'!$A$6:$O$105,2,FALSE),"Unknown lot"))</x:f>
      </x:c>
      <x:c r="M70" s="42" t="str">
        <x:f>IF(A70="","",IF(COUNTIFS('Lots'!$A$6:$A$105,C70)=1,VLOOKUP(C70,'Lots'!$A$6:$O$105,15,FALSE),"Unknown lot"))</x:f>
      </x:c>
      <x:c r="N70" s="37" t="str">
        <x:f>IF(A70="","",IF(COUNTIFS('Lots'!$A$6:$A$105,C70)=1,VLOOKUP(C70,'Lots'!$A$6:$O$105,10,FALSE),"Unknown lot"))</x:f>
      </x:c>
      <x:c r="O70" s="37" t="str">
        <x:f>IF(A70="","",IF(ISNUMBER(N70),E70*N70,"Cost missing"))</x:f>
      </x:c>
      <x:c r="P70" s="37" t="str">
        <x:f>IF(A70="","",IF(ISNUMBER(N70),F70*N70,"Cost missing"))</x:f>
      </x:c>
      <x:c r="Q70" s="42" t="str">
        <x:f>IF(A70="","",IF(COUNTIFS($A$6:$A$205,A70)&lt;&gt;1,"Duplicate ID",IF(OR(NOT(ISNUMBER(B70)),G70="",H70="",J70="",E70&lt;0,F70&lt;0,AND(E70&gt;0,F70&gt;0),E70+F70&lt;=0),"Check required inputs",IF(OR(L70="Unknown lot",NOT(ISNUMBER(N70))),"Lot/cost incomplete",IF(AND(I70="Approved",OR(K70="",K70=J70)),"Independent review needed","OK")))))</x:f>
      </x:c>
    </x:row>
    <x:row r="71" ht="23" customHeight="1">
      <x:c r="A71" s="36"/>
      <x:c r="B71" s="40"/>
      <x:c r="C71" s="36"/>
      <x:c r="D71" s="36"/>
      <x:c r="E71" s="41"/>
      <x:c r="F71" s="41"/>
      <x:c r="G71" s="36"/>
      <x:c r="H71" s="36"/>
      <x:c r="I71" s="36"/>
      <x:c r="J71" s="36"/>
      <x:c r="K71" s="36"/>
      <x:c r="L71" s="42" t="str">
        <x:f>IF(A71="","",IF(COUNTIFS('Lots'!$A$6:$A$105,C71)=1,VLOOKUP(C71,'Lots'!$A$6:$O$105,2,FALSE),"Unknown lot"))</x:f>
      </x:c>
      <x:c r="M71" s="42" t="str">
        <x:f>IF(A71="","",IF(COUNTIFS('Lots'!$A$6:$A$105,C71)=1,VLOOKUP(C71,'Lots'!$A$6:$O$105,15,FALSE),"Unknown lot"))</x:f>
      </x:c>
      <x:c r="N71" s="37" t="str">
        <x:f>IF(A71="","",IF(COUNTIFS('Lots'!$A$6:$A$105,C71)=1,VLOOKUP(C71,'Lots'!$A$6:$O$105,10,FALSE),"Unknown lot"))</x:f>
      </x:c>
      <x:c r="O71" s="37" t="str">
        <x:f>IF(A71="","",IF(ISNUMBER(N71),E71*N71,"Cost missing"))</x:f>
      </x:c>
      <x:c r="P71" s="37" t="str">
        <x:f>IF(A71="","",IF(ISNUMBER(N71),F71*N71,"Cost missing"))</x:f>
      </x:c>
      <x:c r="Q71" s="42" t="str">
        <x:f>IF(A71="","",IF(COUNTIFS($A$6:$A$205,A71)&lt;&gt;1,"Duplicate ID",IF(OR(NOT(ISNUMBER(B71)),G71="",H71="",J71="",E71&lt;0,F71&lt;0,AND(E71&gt;0,F71&gt;0),E71+F71&lt;=0),"Check required inputs",IF(OR(L71="Unknown lot",NOT(ISNUMBER(N71))),"Lot/cost incomplete",IF(AND(I71="Approved",OR(K71="",K71=J71)),"Independent review needed","OK")))))</x:f>
      </x:c>
    </x:row>
    <x:row r="72" ht="23" customHeight="1">
      <x:c r="A72" s="36"/>
      <x:c r="B72" s="40"/>
      <x:c r="C72" s="36"/>
      <x:c r="D72" s="36"/>
      <x:c r="E72" s="41"/>
      <x:c r="F72" s="41"/>
      <x:c r="G72" s="36"/>
      <x:c r="H72" s="36"/>
      <x:c r="I72" s="36"/>
      <x:c r="J72" s="36"/>
      <x:c r="K72" s="36"/>
      <x:c r="L72" s="42" t="str">
        <x:f>IF(A72="","",IF(COUNTIFS('Lots'!$A$6:$A$105,C72)=1,VLOOKUP(C72,'Lots'!$A$6:$O$105,2,FALSE),"Unknown lot"))</x:f>
      </x:c>
      <x:c r="M72" s="42" t="str">
        <x:f>IF(A72="","",IF(COUNTIFS('Lots'!$A$6:$A$105,C72)=1,VLOOKUP(C72,'Lots'!$A$6:$O$105,15,FALSE),"Unknown lot"))</x:f>
      </x:c>
      <x:c r="N72" s="37" t="str">
        <x:f>IF(A72="","",IF(COUNTIFS('Lots'!$A$6:$A$105,C72)=1,VLOOKUP(C72,'Lots'!$A$6:$O$105,10,FALSE),"Unknown lot"))</x:f>
      </x:c>
      <x:c r="O72" s="37" t="str">
        <x:f>IF(A72="","",IF(ISNUMBER(N72),E72*N72,"Cost missing"))</x:f>
      </x:c>
      <x:c r="P72" s="37" t="str">
        <x:f>IF(A72="","",IF(ISNUMBER(N72),F72*N72,"Cost missing"))</x:f>
      </x:c>
      <x:c r="Q72" s="42" t="str">
        <x:f>IF(A72="","",IF(COUNTIFS($A$6:$A$205,A72)&lt;&gt;1,"Duplicate ID",IF(OR(NOT(ISNUMBER(B72)),G72="",H72="",J72="",E72&lt;0,F72&lt;0,AND(E72&gt;0,F72&gt;0),E72+F72&lt;=0),"Check required inputs",IF(OR(L72="Unknown lot",NOT(ISNUMBER(N72))),"Lot/cost incomplete",IF(AND(I72="Approved",OR(K72="",K72=J72)),"Independent review needed","OK")))))</x:f>
      </x:c>
    </x:row>
    <x:row r="73" ht="23" customHeight="1">
      <x:c r="A73" s="36"/>
      <x:c r="B73" s="40"/>
      <x:c r="C73" s="36"/>
      <x:c r="D73" s="36"/>
      <x:c r="E73" s="41"/>
      <x:c r="F73" s="41"/>
      <x:c r="G73" s="36"/>
      <x:c r="H73" s="36"/>
      <x:c r="I73" s="36"/>
      <x:c r="J73" s="36"/>
      <x:c r="K73" s="36"/>
      <x:c r="L73" s="42" t="str">
        <x:f>IF(A73="","",IF(COUNTIFS('Lots'!$A$6:$A$105,C73)=1,VLOOKUP(C73,'Lots'!$A$6:$O$105,2,FALSE),"Unknown lot"))</x:f>
      </x:c>
      <x:c r="M73" s="42" t="str">
        <x:f>IF(A73="","",IF(COUNTIFS('Lots'!$A$6:$A$105,C73)=1,VLOOKUP(C73,'Lots'!$A$6:$O$105,15,FALSE),"Unknown lot"))</x:f>
      </x:c>
      <x:c r="N73" s="37" t="str">
        <x:f>IF(A73="","",IF(COUNTIFS('Lots'!$A$6:$A$105,C73)=1,VLOOKUP(C73,'Lots'!$A$6:$O$105,10,FALSE),"Unknown lot"))</x:f>
      </x:c>
      <x:c r="O73" s="37" t="str">
        <x:f>IF(A73="","",IF(ISNUMBER(N73),E73*N73,"Cost missing"))</x:f>
      </x:c>
      <x:c r="P73" s="37" t="str">
        <x:f>IF(A73="","",IF(ISNUMBER(N73),F73*N73,"Cost missing"))</x:f>
      </x:c>
      <x:c r="Q73" s="42" t="str">
        <x:f>IF(A73="","",IF(COUNTIFS($A$6:$A$205,A73)&lt;&gt;1,"Duplicate ID",IF(OR(NOT(ISNUMBER(B73)),G73="",H73="",J73="",E73&lt;0,F73&lt;0,AND(E73&gt;0,F73&gt;0),E73+F73&lt;=0),"Check required inputs",IF(OR(L73="Unknown lot",NOT(ISNUMBER(N73))),"Lot/cost incomplete",IF(AND(I73="Approved",OR(K73="",K73=J73)),"Independent review needed","OK")))))</x:f>
      </x:c>
    </x:row>
    <x:row r="74" ht="23" customHeight="1">
      <x:c r="A74" s="36"/>
      <x:c r="B74" s="40"/>
      <x:c r="C74" s="36"/>
      <x:c r="D74" s="36"/>
      <x:c r="E74" s="41"/>
      <x:c r="F74" s="41"/>
      <x:c r="G74" s="36"/>
      <x:c r="H74" s="36"/>
      <x:c r="I74" s="36"/>
      <x:c r="J74" s="36"/>
      <x:c r="K74" s="36"/>
      <x:c r="L74" s="42" t="str">
        <x:f>IF(A74="","",IF(COUNTIFS('Lots'!$A$6:$A$105,C74)=1,VLOOKUP(C74,'Lots'!$A$6:$O$105,2,FALSE),"Unknown lot"))</x:f>
      </x:c>
      <x:c r="M74" s="42" t="str">
        <x:f>IF(A74="","",IF(COUNTIFS('Lots'!$A$6:$A$105,C74)=1,VLOOKUP(C74,'Lots'!$A$6:$O$105,15,FALSE),"Unknown lot"))</x:f>
      </x:c>
      <x:c r="N74" s="37" t="str">
        <x:f>IF(A74="","",IF(COUNTIFS('Lots'!$A$6:$A$105,C74)=1,VLOOKUP(C74,'Lots'!$A$6:$O$105,10,FALSE),"Unknown lot"))</x:f>
      </x:c>
      <x:c r="O74" s="37" t="str">
        <x:f>IF(A74="","",IF(ISNUMBER(N74),E74*N74,"Cost missing"))</x:f>
      </x:c>
      <x:c r="P74" s="37" t="str">
        <x:f>IF(A74="","",IF(ISNUMBER(N74),F74*N74,"Cost missing"))</x:f>
      </x:c>
      <x:c r="Q74" s="42" t="str">
        <x:f>IF(A74="","",IF(COUNTIFS($A$6:$A$205,A74)&lt;&gt;1,"Duplicate ID",IF(OR(NOT(ISNUMBER(B74)),G74="",H74="",J74="",E74&lt;0,F74&lt;0,AND(E74&gt;0,F74&gt;0),E74+F74&lt;=0),"Check required inputs",IF(OR(L74="Unknown lot",NOT(ISNUMBER(N74))),"Lot/cost incomplete",IF(AND(I74="Approved",OR(K74="",K74=J74)),"Independent review needed","OK")))))</x:f>
      </x:c>
    </x:row>
    <x:row r="75" ht="23" customHeight="1">
      <x:c r="A75" s="36"/>
      <x:c r="B75" s="40"/>
      <x:c r="C75" s="36"/>
      <x:c r="D75" s="36"/>
      <x:c r="E75" s="41"/>
      <x:c r="F75" s="41"/>
      <x:c r="G75" s="36"/>
      <x:c r="H75" s="36"/>
      <x:c r="I75" s="36"/>
      <x:c r="J75" s="36"/>
      <x:c r="K75" s="36"/>
      <x:c r="L75" s="42" t="str">
        <x:f>IF(A75="","",IF(COUNTIFS('Lots'!$A$6:$A$105,C75)=1,VLOOKUP(C75,'Lots'!$A$6:$O$105,2,FALSE),"Unknown lot"))</x:f>
      </x:c>
      <x:c r="M75" s="42" t="str">
        <x:f>IF(A75="","",IF(COUNTIFS('Lots'!$A$6:$A$105,C75)=1,VLOOKUP(C75,'Lots'!$A$6:$O$105,15,FALSE),"Unknown lot"))</x:f>
      </x:c>
      <x:c r="N75" s="37" t="str">
        <x:f>IF(A75="","",IF(COUNTIFS('Lots'!$A$6:$A$105,C75)=1,VLOOKUP(C75,'Lots'!$A$6:$O$105,10,FALSE),"Unknown lot"))</x:f>
      </x:c>
      <x:c r="O75" s="37" t="str">
        <x:f>IF(A75="","",IF(ISNUMBER(N75),E75*N75,"Cost missing"))</x:f>
      </x:c>
      <x:c r="P75" s="37" t="str">
        <x:f>IF(A75="","",IF(ISNUMBER(N75),F75*N75,"Cost missing"))</x:f>
      </x:c>
      <x:c r="Q75" s="42" t="str">
        <x:f>IF(A75="","",IF(COUNTIFS($A$6:$A$205,A75)&lt;&gt;1,"Duplicate ID",IF(OR(NOT(ISNUMBER(B75)),G75="",H75="",J75="",E75&lt;0,F75&lt;0,AND(E75&gt;0,F75&gt;0),E75+F75&lt;=0),"Check required inputs",IF(OR(L75="Unknown lot",NOT(ISNUMBER(N75))),"Lot/cost incomplete",IF(AND(I75="Approved",OR(K75="",K75=J75)),"Independent review needed","OK")))))</x:f>
      </x:c>
    </x:row>
    <x:row r="76" ht="23" customHeight="1">
      <x:c r="A76" s="36"/>
      <x:c r="B76" s="40"/>
      <x:c r="C76" s="36"/>
      <x:c r="D76" s="36"/>
      <x:c r="E76" s="41"/>
      <x:c r="F76" s="41"/>
      <x:c r="G76" s="36"/>
      <x:c r="H76" s="36"/>
      <x:c r="I76" s="36"/>
      <x:c r="J76" s="36"/>
      <x:c r="K76" s="36"/>
      <x:c r="L76" s="42" t="str">
        <x:f>IF(A76="","",IF(COUNTIFS('Lots'!$A$6:$A$105,C76)=1,VLOOKUP(C76,'Lots'!$A$6:$O$105,2,FALSE),"Unknown lot"))</x:f>
      </x:c>
      <x:c r="M76" s="42" t="str">
        <x:f>IF(A76="","",IF(COUNTIFS('Lots'!$A$6:$A$105,C76)=1,VLOOKUP(C76,'Lots'!$A$6:$O$105,15,FALSE),"Unknown lot"))</x:f>
      </x:c>
      <x:c r="N76" s="37" t="str">
        <x:f>IF(A76="","",IF(COUNTIFS('Lots'!$A$6:$A$105,C76)=1,VLOOKUP(C76,'Lots'!$A$6:$O$105,10,FALSE),"Unknown lot"))</x:f>
      </x:c>
      <x:c r="O76" s="37" t="str">
        <x:f>IF(A76="","",IF(ISNUMBER(N76),E76*N76,"Cost missing"))</x:f>
      </x:c>
      <x:c r="P76" s="37" t="str">
        <x:f>IF(A76="","",IF(ISNUMBER(N76),F76*N76,"Cost missing"))</x:f>
      </x:c>
      <x:c r="Q76" s="42" t="str">
        <x:f>IF(A76="","",IF(COUNTIFS($A$6:$A$205,A76)&lt;&gt;1,"Duplicate ID",IF(OR(NOT(ISNUMBER(B76)),G76="",H76="",J76="",E76&lt;0,F76&lt;0,AND(E76&gt;0,F76&gt;0),E76+F76&lt;=0),"Check required inputs",IF(OR(L76="Unknown lot",NOT(ISNUMBER(N76))),"Lot/cost incomplete",IF(AND(I76="Approved",OR(K76="",K76=J76)),"Independent review needed","OK")))))</x:f>
      </x:c>
    </x:row>
    <x:row r="77" ht="23" customHeight="1">
      <x:c r="A77" s="36"/>
      <x:c r="B77" s="40"/>
      <x:c r="C77" s="36"/>
      <x:c r="D77" s="36"/>
      <x:c r="E77" s="41"/>
      <x:c r="F77" s="41"/>
      <x:c r="G77" s="36"/>
      <x:c r="H77" s="36"/>
      <x:c r="I77" s="36"/>
      <x:c r="J77" s="36"/>
      <x:c r="K77" s="36"/>
      <x:c r="L77" s="42" t="str">
        <x:f>IF(A77="","",IF(COUNTIFS('Lots'!$A$6:$A$105,C77)=1,VLOOKUP(C77,'Lots'!$A$6:$O$105,2,FALSE),"Unknown lot"))</x:f>
      </x:c>
      <x:c r="M77" s="42" t="str">
        <x:f>IF(A77="","",IF(COUNTIFS('Lots'!$A$6:$A$105,C77)=1,VLOOKUP(C77,'Lots'!$A$6:$O$105,15,FALSE),"Unknown lot"))</x:f>
      </x:c>
      <x:c r="N77" s="37" t="str">
        <x:f>IF(A77="","",IF(COUNTIFS('Lots'!$A$6:$A$105,C77)=1,VLOOKUP(C77,'Lots'!$A$6:$O$105,10,FALSE),"Unknown lot"))</x:f>
      </x:c>
      <x:c r="O77" s="37" t="str">
        <x:f>IF(A77="","",IF(ISNUMBER(N77),E77*N77,"Cost missing"))</x:f>
      </x:c>
      <x:c r="P77" s="37" t="str">
        <x:f>IF(A77="","",IF(ISNUMBER(N77),F77*N77,"Cost missing"))</x:f>
      </x:c>
      <x:c r="Q77" s="42" t="str">
        <x:f>IF(A77="","",IF(COUNTIFS($A$6:$A$205,A77)&lt;&gt;1,"Duplicate ID",IF(OR(NOT(ISNUMBER(B77)),G77="",H77="",J77="",E77&lt;0,F77&lt;0,AND(E77&gt;0,F77&gt;0),E77+F77&lt;=0),"Check required inputs",IF(OR(L77="Unknown lot",NOT(ISNUMBER(N77))),"Lot/cost incomplete",IF(AND(I77="Approved",OR(K77="",K77=J77)),"Independent review needed","OK")))))</x:f>
      </x:c>
    </x:row>
    <x:row r="78" ht="23" customHeight="1">
      <x:c r="A78" s="36"/>
      <x:c r="B78" s="40"/>
      <x:c r="C78" s="36"/>
      <x:c r="D78" s="36"/>
      <x:c r="E78" s="41"/>
      <x:c r="F78" s="41"/>
      <x:c r="G78" s="36"/>
      <x:c r="H78" s="36"/>
      <x:c r="I78" s="36"/>
      <x:c r="J78" s="36"/>
      <x:c r="K78" s="36"/>
      <x:c r="L78" s="42" t="str">
        <x:f>IF(A78="","",IF(COUNTIFS('Lots'!$A$6:$A$105,C78)=1,VLOOKUP(C78,'Lots'!$A$6:$O$105,2,FALSE),"Unknown lot"))</x:f>
      </x:c>
      <x:c r="M78" s="42" t="str">
        <x:f>IF(A78="","",IF(COUNTIFS('Lots'!$A$6:$A$105,C78)=1,VLOOKUP(C78,'Lots'!$A$6:$O$105,15,FALSE),"Unknown lot"))</x:f>
      </x:c>
      <x:c r="N78" s="37" t="str">
        <x:f>IF(A78="","",IF(COUNTIFS('Lots'!$A$6:$A$105,C78)=1,VLOOKUP(C78,'Lots'!$A$6:$O$105,10,FALSE),"Unknown lot"))</x:f>
      </x:c>
      <x:c r="O78" s="37" t="str">
        <x:f>IF(A78="","",IF(ISNUMBER(N78),E78*N78,"Cost missing"))</x:f>
      </x:c>
      <x:c r="P78" s="37" t="str">
        <x:f>IF(A78="","",IF(ISNUMBER(N78),F78*N78,"Cost missing"))</x:f>
      </x:c>
      <x:c r="Q78" s="42" t="str">
        <x:f>IF(A78="","",IF(COUNTIFS($A$6:$A$205,A78)&lt;&gt;1,"Duplicate ID",IF(OR(NOT(ISNUMBER(B78)),G78="",H78="",J78="",E78&lt;0,F78&lt;0,AND(E78&gt;0,F78&gt;0),E78+F78&lt;=0),"Check required inputs",IF(OR(L78="Unknown lot",NOT(ISNUMBER(N78))),"Lot/cost incomplete",IF(AND(I78="Approved",OR(K78="",K78=J78)),"Independent review needed","OK")))))</x:f>
      </x:c>
    </x:row>
    <x:row r="79" ht="23" customHeight="1">
      <x:c r="A79" s="36"/>
      <x:c r="B79" s="40"/>
      <x:c r="C79" s="36"/>
      <x:c r="D79" s="36"/>
      <x:c r="E79" s="41"/>
      <x:c r="F79" s="41"/>
      <x:c r="G79" s="36"/>
      <x:c r="H79" s="36"/>
      <x:c r="I79" s="36"/>
      <x:c r="J79" s="36"/>
      <x:c r="K79" s="36"/>
      <x:c r="L79" s="42" t="str">
        <x:f>IF(A79="","",IF(COUNTIFS('Lots'!$A$6:$A$105,C79)=1,VLOOKUP(C79,'Lots'!$A$6:$O$105,2,FALSE),"Unknown lot"))</x:f>
      </x:c>
      <x:c r="M79" s="42" t="str">
        <x:f>IF(A79="","",IF(COUNTIFS('Lots'!$A$6:$A$105,C79)=1,VLOOKUP(C79,'Lots'!$A$6:$O$105,15,FALSE),"Unknown lot"))</x:f>
      </x:c>
      <x:c r="N79" s="37" t="str">
        <x:f>IF(A79="","",IF(COUNTIFS('Lots'!$A$6:$A$105,C79)=1,VLOOKUP(C79,'Lots'!$A$6:$O$105,10,FALSE),"Unknown lot"))</x:f>
      </x:c>
      <x:c r="O79" s="37" t="str">
        <x:f>IF(A79="","",IF(ISNUMBER(N79),E79*N79,"Cost missing"))</x:f>
      </x:c>
      <x:c r="P79" s="37" t="str">
        <x:f>IF(A79="","",IF(ISNUMBER(N79),F79*N79,"Cost missing"))</x:f>
      </x:c>
      <x:c r="Q79" s="42" t="str">
        <x:f>IF(A79="","",IF(COUNTIFS($A$6:$A$205,A79)&lt;&gt;1,"Duplicate ID",IF(OR(NOT(ISNUMBER(B79)),G79="",H79="",J79="",E79&lt;0,F79&lt;0,AND(E79&gt;0,F79&gt;0),E79+F79&lt;=0),"Check required inputs",IF(OR(L79="Unknown lot",NOT(ISNUMBER(N79))),"Lot/cost incomplete",IF(AND(I79="Approved",OR(K79="",K79=J79)),"Independent review needed","OK")))))</x:f>
      </x:c>
    </x:row>
    <x:row r="80" ht="23" customHeight="1">
      <x:c r="A80" s="36"/>
      <x:c r="B80" s="40"/>
      <x:c r="C80" s="36"/>
      <x:c r="D80" s="36"/>
      <x:c r="E80" s="41"/>
      <x:c r="F80" s="41"/>
      <x:c r="G80" s="36"/>
      <x:c r="H80" s="36"/>
      <x:c r="I80" s="36"/>
      <x:c r="J80" s="36"/>
      <x:c r="K80" s="36"/>
      <x:c r="L80" s="42" t="str">
        <x:f>IF(A80="","",IF(COUNTIFS('Lots'!$A$6:$A$105,C80)=1,VLOOKUP(C80,'Lots'!$A$6:$O$105,2,FALSE),"Unknown lot"))</x:f>
      </x:c>
      <x:c r="M80" s="42" t="str">
        <x:f>IF(A80="","",IF(COUNTIFS('Lots'!$A$6:$A$105,C80)=1,VLOOKUP(C80,'Lots'!$A$6:$O$105,15,FALSE),"Unknown lot"))</x:f>
      </x:c>
      <x:c r="N80" s="37" t="str">
        <x:f>IF(A80="","",IF(COUNTIFS('Lots'!$A$6:$A$105,C80)=1,VLOOKUP(C80,'Lots'!$A$6:$O$105,10,FALSE),"Unknown lot"))</x:f>
      </x:c>
      <x:c r="O80" s="37" t="str">
        <x:f>IF(A80="","",IF(ISNUMBER(N80),E80*N80,"Cost missing"))</x:f>
      </x:c>
      <x:c r="P80" s="37" t="str">
        <x:f>IF(A80="","",IF(ISNUMBER(N80),F80*N80,"Cost missing"))</x:f>
      </x:c>
      <x:c r="Q80" s="42" t="str">
        <x:f>IF(A80="","",IF(COUNTIFS($A$6:$A$205,A80)&lt;&gt;1,"Duplicate ID",IF(OR(NOT(ISNUMBER(B80)),G80="",H80="",J80="",E80&lt;0,F80&lt;0,AND(E80&gt;0,F80&gt;0),E80+F80&lt;=0),"Check required inputs",IF(OR(L80="Unknown lot",NOT(ISNUMBER(N80))),"Lot/cost incomplete",IF(AND(I80="Approved",OR(K80="",K80=J80)),"Independent review needed","OK")))))</x:f>
      </x:c>
    </x:row>
    <x:row r="81" ht="23" customHeight="1">
      <x:c r="A81" s="36"/>
      <x:c r="B81" s="40"/>
      <x:c r="C81" s="36"/>
      <x:c r="D81" s="36"/>
      <x:c r="E81" s="41"/>
      <x:c r="F81" s="41"/>
      <x:c r="G81" s="36"/>
      <x:c r="H81" s="36"/>
      <x:c r="I81" s="36"/>
      <x:c r="J81" s="36"/>
      <x:c r="K81" s="36"/>
      <x:c r="L81" s="42" t="str">
        <x:f>IF(A81="","",IF(COUNTIFS('Lots'!$A$6:$A$105,C81)=1,VLOOKUP(C81,'Lots'!$A$6:$O$105,2,FALSE),"Unknown lot"))</x:f>
      </x:c>
      <x:c r="M81" s="42" t="str">
        <x:f>IF(A81="","",IF(COUNTIFS('Lots'!$A$6:$A$105,C81)=1,VLOOKUP(C81,'Lots'!$A$6:$O$105,15,FALSE),"Unknown lot"))</x:f>
      </x:c>
      <x:c r="N81" s="37" t="str">
        <x:f>IF(A81="","",IF(COUNTIFS('Lots'!$A$6:$A$105,C81)=1,VLOOKUP(C81,'Lots'!$A$6:$O$105,10,FALSE),"Unknown lot"))</x:f>
      </x:c>
      <x:c r="O81" s="37" t="str">
        <x:f>IF(A81="","",IF(ISNUMBER(N81),E81*N81,"Cost missing"))</x:f>
      </x:c>
      <x:c r="P81" s="37" t="str">
        <x:f>IF(A81="","",IF(ISNUMBER(N81),F81*N81,"Cost missing"))</x:f>
      </x:c>
      <x:c r="Q81" s="42" t="str">
        <x:f>IF(A81="","",IF(COUNTIFS($A$6:$A$205,A81)&lt;&gt;1,"Duplicate ID",IF(OR(NOT(ISNUMBER(B81)),G81="",H81="",J81="",E81&lt;0,F81&lt;0,AND(E81&gt;0,F81&gt;0),E81+F81&lt;=0),"Check required inputs",IF(OR(L81="Unknown lot",NOT(ISNUMBER(N81))),"Lot/cost incomplete",IF(AND(I81="Approved",OR(K81="",K81=J81)),"Independent review needed","OK")))))</x:f>
      </x:c>
    </x:row>
    <x:row r="82" ht="23" customHeight="1">
      <x:c r="A82" s="36"/>
      <x:c r="B82" s="40"/>
      <x:c r="C82" s="36"/>
      <x:c r="D82" s="36"/>
      <x:c r="E82" s="41"/>
      <x:c r="F82" s="41"/>
      <x:c r="G82" s="36"/>
      <x:c r="H82" s="36"/>
      <x:c r="I82" s="36"/>
      <x:c r="J82" s="36"/>
      <x:c r="K82" s="36"/>
      <x:c r="L82" s="42" t="str">
        <x:f>IF(A82="","",IF(COUNTIFS('Lots'!$A$6:$A$105,C82)=1,VLOOKUP(C82,'Lots'!$A$6:$O$105,2,FALSE),"Unknown lot"))</x:f>
      </x:c>
      <x:c r="M82" s="42" t="str">
        <x:f>IF(A82="","",IF(COUNTIFS('Lots'!$A$6:$A$105,C82)=1,VLOOKUP(C82,'Lots'!$A$6:$O$105,15,FALSE),"Unknown lot"))</x:f>
      </x:c>
      <x:c r="N82" s="37" t="str">
        <x:f>IF(A82="","",IF(COUNTIFS('Lots'!$A$6:$A$105,C82)=1,VLOOKUP(C82,'Lots'!$A$6:$O$105,10,FALSE),"Unknown lot"))</x:f>
      </x:c>
      <x:c r="O82" s="37" t="str">
        <x:f>IF(A82="","",IF(ISNUMBER(N82),E82*N82,"Cost missing"))</x:f>
      </x:c>
      <x:c r="P82" s="37" t="str">
        <x:f>IF(A82="","",IF(ISNUMBER(N82),F82*N82,"Cost missing"))</x:f>
      </x:c>
      <x:c r="Q82" s="42" t="str">
        <x:f>IF(A82="","",IF(COUNTIFS($A$6:$A$205,A82)&lt;&gt;1,"Duplicate ID",IF(OR(NOT(ISNUMBER(B82)),G82="",H82="",J82="",E82&lt;0,F82&lt;0,AND(E82&gt;0,F82&gt;0),E82+F82&lt;=0),"Check required inputs",IF(OR(L82="Unknown lot",NOT(ISNUMBER(N82))),"Lot/cost incomplete",IF(AND(I82="Approved",OR(K82="",K82=J82)),"Independent review needed","OK")))))</x:f>
      </x:c>
    </x:row>
    <x:row r="83" ht="23" customHeight="1">
      <x:c r="A83" s="36"/>
      <x:c r="B83" s="40"/>
      <x:c r="C83" s="36"/>
      <x:c r="D83" s="36"/>
      <x:c r="E83" s="41"/>
      <x:c r="F83" s="41"/>
      <x:c r="G83" s="36"/>
      <x:c r="H83" s="36"/>
      <x:c r="I83" s="36"/>
      <x:c r="J83" s="36"/>
      <x:c r="K83" s="36"/>
      <x:c r="L83" s="42" t="str">
        <x:f>IF(A83="","",IF(COUNTIFS('Lots'!$A$6:$A$105,C83)=1,VLOOKUP(C83,'Lots'!$A$6:$O$105,2,FALSE),"Unknown lot"))</x:f>
      </x:c>
      <x:c r="M83" s="42" t="str">
        <x:f>IF(A83="","",IF(COUNTIFS('Lots'!$A$6:$A$105,C83)=1,VLOOKUP(C83,'Lots'!$A$6:$O$105,15,FALSE),"Unknown lot"))</x:f>
      </x:c>
      <x:c r="N83" s="37" t="str">
        <x:f>IF(A83="","",IF(COUNTIFS('Lots'!$A$6:$A$105,C83)=1,VLOOKUP(C83,'Lots'!$A$6:$O$105,10,FALSE),"Unknown lot"))</x:f>
      </x:c>
      <x:c r="O83" s="37" t="str">
        <x:f>IF(A83="","",IF(ISNUMBER(N83),E83*N83,"Cost missing"))</x:f>
      </x:c>
      <x:c r="P83" s="37" t="str">
        <x:f>IF(A83="","",IF(ISNUMBER(N83),F83*N83,"Cost missing"))</x:f>
      </x:c>
      <x:c r="Q83" s="42" t="str">
        <x:f>IF(A83="","",IF(COUNTIFS($A$6:$A$205,A83)&lt;&gt;1,"Duplicate ID",IF(OR(NOT(ISNUMBER(B83)),G83="",H83="",J83="",E83&lt;0,F83&lt;0,AND(E83&gt;0,F83&gt;0),E83+F83&lt;=0),"Check required inputs",IF(OR(L83="Unknown lot",NOT(ISNUMBER(N83))),"Lot/cost incomplete",IF(AND(I83="Approved",OR(K83="",K83=J83)),"Independent review needed","OK")))))</x:f>
      </x:c>
    </x:row>
    <x:row r="84" ht="23" customHeight="1">
      <x:c r="A84" s="36"/>
      <x:c r="B84" s="40"/>
      <x:c r="C84" s="36"/>
      <x:c r="D84" s="36"/>
      <x:c r="E84" s="41"/>
      <x:c r="F84" s="41"/>
      <x:c r="G84" s="36"/>
      <x:c r="H84" s="36"/>
      <x:c r="I84" s="36"/>
      <x:c r="J84" s="36"/>
      <x:c r="K84" s="36"/>
      <x:c r="L84" s="42" t="str">
        <x:f>IF(A84="","",IF(COUNTIFS('Lots'!$A$6:$A$105,C84)=1,VLOOKUP(C84,'Lots'!$A$6:$O$105,2,FALSE),"Unknown lot"))</x:f>
      </x:c>
      <x:c r="M84" s="42" t="str">
        <x:f>IF(A84="","",IF(COUNTIFS('Lots'!$A$6:$A$105,C84)=1,VLOOKUP(C84,'Lots'!$A$6:$O$105,15,FALSE),"Unknown lot"))</x:f>
      </x:c>
      <x:c r="N84" s="37" t="str">
        <x:f>IF(A84="","",IF(COUNTIFS('Lots'!$A$6:$A$105,C84)=1,VLOOKUP(C84,'Lots'!$A$6:$O$105,10,FALSE),"Unknown lot"))</x:f>
      </x:c>
      <x:c r="O84" s="37" t="str">
        <x:f>IF(A84="","",IF(ISNUMBER(N84),E84*N84,"Cost missing"))</x:f>
      </x:c>
      <x:c r="P84" s="37" t="str">
        <x:f>IF(A84="","",IF(ISNUMBER(N84),F84*N84,"Cost missing"))</x:f>
      </x:c>
      <x:c r="Q84" s="42" t="str">
        <x:f>IF(A84="","",IF(COUNTIFS($A$6:$A$205,A84)&lt;&gt;1,"Duplicate ID",IF(OR(NOT(ISNUMBER(B84)),G84="",H84="",J84="",E84&lt;0,F84&lt;0,AND(E84&gt;0,F84&gt;0),E84+F84&lt;=0),"Check required inputs",IF(OR(L84="Unknown lot",NOT(ISNUMBER(N84))),"Lot/cost incomplete",IF(AND(I84="Approved",OR(K84="",K84=J84)),"Independent review needed","OK")))))</x:f>
      </x:c>
    </x:row>
    <x:row r="85" ht="23" customHeight="1">
      <x:c r="A85" s="36"/>
      <x:c r="B85" s="40"/>
      <x:c r="C85" s="36"/>
      <x:c r="D85" s="36"/>
      <x:c r="E85" s="41"/>
      <x:c r="F85" s="41"/>
      <x:c r="G85" s="36"/>
      <x:c r="H85" s="36"/>
      <x:c r="I85" s="36"/>
      <x:c r="J85" s="36"/>
      <x:c r="K85" s="36"/>
      <x:c r="L85" s="42" t="str">
        <x:f>IF(A85="","",IF(COUNTIFS('Lots'!$A$6:$A$105,C85)=1,VLOOKUP(C85,'Lots'!$A$6:$O$105,2,FALSE),"Unknown lot"))</x:f>
      </x:c>
      <x:c r="M85" s="42" t="str">
        <x:f>IF(A85="","",IF(COUNTIFS('Lots'!$A$6:$A$105,C85)=1,VLOOKUP(C85,'Lots'!$A$6:$O$105,15,FALSE),"Unknown lot"))</x:f>
      </x:c>
      <x:c r="N85" s="37" t="str">
        <x:f>IF(A85="","",IF(COUNTIFS('Lots'!$A$6:$A$105,C85)=1,VLOOKUP(C85,'Lots'!$A$6:$O$105,10,FALSE),"Unknown lot"))</x:f>
      </x:c>
      <x:c r="O85" s="37" t="str">
        <x:f>IF(A85="","",IF(ISNUMBER(N85),E85*N85,"Cost missing"))</x:f>
      </x:c>
      <x:c r="P85" s="37" t="str">
        <x:f>IF(A85="","",IF(ISNUMBER(N85),F85*N85,"Cost missing"))</x:f>
      </x:c>
      <x:c r="Q85" s="42" t="str">
        <x:f>IF(A85="","",IF(COUNTIFS($A$6:$A$205,A85)&lt;&gt;1,"Duplicate ID",IF(OR(NOT(ISNUMBER(B85)),G85="",H85="",J85="",E85&lt;0,F85&lt;0,AND(E85&gt;0,F85&gt;0),E85+F85&lt;=0),"Check required inputs",IF(OR(L85="Unknown lot",NOT(ISNUMBER(N85))),"Lot/cost incomplete",IF(AND(I85="Approved",OR(K85="",K85=J85)),"Independent review needed","OK")))))</x:f>
      </x:c>
    </x:row>
    <x:row r="86" ht="23" customHeight="1">
      <x:c r="A86" s="36"/>
      <x:c r="B86" s="40"/>
      <x:c r="C86" s="36"/>
      <x:c r="D86" s="36"/>
      <x:c r="E86" s="41"/>
      <x:c r="F86" s="41"/>
      <x:c r="G86" s="36"/>
      <x:c r="H86" s="36"/>
      <x:c r="I86" s="36"/>
      <x:c r="J86" s="36"/>
      <x:c r="K86" s="36"/>
      <x:c r="L86" s="42" t="str">
        <x:f>IF(A86="","",IF(COUNTIFS('Lots'!$A$6:$A$105,C86)=1,VLOOKUP(C86,'Lots'!$A$6:$O$105,2,FALSE),"Unknown lot"))</x:f>
      </x:c>
      <x:c r="M86" s="42" t="str">
        <x:f>IF(A86="","",IF(COUNTIFS('Lots'!$A$6:$A$105,C86)=1,VLOOKUP(C86,'Lots'!$A$6:$O$105,15,FALSE),"Unknown lot"))</x:f>
      </x:c>
      <x:c r="N86" s="37" t="str">
        <x:f>IF(A86="","",IF(COUNTIFS('Lots'!$A$6:$A$105,C86)=1,VLOOKUP(C86,'Lots'!$A$6:$O$105,10,FALSE),"Unknown lot"))</x:f>
      </x:c>
      <x:c r="O86" s="37" t="str">
        <x:f>IF(A86="","",IF(ISNUMBER(N86),E86*N86,"Cost missing"))</x:f>
      </x:c>
      <x:c r="P86" s="37" t="str">
        <x:f>IF(A86="","",IF(ISNUMBER(N86),F86*N86,"Cost missing"))</x:f>
      </x:c>
      <x:c r="Q86" s="42" t="str">
        <x:f>IF(A86="","",IF(COUNTIFS($A$6:$A$205,A86)&lt;&gt;1,"Duplicate ID",IF(OR(NOT(ISNUMBER(B86)),G86="",H86="",J86="",E86&lt;0,F86&lt;0,AND(E86&gt;0,F86&gt;0),E86+F86&lt;=0),"Check required inputs",IF(OR(L86="Unknown lot",NOT(ISNUMBER(N86))),"Lot/cost incomplete",IF(AND(I86="Approved",OR(K86="",K86=J86)),"Independent review needed","OK")))))</x:f>
      </x:c>
    </x:row>
    <x:row r="87" ht="23" customHeight="1">
      <x:c r="A87" s="36"/>
      <x:c r="B87" s="40"/>
      <x:c r="C87" s="36"/>
      <x:c r="D87" s="36"/>
      <x:c r="E87" s="41"/>
      <x:c r="F87" s="41"/>
      <x:c r="G87" s="36"/>
      <x:c r="H87" s="36"/>
      <x:c r="I87" s="36"/>
      <x:c r="J87" s="36"/>
      <x:c r="K87" s="36"/>
      <x:c r="L87" s="42" t="str">
        <x:f>IF(A87="","",IF(COUNTIFS('Lots'!$A$6:$A$105,C87)=1,VLOOKUP(C87,'Lots'!$A$6:$O$105,2,FALSE),"Unknown lot"))</x:f>
      </x:c>
      <x:c r="M87" s="42" t="str">
        <x:f>IF(A87="","",IF(COUNTIFS('Lots'!$A$6:$A$105,C87)=1,VLOOKUP(C87,'Lots'!$A$6:$O$105,15,FALSE),"Unknown lot"))</x:f>
      </x:c>
      <x:c r="N87" s="37" t="str">
        <x:f>IF(A87="","",IF(COUNTIFS('Lots'!$A$6:$A$105,C87)=1,VLOOKUP(C87,'Lots'!$A$6:$O$105,10,FALSE),"Unknown lot"))</x:f>
      </x:c>
      <x:c r="O87" s="37" t="str">
        <x:f>IF(A87="","",IF(ISNUMBER(N87),E87*N87,"Cost missing"))</x:f>
      </x:c>
      <x:c r="P87" s="37" t="str">
        <x:f>IF(A87="","",IF(ISNUMBER(N87),F87*N87,"Cost missing"))</x:f>
      </x:c>
      <x:c r="Q87" s="42" t="str">
        <x:f>IF(A87="","",IF(COUNTIFS($A$6:$A$205,A87)&lt;&gt;1,"Duplicate ID",IF(OR(NOT(ISNUMBER(B87)),G87="",H87="",J87="",E87&lt;0,F87&lt;0,AND(E87&gt;0,F87&gt;0),E87+F87&lt;=0),"Check required inputs",IF(OR(L87="Unknown lot",NOT(ISNUMBER(N87))),"Lot/cost incomplete",IF(AND(I87="Approved",OR(K87="",K87=J87)),"Independent review needed","OK")))))</x:f>
      </x:c>
    </x:row>
    <x:row r="88" ht="23" customHeight="1">
      <x:c r="A88" s="36"/>
      <x:c r="B88" s="40"/>
      <x:c r="C88" s="36"/>
      <x:c r="D88" s="36"/>
      <x:c r="E88" s="41"/>
      <x:c r="F88" s="41"/>
      <x:c r="G88" s="36"/>
      <x:c r="H88" s="36"/>
      <x:c r="I88" s="36"/>
      <x:c r="J88" s="36"/>
      <x:c r="K88" s="36"/>
      <x:c r="L88" s="42" t="str">
        <x:f>IF(A88="","",IF(COUNTIFS('Lots'!$A$6:$A$105,C88)=1,VLOOKUP(C88,'Lots'!$A$6:$O$105,2,FALSE),"Unknown lot"))</x:f>
      </x:c>
      <x:c r="M88" s="42" t="str">
        <x:f>IF(A88="","",IF(COUNTIFS('Lots'!$A$6:$A$105,C88)=1,VLOOKUP(C88,'Lots'!$A$6:$O$105,15,FALSE),"Unknown lot"))</x:f>
      </x:c>
      <x:c r="N88" s="37" t="str">
        <x:f>IF(A88="","",IF(COUNTIFS('Lots'!$A$6:$A$105,C88)=1,VLOOKUP(C88,'Lots'!$A$6:$O$105,10,FALSE),"Unknown lot"))</x:f>
      </x:c>
      <x:c r="O88" s="37" t="str">
        <x:f>IF(A88="","",IF(ISNUMBER(N88),E88*N88,"Cost missing"))</x:f>
      </x:c>
      <x:c r="P88" s="37" t="str">
        <x:f>IF(A88="","",IF(ISNUMBER(N88),F88*N88,"Cost missing"))</x:f>
      </x:c>
      <x:c r="Q88" s="42" t="str">
        <x:f>IF(A88="","",IF(COUNTIFS($A$6:$A$205,A88)&lt;&gt;1,"Duplicate ID",IF(OR(NOT(ISNUMBER(B88)),G88="",H88="",J88="",E88&lt;0,F88&lt;0,AND(E88&gt;0,F88&gt;0),E88+F88&lt;=0),"Check required inputs",IF(OR(L88="Unknown lot",NOT(ISNUMBER(N88))),"Lot/cost incomplete",IF(AND(I88="Approved",OR(K88="",K88=J88)),"Independent review needed","OK")))))</x:f>
      </x:c>
    </x:row>
    <x:row r="89" ht="23" customHeight="1">
      <x:c r="A89" s="36"/>
      <x:c r="B89" s="40"/>
      <x:c r="C89" s="36"/>
      <x:c r="D89" s="36"/>
      <x:c r="E89" s="41"/>
      <x:c r="F89" s="41"/>
      <x:c r="G89" s="36"/>
      <x:c r="H89" s="36"/>
      <x:c r="I89" s="36"/>
      <x:c r="J89" s="36"/>
      <x:c r="K89" s="36"/>
      <x:c r="L89" s="42" t="str">
        <x:f>IF(A89="","",IF(COUNTIFS('Lots'!$A$6:$A$105,C89)=1,VLOOKUP(C89,'Lots'!$A$6:$O$105,2,FALSE),"Unknown lot"))</x:f>
      </x:c>
      <x:c r="M89" s="42" t="str">
        <x:f>IF(A89="","",IF(COUNTIFS('Lots'!$A$6:$A$105,C89)=1,VLOOKUP(C89,'Lots'!$A$6:$O$105,15,FALSE),"Unknown lot"))</x:f>
      </x:c>
      <x:c r="N89" s="37" t="str">
        <x:f>IF(A89="","",IF(COUNTIFS('Lots'!$A$6:$A$105,C89)=1,VLOOKUP(C89,'Lots'!$A$6:$O$105,10,FALSE),"Unknown lot"))</x:f>
      </x:c>
      <x:c r="O89" s="37" t="str">
        <x:f>IF(A89="","",IF(ISNUMBER(N89),E89*N89,"Cost missing"))</x:f>
      </x:c>
      <x:c r="P89" s="37" t="str">
        <x:f>IF(A89="","",IF(ISNUMBER(N89),F89*N89,"Cost missing"))</x:f>
      </x:c>
      <x:c r="Q89" s="42" t="str">
        <x:f>IF(A89="","",IF(COUNTIFS($A$6:$A$205,A89)&lt;&gt;1,"Duplicate ID",IF(OR(NOT(ISNUMBER(B89)),G89="",H89="",J89="",E89&lt;0,F89&lt;0,AND(E89&gt;0,F89&gt;0),E89+F89&lt;=0),"Check required inputs",IF(OR(L89="Unknown lot",NOT(ISNUMBER(N89))),"Lot/cost incomplete",IF(AND(I89="Approved",OR(K89="",K89=J89)),"Independent review needed","OK")))))</x:f>
      </x:c>
    </x:row>
    <x:row r="90" ht="23" customHeight="1">
      <x:c r="A90" s="36"/>
      <x:c r="B90" s="40"/>
      <x:c r="C90" s="36"/>
      <x:c r="D90" s="36"/>
      <x:c r="E90" s="41"/>
      <x:c r="F90" s="41"/>
      <x:c r="G90" s="36"/>
      <x:c r="H90" s="36"/>
      <x:c r="I90" s="36"/>
      <x:c r="J90" s="36"/>
      <x:c r="K90" s="36"/>
      <x:c r="L90" s="42" t="str">
        <x:f>IF(A90="","",IF(COUNTIFS('Lots'!$A$6:$A$105,C90)=1,VLOOKUP(C90,'Lots'!$A$6:$O$105,2,FALSE),"Unknown lot"))</x:f>
      </x:c>
      <x:c r="M90" s="42" t="str">
        <x:f>IF(A90="","",IF(COUNTIFS('Lots'!$A$6:$A$105,C90)=1,VLOOKUP(C90,'Lots'!$A$6:$O$105,15,FALSE),"Unknown lot"))</x:f>
      </x:c>
      <x:c r="N90" s="37" t="str">
        <x:f>IF(A90="","",IF(COUNTIFS('Lots'!$A$6:$A$105,C90)=1,VLOOKUP(C90,'Lots'!$A$6:$O$105,10,FALSE),"Unknown lot"))</x:f>
      </x:c>
      <x:c r="O90" s="37" t="str">
        <x:f>IF(A90="","",IF(ISNUMBER(N90),E90*N90,"Cost missing"))</x:f>
      </x:c>
      <x:c r="P90" s="37" t="str">
        <x:f>IF(A90="","",IF(ISNUMBER(N90),F90*N90,"Cost missing"))</x:f>
      </x:c>
      <x:c r="Q90" s="42" t="str">
        <x:f>IF(A90="","",IF(COUNTIFS($A$6:$A$205,A90)&lt;&gt;1,"Duplicate ID",IF(OR(NOT(ISNUMBER(B90)),G90="",H90="",J90="",E90&lt;0,F90&lt;0,AND(E90&gt;0,F90&gt;0),E90+F90&lt;=0),"Check required inputs",IF(OR(L90="Unknown lot",NOT(ISNUMBER(N90))),"Lot/cost incomplete",IF(AND(I90="Approved",OR(K90="",K90=J90)),"Independent review needed","OK")))))</x:f>
      </x:c>
    </x:row>
    <x:row r="91" ht="23" customHeight="1">
      <x:c r="A91" s="36"/>
      <x:c r="B91" s="40"/>
      <x:c r="C91" s="36"/>
      <x:c r="D91" s="36"/>
      <x:c r="E91" s="41"/>
      <x:c r="F91" s="41"/>
      <x:c r="G91" s="36"/>
      <x:c r="H91" s="36"/>
      <x:c r="I91" s="36"/>
      <x:c r="J91" s="36"/>
      <x:c r="K91" s="36"/>
      <x:c r="L91" s="42" t="str">
        <x:f>IF(A91="","",IF(COUNTIFS('Lots'!$A$6:$A$105,C91)=1,VLOOKUP(C91,'Lots'!$A$6:$O$105,2,FALSE),"Unknown lot"))</x:f>
      </x:c>
      <x:c r="M91" s="42" t="str">
        <x:f>IF(A91="","",IF(COUNTIFS('Lots'!$A$6:$A$105,C91)=1,VLOOKUP(C91,'Lots'!$A$6:$O$105,15,FALSE),"Unknown lot"))</x:f>
      </x:c>
      <x:c r="N91" s="37" t="str">
        <x:f>IF(A91="","",IF(COUNTIFS('Lots'!$A$6:$A$105,C91)=1,VLOOKUP(C91,'Lots'!$A$6:$O$105,10,FALSE),"Unknown lot"))</x:f>
      </x:c>
      <x:c r="O91" s="37" t="str">
        <x:f>IF(A91="","",IF(ISNUMBER(N91),E91*N91,"Cost missing"))</x:f>
      </x:c>
      <x:c r="P91" s="37" t="str">
        <x:f>IF(A91="","",IF(ISNUMBER(N91),F91*N91,"Cost missing"))</x:f>
      </x:c>
      <x:c r="Q91" s="42" t="str">
        <x:f>IF(A91="","",IF(COUNTIFS($A$6:$A$205,A91)&lt;&gt;1,"Duplicate ID",IF(OR(NOT(ISNUMBER(B91)),G91="",H91="",J91="",E91&lt;0,F91&lt;0,AND(E91&gt;0,F91&gt;0),E91+F91&lt;=0),"Check required inputs",IF(OR(L91="Unknown lot",NOT(ISNUMBER(N91))),"Lot/cost incomplete",IF(AND(I91="Approved",OR(K91="",K91=J91)),"Independent review needed","OK")))))</x:f>
      </x:c>
    </x:row>
    <x:row r="92" ht="23" customHeight="1">
      <x:c r="A92" s="36"/>
      <x:c r="B92" s="40"/>
      <x:c r="C92" s="36"/>
      <x:c r="D92" s="36"/>
      <x:c r="E92" s="41"/>
      <x:c r="F92" s="41"/>
      <x:c r="G92" s="36"/>
      <x:c r="H92" s="36"/>
      <x:c r="I92" s="36"/>
      <x:c r="J92" s="36"/>
      <x:c r="K92" s="36"/>
      <x:c r="L92" s="42" t="str">
        <x:f>IF(A92="","",IF(COUNTIFS('Lots'!$A$6:$A$105,C92)=1,VLOOKUP(C92,'Lots'!$A$6:$O$105,2,FALSE),"Unknown lot"))</x:f>
      </x:c>
      <x:c r="M92" s="42" t="str">
        <x:f>IF(A92="","",IF(COUNTIFS('Lots'!$A$6:$A$105,C92)=1,VLOOKUP(C92,'Lots'!$A$6:$O$105,15,FALSE),"Unknown lot"))</x:f>
      </x:c>
      <x:c r="N92" s="37" t="str">
        <x:f>IF(A92="","",IF(COUNTIFS('Lots'!$A$6:$A$105,C92)=1,VLOOKUP(C92,'Lots'!$A$6:$O$105,10,FALSE),"Unknown lot"))</x:f>
      </x:c>
      <x:c r="O92" s="37" t="str">
        <x:f>IF(A92="","",IF(ISNUMBER(N92),E92*N92,"Cost missing"))</x:f>
      </x:c>
      <x:c r="P92" s="37" t="str">
        <x:f>IF(A92="","",IF(ISNUMBER(N92),F92*N92,"Cost missing"))</x:f>
      </x:c>
      <x:c r="Q92" s="42" t="str">
        <x:f>IF(A92="","",IF(COUNTIFS($A$6:$A$205,A92)&lt;&gt;1,"Duplicate ID",IF(OR(NOT(ISNUMBER(B92)),G92="",H92="",J92="",E92&lt;0,F92&lt;0,AND(E92&gt;0,F92&gt;0),E92+F92&lt;=0),"Check required inputs",IF(OR(L92="Unknown lot",NOT(ISNUMBER(N92))),"Lot/cost incomplete",IF(AND(I92="Approved",OR(K92="",K92=J92)),"Independent review needed","OK")))))</x:f>
      </x:c>
    </x:row>
    <x:row r="93" ht="23" customHeight="1">
      <x:c r="A93" s="36"/>
      <x:c r="B93" s="40"/>
      <x:c r="C93" s="36"/>
      <x:c r="D93" s="36"/>
      <x:c r="E93" s="41"/>
      <x:c r="F93" s="41"/>
      <x:c r="G93" s="36"/>
      <x:c r="H93" s="36"/>
      <x:c r="I93" s="36"/>
      <x:c r="J93" s="36"/>
      <x:c r="K93" s="36"/>
      <x:c r="L93" s="42" t="str">
        <x:f>IF(A93="","",IF(COUNTIFS('Lots'!$A$6:$A$105,C93)=1,VLOOKUP(C93,'Lots'!$A$6:$O$105,2,FALSE),"Unknown lot"))</x:f>
      </x:c>
      <x:c r="M93" s="42" t="str">
        <x:f>IF(A93="","",IF(COUNTIFS('Lots'!$A$6:$A$105,C93)=1,VLOOKUP(C93,'Lots'!$A$6:$O$105,15,FALSE),"Unknown lot"))</x:f>
      </x:c>
      <x:c r="N93" s="37" t="str">
        <x:f>IF(A93="","",IF(COUNTIFS('Lots'!$A$6:$A$105,C93)=1,VLOOKUP(C93,'Lots'!$A$6:$O$105,10,FALSE),"Unknown lot"))</x:f>
      </x:c>
      <x:c r="O93" s="37" t="str">
        <x:f>IF(A93="","",IF(ISNUMBER(N93),E93*N93,"Cost missing"))</x:f>
      </x:c>
      <x:c r="P93" s="37" t="str">
        <x:f>IF(A93="","",IF(ISNUMBER(N93),F93*N93,"Cost missing"))</x:f>
      </x:c>
      <x:c r="Q93" s="42" t="str">
        <x:f>IF(A93="","",IF(COUNTIFS($A$6:$A$205,A93)&lt;&gt;1,"Duplicate ID",IF(OR(NOT(ISNUMBER(B93)),G93="",H93="",J93="",E93&lt;0,F93&lt;0,AND(E93&gt;0,F93&gt;0),E93+F93&lt;=0),"Check required inputs",IF(OR(L93="Unknown lot",NOT(ISNUMBER(N93))),"Lot/cost incomplete",IF(AND(I93="Approved",OR(K93="",K93=J93)),"Independent review needed","OK")))))</x:f>
      </x:c>
    </x:row>
    <x:row r="94" ht="23" customHeight="1">
      <x:c r="A94" s="36"/>
      <x:c r="B94" s="40"/>
      <x:c r="C94" s="36"/>
      <x:c r="D94" s="36"/>
      <x:c r="E94" s="41"/>
      <x:c r="F94" s="41"/>
      <x:c r="G94" s="36"/>
      <x:c r="H94" s="36"/>
      <x:c r="I94" s="36"/>
      <x:c r="J94" s="36"/>
      <x:c r="K94" s="36"/>
      <x:c r="L94" s="42" t="str">
        <x:f>IF(A94="","",IF(COUNTIFS('Lots'!$A$6:$A$105,C94)=1,VLOOKUP(C94,'Lots'!$A$6:$O$105,2,FALSE),"Unknown lot"))</x:f>
      </x:c>
      <x:c r="M94" s="42" t="str">
        <x:f>IF(A94="","",IF(COUNTIFS('Lots'!$A$6:$A$105,C94)=1,VLOOKUP(C94,'Lots'!$A$6:$O$105,15,FALSE),"Unknown lot"))</x:f>
      </x:c>
      <x:c r="N94" s="37" t="str">
        <x:f>IF(A94="","",IF(COUNTIFS('Lots'!$A$6:$A$105,C94)=1,VLOOKUP(C94,'Lots'!$A$6:$O$105,10,FALSE),"Unknown lot"))</x:f>
      </x:c>
      <x:c r="O94" s="37" t="str">
        <x:f>IF(A94="","",IF(ISNUMBER(N94),E94*N94,"Cost missing"))</x:f>
      </x:c>
      <x:c r="P94" s="37" t="str">
        <x:f>IF(A94="","",IF(ISNUMBER(N94),F94*N94,"Cost missing"))</x:f>
      </x:c>
      <x:c r="Q94" s="42" t="str">
        <x:f>IF(A94="","",IF(COUNTIFS($A$6:$A$205,A94)&lt;&gt;1,"Duplicate ID",IF(OR(NOT(ISNUMBER(B94)),G94="",H94="",J94="",E94&lt;0,F94&lt;0,AND(E94&gt;0,F94&gt;0),E94+F94&lt;=0),"Check required inputs",IF(OR(L94="Unknown lot",NOT(ISNUMBER(N94))),"Lot/cost incomplete",IF(AND(I94="Approved",OR(K94="",K94=J94)),"Independent review needed","OK")))))</x:f>
      </x:c>
    </x:row>
    <x:row r="95" ht="23" customHeight="1">
      <x:c r="A95" s="36"/>
      <x:c r="B95" s="40"/>
      <x:c r="C95" s="36"/>
      <x:c r="D95" s="36"/>
      <x:c r="E95" s="41"/>
      <x:c r="F95" s="41"/>
      <x:c r="G95" s="36"/>
      <x:c r="H95" s="36"/>
      <x:c r="I95" s="36"/>
      <x:c r="J95" s="36"/>
      <x:c r="K95" s="36"/>
      <x:c r="L95" s="42" t="str">
        <x:f>IF(A95="","",IF(COUNTIFS('Lots'!$A$6:$A$105,C95)=1,VLOOKUP(C95,'Lots'!$A$6:$O$105,2,FALSE),"Unknown lot"))</x:f>
      </x:c>
      <x:c r="M95" s="42" t="str">
        <x:f>IF(A95="","",IF(COUNTIFS('Lots'!$A$6:$A$105,C95)=1,VLOOKUP(C95,'Lots'!$A$6:$O$105,15,FALSE),"Unknown lot"))</x:f>
      </x:c>
      <x:c r="N95" s="37" t="str">
        <x:f>IF(A95="","",IF(COUNTIFS('Lots'!$A$6:$A$105,C95)=1,VLOOKUP(C95,'Lots'!$A$6:$O$105,10,FALSE),"Unknown lot"))</x:f>
      </x:c>
      <x:c r="O95" s="37" t="str">
        <x:f>IF(A95="","",IF(ISNUMBER(N95),E95*N95,"Cost missing"))</x:f>
      </x:c>
      <x:c r="P95" s="37" t="str">
        <x:f>IF(A95="","",IF(ISNUMBER(N95),F95*N95,"Cost missing"))</x:f>
      </x:c>
      <x:c r="Q95" s="42" t="str">
        <x:f>IF(A95="","",IF(COUNTIFS($A$6:$A$205,A95)&lt;&gt;1,"Duplicate ID",IF(OR(NOT(ISNUMBER(B95)),G95="",H95="",J95="",E95&lt;0,F95&lt;0,AND(E95&gt;0,F95&gt;0),E95+F95&lt;=0),"Check required inputs",IF(OR(L95="Unknown lot",NOT(ISNUMBER(N95))),"Lot/cost incomplete",IF(AND(I95="Approved",OR(K95="",K95=J95)),"Independent review needed","OK")))))</x:f>
      </x:c>
    </x:row>
    <x:row r="96" ht="23" customHeight="1">
      <x:c r="A96" s="36"/>
      <x:c r="B96" s="40"/>
      <x:c r="C96" s="36"/>
      <x:c r="D96" s="36"/>
      <x:c r="E96" s="41"/>
      <x:c r="F96" s="41"/>
      <x:c r="G96" s="36"/>
      <x:c r="H96" s="36"/>
      <x:c r="I96" s="36"/>
      <x:c r="J96" s="36"/>
      <x:c r="K96" s="36"/>
      <x:c r="L96" s="42" t="str">
        <x:f>IF(A96="","",IF(COUNTIFS('Lots'!$A$6:$A$105,C96)=1,VLOOKUP(C96,'Lots'!$A$6:$O$105,2,FALSE),"Unknown lot"))</x:f>
      </x:c>
      <x:c r="M96" s="42" t="str">
        <x:f>IF(A96="","",IF(COUNTIFS('Lots'!$A$6:$A$105,C96)=1,VLOOKUP(C96,'Lots'!$A$6:$O$105,15,FALSE),"Unknown lot"))</x:f>
      </x:c>
      <x:c r="N96" s="37" t="str">
        <x:f>IF(A96="","",IF(COUNTIFS('Lots'!$A$6:$A$105,C96)=1,VLOOKUP(C96,'Lots'!$A$6:$O$105,10,FALSE),"Unknown lot"))</x:f>
      </x:c>
      <x:c r="O96" s="37" t="str">
        <x:f>IF(A96="","",IF(ISNUMBER(N96),E96*N96,"Cost missing"))</x:f>
      </x:c>
      <x:c r="P96" s="37" t="str">
        <x:f>IF(A96="","",IF(ISNUMBER(N96),F96*N96,"Cost missing"))</x:f>
      </x:c>
      <x:c r="Q96" s="42" t="str">
        <x:f>IF(A96="","",IF(COUNTIFS($A$6:$A$205,A96)&lt;&gt;1,"Duplicate ID",IF(OR(NOT(ISNUMBER(B96)),G96="",H96="",J96="",E96&lt;0,F96&lt;0,AND(E96&gt;0,F96&gt;0),E96+F96&lt;=0),"Check required inputs",IF(OR(L96="Unknown lot",NOT(ISNUMBER(N96))),"Lot/cost incomplete",IF(AND(I96="Approved",OR(K96="",K96=J96)),"Independent review needed","OK")))))</x:f>
      </x:c>
    </x:row>
    <x:row r="97" ht="23" customHeight="1">
      <x:c r="A97" s="36"/>
      <x:c r="B97" s="40"/>
      <x:c r="C97" s="36"/>
      <x:c r="D97" s="36"/>
      <x:c r="E97" s="41"/>
      <x:c r="F97" s="41"/>
      <x:c r="G97" s="36"/>
      <x:c r="H97" s="36"/>
      <x:c r="I97" s="36"/>
      <x:c r="J97" s="36"/>
      <x:c r="K97" s="36"/>
      <x:c r="L97" s="42" t="str">
        <x:f>IF(A97="","",IF(COUNTIFS('Lots'!$A$6:$A$105,C97)=1,VLOOKUP(C97,'Lots'!$A$6:$O$105,2,FALSE),"Unknown lot"))</x:f>
      </x:c>
      <x:c r="M97" s="42" t="str">
        <x:f>IF(A97="","",IF(COUNTIFS('Lots'!$A$6:$A$105,C97)=1,VLOOKUP(C97,'Lots'!$A$6:$O$105,15,FALSE),"Unknown lot"))</x:f>
      </x:c>
      <x:c r="N97" s="37" t="str">
        <x:f>IF(A97="","",IF(COUNTIFS('Lots'!$A$6:$A$105,C97)=1,VLOOKUP(C97,'Lots'!$A$6:$O$105,10,FALSE),"Unknown lot"))</x:f>
      </x:c>
      <x:c r="O97" s="37" t="str">
        <x:f>IF(A97="","",IF(ISNUMBER(N97),E97*N97,"Cost missing"))</x:f>
      </x:c>
      <x:c r="P97" s="37" t="str">
        <x:f>IF(A97="","",IF(ISNUMBER(N97),F97*N97,"Cost missing"))</x:f>
      </x:c>
      <x:c r="Q97" s="42" t="str">
        <x:f>IF(A97="","",IF(COUNTIFS($A$6:$A$205,A97)&lt;&gt;1,"Duplicate ID",IF(OR(NOT(ISNUMBER(B97)),G97="",H97="",J97="",E97&lt;0,F97&lt;0,AND(E97&gt;0,F97&gt;0),E97+F97&lt;=0),"Check required inputs",IF(OR(L97="Unknown lot",NOT(ISNUMBER(N97))),"Lot/cost incomplete",IF(AND(I97="Approved",OR(K97="",K97=J97)),"Independent review needed","OK")))))</x:f>
      </x:c>
    </x:row>
    <x:row r="98" ht="23" customHeight="1">
      <x:c r="A98" s="36"/>
      <x:c r="B98" s="40"/>
      <x:c r="C98" s="36"/>
      <x:c r="D98" s="36"/>
      <x:c r="E98" s="41"/>
      <x:c r="F98" s="41"/>
      <x:c r="G98" s="36"/>
      <x:c r="H98" s="36"/>
      <x:c r="I98" s="36"/>
      <x:c r="J98" s="36"/>
      <x:c r="K98" s="36"/>
      <x:c r="L98" s="42" t="str">
        <x:f>IF(A98="","",IF(COUNTIFS('Lots'!$A$6:$A$105,C98)=1,VLOOKUP(C98,'Lots'!$A$6:$O$105,2,FALSE),"Unknown lot"))</x:f>
      </x:c>
      <x:c r="M98" s="42" t="str">
        <x:f>IF(A98="","",IF(COUNTIFS('Lots'!$A$6:$A$105,C98)=1,VLOOKUP(C98,'Lots'!$A$6:$O$105,15,FALSE),"Unknown lot"))</x:f>
      </x:c>
      <x:c r="N98" s="37" t="str">
        <x:f>IF(A98="","",IF(COUNTIFS('Lots'!$A$6:$A$105,C98)=1,VLOOKUP(C98,'Lots'!$A$6:$O$105,10,FALSE),"Unknown lot"))</x:f>
      </x:c>
      <x:c r="O98" s="37" t="str">
        <x:f>IF(A98="","",IF(ISNUMBER(N98),E98*N98,"Cost missing"))</x:f>
      </x:c>
      <x:c r="P98" s="37" t="str">
        <x:f>IF(A98="","",IF(ISNUMBER(N98),F98*N98,"Cost missing"))</x:f>
      </x:c>
      <x:c r="Q98" s="42" t="str">
        <x:f>IF(A98="","",IF(COUNTIFS($A$6:$A$205,A98)&lt;&gt;1,"Duplicate ID",IF(OR(NOT(ISNUMBER(B98)),G98="",H98="",J98="",E98&lt;0,F98&lt;0,AND(E98&gt;0,F98&gt;0),E98+F98&lt;=0),"Check required inputs",IF(OR(L98="Unknown lot",NOT(ISNUMBER(N98))),"Lot/cost incomplete",IF(AND(I98="Approved",OR(K98="",K98=J98)),"Independent review needed","OK")))))</x:f>
      </x:c>
    </x:row>
    <x:row r="99" ht="23" customHeight="1">
      <x:c r="A99" s="36"/>
      <x:c r="B99" s="40"/>
      <x:c r="C99" s="36"/>
      <x:c r="D99" s="36"/>
      <x:c r="E99" s="41"/>
      <x:c r="F99" s="41"/>
      <x:c r="G99" s="36"/>
      <x:c r="H99" s="36"/>
      <x:c r="I99" s="36"/>
      <x:c r="J99" s="36"/>
      <x:c r="K99" s="36"/>
      <x:c r="L99" s="42" t="str">
        <x:f>IF(A99="","",IF(COUNTIFS('Lots'!$A$6:$A$105,C99)=1,VLOOKUP(C99,'Lots'!$A$6:$O$105,2,FALSE),"Unknown lot"))</x:f>
      </x:c>
      <x:c r="M99" s="42" t="str">
        <x:f>IF(A99="","",IF(COUNTIFS('Lots'!$A$6:$A$105,C99)=1,VLOOKUP(C99,'Lots'!$A$6:$O$105,15,FALSE),"Unknown lot"))</x:f>
      </x:c>
      <x:c r="N99" s="37" t="str">
        <x:f>IF(A99="","",IF(COUNTIFS('Lots'!$A$6:$A$105,C99)=1,VLOOKUP(C99,'Lots'!$A$6:$O$105,10,FALSE),"Unknown lot"))</x:f>
      </x:c>
      <x:c r="O99" s="37" t="str">
        <x:f>IF(A99="","",IF(ISNUMBER(N99),E99*N99,"Cost missing"))</x:f>
      </x:c>
      <x:c r="P99" s="37" t="str">
        <x:f>IF(A99="","",IF(ISNUMBER(N99),F99*N99,"Cost missing"))</x:f>
      </x:c>
      <x:c r="Q99" s="42" t="str">
        <x:f>IF(A99="","",IF(COUNTIFS($A$6:$A$205,A99)&lt;&gt;1,"Duplicate ID",IF(OR(NOT(ISNUMBER(B99)),G99="",H99="",J99="",E99&lt;0,F99&lt;0,AND(E99&gt;0,F99&gt;0),E99+F99&lt;=0),"Check required inputs",IF(OR(L99="Unknown lot",NOT(ISNUMBER(N99))),"Lot/cost incomplete",IF(AND(I99="Approved",OR(K99="",K99=J99)),"Independent review needed","OK")))))</x:f>
      </x:c>
    </x:row>
    <x:row r="100" ht="23" customHeight="1">
      <x:c r="A100" s="36"/>
      <x:c r="B100" s="40"/>
      <x:c r="C100" s="36"/>
      <x:c r="D100" s="36"/>
      <x:c r="E100" s="41"/>
      <x:c r="F100" s="41"/>
      <x:c r="G100" s="36"/>
      <x:c r="H100" s="36"/>
      <x:c r="I100" s="36"/>
      <x:c r="J100" s="36"/>
      <x:c r="K100" s="36"/>
      <x:c r="L100" s="42" t="str">
        <x:f>IF(A100="","",IF(COUNTIFS('Lots'!$A$6:$A$105,C100)=1,VLOOKUP(C100,'Lots'!$A$6:$O$105,2,FALSE),"Unknown lot"))</x:f>
      </x:c>
      <x:c r="M100" s="42" t="str">
        <x:f>IF(A100="","",IF(COUNTIFS('Lots'!$A$6:$A$105,C100)=1,VLOOKUP(C100,'Lots'!$A$6:$O$105,15,FALSE),"Unknown lot"))</x:f>
      </x:c>
      <x:c r="N100" s="37" t="str">
        <x:f>IF(A100="","",IF(COUNTIFS('Lots'!$A$6:$A$105,C100)=1,VLOOKUP(C100,'Lots'!$A$6:$O$105,10,FALSE),"Unknown lot"))</x:f>
      </x:c>
      <x:c r="O100" s="37" t="str">
        <x:f>IF(A100="","",IF(ISNUMBER(N100),E100*N100,"Cost missing"))</x:f>
      </x:c>
      <x:c r="P100" s="37" t="str">
        <x:f>IF(A100="","",IF(ISNUMBER(N100),F100*N100,"Cost missing"))</x:f>
      </x:c>
      <x:c r="Q100" s="42" t="str">
        <x:f>IF(A100="","",IF(COUNTIFS($A$6:$A$205,A100)&lt;&gt;1,"Duplicate ID",IF(OR(NOT(ISNUMBER(B100)),G100="",H100="",J100="",E100&lt;0,F100&lt;0,AND(E100&gt;0,F100&gt;0),E100+F100&lt;=0),"Check required inputs",IF(OR(L100="Unknown lot",NOT(ISNUMBER(N100))),"Lot/cost incomplete",IF(AND(I100="Approved",OR(K100="",K100=J100)),"Independent review needed","OK")))))</x:f>
      </x:c>
    </x:row>
    <x:row r="101" ht="23" customHeight="1">
      <x:c r="A101" s="36"/>
      <x:c r="B101" s="40"/>
      <x:c r="C101" s="36"/>
      <x:c r="D101" s="36"/>
      <x:c r="E101" s="41"/>
      <x:c r="F101" s="41"/>
      <x:c r="G101" s="36"/>
      <x:c r="H101" s="36"/>
      <x:c r="I101" s="36"/>
      <x:c r="J101" s="36"/>
      <x:c r="K101" s="36"/>
      <x:c r="L101" s="42" t="str">
        <x:f>IF(A101="","",IF(COUNTIFS('Lots'!$A$6:$A$105,C101)=1,VLOOKUP(C101,'Lots'!$A$6:$O$105,2,FALSE),"Unknown lot"))</x:f>
      </x:c>
      <x:c r="M101" s="42" t="str">
        <x:f>IF(A101="","",IF(COUNTIFS('Lots'!$A$6:$A$105,C101)=1,VLOOKUP(C101,'Lots'!$A$6:$O$105,15,FALSE),"Unknown lot"))</x:f>
      </x:c>
      <x:c r="N101" s="37" t="str">
        <x:f>IF(A101="","",IF(COUNTIFS('Lots'!$A$6:$A$105,C101)=1,VLOOKUP(C101,'Lots'!$A$6:$O$105,10,FALSE),"Unknown lot"))</x:f>
      </x:c>
      <x:c r="O101" s="37" t="str">
        <x:f>IF(A101="","",IF(ISNUMBER(N101),E101*N101,"Cost missing"))</x:f>
      </x:c>
      <x:c r="P101" s="37" t="str">
        <x:f>IF(A101="","",IF(ISNUMBER(N101),F101*N101,"Cost missing"))</x:f>
      </x:c>
      <x:c r="Q101" s="42" t="str">
        <x:f>IF(A101="","",IF(COUNTIFS($A$6:$A$205,A101)&lt;&gt;1,"Duplicate ID",IF(OR(NOT(ISNUMBER(B101)),G101="",H101="",J101="",E101&lt;0,F101&lt;0,AND(E101&gt;0,F101&gt;0),E101+F101&lt;=0),"Check required inputs",IF(OR(L101="Unknown lot",NOT(ISNUMBER(N101))),"Lot/cost incomplete",IF(AND(I101="Approved",OR(K101="",K101=J101)),"Independent review needed","OK")))))</x:f>
      </x:c>
    </x:row>
    <x:row r="102" ht="23" customHeight="1">
      <x:c r="A102" s="36"/>
      <x:c r="B102" s="40"/>
      <x:c r="C102" s="36"/>
      <x:c r="D102" s="36"/>
      <x:c r="E102" s="41"/>
      <x:c r="F102" s="41"/>
      <x:c r="G102" s="36"/>
      <x:c r="H102" s="36"/>
      <x:c r="I102" s="36"/>
      <x:c r="J102" s="36"/>
      <x:c r="K102" s="36"/>
      <x:c r="L102" s="42" t="str">
        <x:f>IF(A102="","",IF(COUNTIFS('Lots'!$A$6:$A$105,C102)=1,VLOOKUP(C102,'Lots'!$A$6:$O$105,2,FALSE),"Unknown lot"))</x:f>
      </x:c>
      <x:c r="M102" s="42" t="str">
        <x:f>IF(A102="","",IF(COUNTIFS('Lots'!$A$6:$A$105,C102)=1,VLOOKUP(C102,'Lots'!$A$6:$O$105,15,FALSE),"Unknown lot"))</x:f>
      </x:c>
      <x:c r="N102" s="37" t="str">
        <x:f>IF(A102="","",IF(COUNTIFS('Lots'!$A$6:$A$105,C102)=1,VLOOKUP(C102,'Lots'!$A$6:$O$105,10,FALSE),"Unknown lot"))</x:f>
      </x:c>
      <x:c r="O102" s="37" t="str">
        <x:f>IF(A102="","",IF(ISNUMBER(N102),E102*N102,"Cost missing"))</x:f>
      </x:c>
      <x:c r="P102" s="37" t="str">
        <x:f>IF(A102="","",IF(ISNUMBER(N102),F102*N102,"Cost missing"))</x:f>
      </x:c>
      <x:c r="Q102" s="42" t="str">
        <x:f>IF(A102="","",IF(COUNTIFS($A$6:$A$205,A102)&lt;&gt;1,"Duplicate ID",IF(OR(NOT(ISNUMBER(B102)),G102="",H102="",J102="",E102&lt;0,F102&lt;0,AND(E102&gt;0,F102&gt;0),E102+F102&lt;=0),"Check required inputs",IF(OR(L102="Unknown lot",NOT(ISNUMBER(N102))),"Lot/cost incomplete",IF(AND(I102="Approved",OR(K102="",K102=J102)),"Independent review needed","OK")))))</x:f>
      </x:c>
    </x:row>
    <x:row r="103" ht="23" customHeight="1">
      <x:c r="A103" s="36"/>
      <x:c r="B103" s="40"/>
      <x:c r="C103" s="36"/>
      <x:c r="D103" s="36"/>
      <x:c r="E103" s="41"/>
      <x:c r="F103" s="41"/>
      <x:c r="G103" s="36"/>
      <x:c r="H103" s="36"/>
      <x:c r="I103" s="36"/>
      <x:c r="J103" s="36"/>
      <x:c r="K103" s="36"/>
      <x:c r="L103" s="42" t="str">
        <x:f>IF(A103="","",IF(COUNTIFS('Lots'!$A$6:$A$105,C103)=1,VLOOKUP(C103,'Lots'!$A$6:$O$105,2,FALSE),"Unknown lot"))</x:f>
      </x:c>
      <x:c r="M103" s="42" t="str">
        <x:f>IF(A103="","",IF(COUNTIFS('Lots'!$A$6:$A$105,C103)=1,VLOOKUP(C103,'Lots'!$A$6:$O$105,15,FALSE),"Unknown lot"))</x:f>
      </x:c>
      <x:c r="N103" s="37" t="str">
        <x:f>IF(A103="","",IF(COUNTIFS('Lots'!$A$6:$A$105,C103)=1,VLOOKUP(C103,'Lots'!$A$6:$O$105,10,FALSE),"Unknown lot"))</x:f>
      </x:c>
      <x:c r="O103" s="37" t="str">
        <x:f>IF(A103="","",IF(ISNUMBER(N103),E103*N103,"Cost missing"))</x:f>
      </x:c>
      <x:c r="P103" s="37" t="str">
        <x:f>IF(A103="","",IF(ISNUMBER(N103),F103*N103,"Cost missing"))</x:f>
      </x:c>
      <x:c r="Q103" s="42" t="str">
        <x:f>IF(A103="","",IF(COUNTIFS($A$6:$A$205,A103)&lt;&gt;1,"Duplicate ID",IF(OR(NOT(ISNUMBER(B103)),G103="",H103="",J103="",E103&lt;0,F103&lt;0,AND(E103&gt;0,F103&gt;0),E103+F103&lt;=0),"Check required inputs",IF(OR(L103="Unknown lot",NOT(ISNUMBER(N103))),"Lot/cost incomplete",IF(AND(I103="Approved",OR(K103="",K103=J103)),"Independent review needed","OK")))))</x:f>
      </x:c>
    </x:row>
    <x:row r="104" ht="23" customHeight="1">
      <x:c r="A104" s="36"/>
      <x:c r="B104" s="40"/>
      <x:c r="C104" s="36"/>
      <x:c r="D104" s="36"/>
      <x:c r="E104" s="41"/>
      <x:c r="F104" s="41"/>
      <x:c r="G104" s="36"/>
      <x:c r="H104" s="36"/>
      <x:c r="I104" s="36"/>
      <x:c r="J104" s="36"/>
      <x:c r="K104" s="36"/>
      <x:c r="L104" s="42" t="str">
        <x:f>IF(A104="","",IF(COUNTIFS('Lots'!$A$6:$A$105,C104)=1,VLOOKUP(C104,'Lots'!$A$6:$O$105,2,FALSE),"Unknown lot"))</x:f>
      </x:c>
      <x:c r="M104" s="42" t="str">
        <x:f>IF(A104="","",IF(COUNTIFS('Lots'!$A$6:$A$105,C104)=1,VLOOKUP(C104,'Lots'!$A$6:$O$105,15,FALSE),"Unknown lot"))</x:f>
      </x:c>
      <x:c r="N104" s="37" t="str">
        <x:f>IF(A104="","",IF(COUNTIFS('Lots'!$A$6:$A$105,C104)=1,VLOOKUP(C104,'Lots'!$A$6:$O$105,10,FALSE),"Unknown lot"))</x:f>
      </x:c>
      <x:c r="O104" s="37" t="str">
        <x:f>IF(A104="","",IF(ISNUMBER(N104),E104*N104,"Cost missing"))</x:f>
      </x:c>
      <x:c r="P104" s="37" t="str">
        <x:f>IF(A104="","",IF(ISNUMBER(N104),F104*N104,"Cost missing"))</x:f>
      </x:c>
      <x:c r="Q104" s="42" t="str">
        <x:f>IF(A104="","",IF(COUNTIFS($A$6:$A$205,A104)&lt;&gt;1,"Duplicate ID",IF(OR(NOT(ISNUMBER(B104)),G104="",H104="",J104="",E104&lt;0,F104&lt;0,AND(E104&gt;0,F104&gt;0),E104+F104&lt;=0),"Check required inputs",IF(OR(L104="Unknown lot",NOT(ISNUMBER(N104))),"Lot/cost incomplete",IF(AND(I104="Approved",OR(K104="",K104=J104)),"Independent review needed","OK")))))</x:f>
      </x:c>
    </x:row>
    <x:row r="105" ht="23" customHeight="1">
      <x:c r="A105" s="36"/>
      <x:c r="B105" s="40"/>
      <x:c r="C105" s="36"/>
      <x:c r="D105" s="36"/>
      <x:c r="E105" s="41"/>
      <x:c r="F105" s="41"/>
      <x:c r="G105" s="36"/>
      <x:c r="H105" s="36"/>
      <x:c r="I105" s="36"/>
      <x:c r="J105" s="36"/>
      <x:c r="K105" s="36"/>
      <x:c r="L105" s="42" t="str">
        <x:f>IF(A105="","",IF(COUNTIFS('Lots'!$A$6:$A$105,C105)=1,VLOOKUP(C105,'Lots'!$A$6:$O$105,2,FALSE),"Unknown lot"))</x:f>
      </x:c>
      <x:c r="M105" s="42" t="str">
        <x:f>IF(A105="","",IF(COUNTIFS('Lots'!$A$6:$A$105,C105)=1,VLOOKUP(C105,'Lots'!$A$6:$O$105,15,FALSE),"Unknown lot"))</x:f>
      </x:c>
      <x:c r="N105" s="37" t="str">
        <x:f>IF(A105="","",IF(COUNTIFS('Lots'!$A$6:$A$105,C105)=1,VLOOKUP(C105,'Lots'!$A$6:$O$105,10,FALSE),"Unknown lot"))</x:f>
      </x:c>
      <x:c r="O105" s="37" t="str">
        <x:f>IF(A105="","",IF(ISNUMBER(N105),E105*N105,"Cost missing"))</x:f>
      </x:c>
      <x:c r="P105" s="37" t="str">
        <x:f>IF(A105="","",IF(ISNUMBER(N105),F105*N105,"Cost missing"))</x:f>
      </x:c>
      <x:c r="Q105" s="42" t="str">
        <x:f>IF(A105="","",IF(COUNTIFS($A$6:$A$205,A105)&lt;&gt;1,"Duplicate ID",IF(OR(NOT(ISNUMBER(B105)),G105="",H105="",J105="",E105&lt;0,F105&lt;0,AND(E105&gt;0,F105&gt;0),E105+F105&lt;=0),"Check required inputs",IF(OR(L105="Unknown lot",NOT(ISNUMBER(N105))),"Lot/cost incomplete",IF(AND(I105="Approved",OR(K105="",K105=J105)),"Independent review needed","OK")))))</x:f>
      </x:c>
    </x:row>
    <x:row r="106" ht="23" customHeight="1">
      <x:c r="A106" s="36"/>
      <x:c r="B106" s="40"/>
      <x:c r="C106" s="36"/>
      <x:c r="D106" s="36"/>
      <x:c r="E106" s="41"/>
      <x:c r="F106" s="41"/>
      <x:c r="G106" s="36"/>
      <x:c r="H106" s="36"/>
      <x:c r="I106" s="36"/>
      <x:c r="J106" s="36"/>
      <x:c r="K106" s="36"/>
      <x:c r="L106" s="42" t="str">
        <x:f>IF(A106="","",IF(COUNTIFS('Lots'!$A$6:$A$105,C106)=1,VLOOKUP(C106,'Lots'!$A$6:$O$105,2,FALSE),"Unknown lot"))</x:f>
      </x:c>
      <x:c r="M106" s="42" t="str">
        <x:f>IF(A106="","",IF(COUNTIFS('Lots'!$A$6:$A$105,C106)=1,VLOOKUP(C106,'Lots'!$A$6:$O$105,15,FALSE),"Unknown lot"))</x:f>
      </x:c>
      <x:c r="N106" s="37" t="str">
        <x:f>IF(A106="","",IF(COUNTIFS('Lots'!$A$6:$A$105,C106)=1,VLOOKUP(C106,'Lots'!$A$6:$O$105,10,FALSE),"Unknown lot"))</x:f>
      </x:c>
      <x:c r="O106" s="37" t="str">
        <x:f>IF(A106="","",IF(ISNUMBER(N106),E106*N106,"Cost missing"))</x:f>
      </x:c>
      <x:c r="P106" s="37" t="str">
        <x:f>IF(A106="","",IF(ISNUMBER(N106),F106*N106,"Cost missing"))</x:f>
      </x:c>
      <x:c r="Q106" s="42" t="str">
        <x:f>IF(A106="","",IF(COUNTIFS($A$6:$A$205,A106)&lt;&gt;1,"Duplicate ID",IF(OR(NOT(ISNUMBER(B106)),G106="",H106="",J106="",E106&lt;0,F106&lt;0,AND(E106&gt;0,F106&gt;0),E106+F106&lt;=0),"Check required inputs",IF(OR(L106="Unknown lot",NOT(ISNUMBER(N106))),"Lot/cost incomplete",IF(AND(I106="Approved",OR(K106="",K106=J106)),"Independent review needed","OK")))))</x:f>
      </x:c>
    </x:row>
    <x:row r="107" ht="23" customHeight="1">
      <x:c r="A107" s="36"/>
      <x:c r="B107" s="40"/>
      <x:c r="C107" s="36"/>
      <x:c r="D107" s="36"/>
      <x:c r="E107" s="41"/>
      <x:c r="F107" s="41"/>
      <x:c r="G107" s="36"/>
      <x:c r="H107" s="36"/>
      <x:c r="I107" s="36"/>
      <x:c r="J107" s="36"/>
      <x:c r="K107" s="36"/>
      <x:c r="L107" s="42" t="str">
        <x:f>IF(A107="","",IF(COUNTIFS('Lots'!$A$6:$A$105,C107)=1,VLOOKUP(C107,'Lots'!$A$6:$O$105,2,FALSE),"Unknown lot"))</x:f>
      </x:c>
      <x:c r="M107" s="42" t="str">
        <x:f>IF(A107="","",IF(COUNTIFS('Lots'!$A$6:$A$105,C107)=1,VLOOKUP(C107,'Lots'!$A$6:$O$105,15,FALSE),"Unknown lot"))</x:f>
      </x:c>
      <x:c r="N107" s="37" t="str">
        <x:f>IF(A107="","",IF(COUNTIFS('Lots'!$A$6:$A$105,C107)=1,VLOOKUP(C107,'Lots'!$A$6:$O$105,10,FALSE),"Unknown lot"))</x:f>
      </x:c>
      <x:c r="O107" s="37" t="str">
        <x:f>IF(A107="","",IF(ISNUMBER(N107),E107*N107,"Cost missing"))</x:f>
      </x:c>
      <x:c r="P107" s="37" t="str">
        <x:f>IF(A107="","",IF(ISNUMBER(N107),F107*N107,"Cost missing"))</x:f>
      </x:c>
      <x:c r="Q107" s="42" t="str">
        <x:f>IF(A107="","",IF(COUNTIFS($A$6:$A$205,A107)&lt;&gt;1,"Duplicate ID",IF(OR(NOT(ISNUMBER(B107)),G107="",H107="",J107="",E107&lt;0,F107&lt;0,AND(E107&gt;0,F107&gt;0),E107+F107&lt;=0),"Check required inputs",IF(OR(L107="Unknown lot",NOT(ISNUMBER(N107))),"Lot/cost incomplete",IF(AND(I107="Approved",OR(K107="",K107=J107)),"Independent review needed","OK")))))</x:f>
      </x:c>
    </x:row>
    <x:row r="108" ht="23" customHeight="1">
      <x:c r="A108" s="36"/>
      <x:c r="B108" s="40"/>
      <x:c r="C108" s="36"/>
      <x:c r="D108" s="36"/>
      <x:c r="E108" s="41"/>
      <x:c r="F108" s="41"/>
      <x:c r="G108" s="36"/>
      <x:c r="H108" s="36"/>
      <x:c r="I108" s="36"/>
      <x:c r="J108" s="36"/>
      <x:c r="K108" s="36"/>
      <x:c r="L108" s="42" t="str">
        <x:f>IF(A108="","",IF(COUNTIFS('Lots'!$A$6:$A$105,C108)=1,VLOOKUP(C108,'Lots'!$A$6:$O$105,2,FALSE),"Unknown lot"))</x:f>
      </x:c>
      <x:c r="M108" s="42" t="str">
        <x:f>IF(A108="","",IF(COUNTIFS('Lots'!$A$6:$A$105,C108)=1,VLOOKUP(C108,'Lots'!$A$6:$O$105,15,FALSE),"Unknown lot"))</x:f>
      </x:c>
      <x:c r="N108" s="37" t="str">
        <x:f>IF(A108="","",IF(COUNTIFS('Lots'!$A$6:$A$105,C108)=1,VLOOKUP(C108,'Lots'!$A$6:$O$105,10,FALSE),"Unknown lot"))</x:f>
      </x:c>
      <x:c r="O108" s="37" t="str">
        <x:f>IF(A108="","",IF(ISNUMBER(N108),E108*N108,"Cost missing"))</x:f>
      </x:c>
      <x:c r="P108" s="37" t="str">
        <x:f>IF(A108="","",IF(ISNUMBER(N108),F108*N108,"Cost missing"))</x:f>
      </x:c>
      <x:c r="Q108" s="42" t="str">
        <x:f>IF(A108="","",IF(COUNTIFS($A$6:$A$205,A108)&lt;&gt;1,"Duplicate ID",IF(OR(NOT(ISNUMBER(B108)),G108="",H108="",J108="",E108&lt;0,F108&lt;0,AND(E108&gt;0,F108&gt;0),E108+F108&lt;=0),"Check required inputs",IF(OR(L108="Unknown lot",NOT(ISNUMBER(N108))),"Lot/cost incomplete",IF(AND(I108="Approved",OR(K108="",K108=J108)),"Independent review needed","OK")))))</x:f>
      </x:c>
    </x:row>
    <x:row r="109" ht="23" customHeight="1">
      <x:c r="A109" s="36"/>
      <x:c r="B109" s="40"/>
      <x:c r="C109" s="36"/>
      <x:c r="D109" s="36"/>
      <x:c r="E109" s="41"/>
      <x:c r="F109" s="41"/>
      <x:c r="G109" s="36"/>
      <x:c r="H109" s="36"/>
      <x:c r="I109" s="36"/>
      <x:c r="J109" s="36"/>
      <x:c r="K109" s="36"/>
      <x:c r="L109" s="42" t="str">
        <x:f>IF(A109="","",IF(COUNTIFS('Lots'!$A$6:$A$105,C109)=1,VLOOKUP(C109,'Lots'!$A$6:$O$105,2,FALSE),"Unknown lot"))</x:f>
      </x:c>
      <x:c r="M109" s="42" t="str">
        <x:f>IF(A109="","",IF(COUNTIFS('Lots'!$A$6:$A$105,C109)=1,VLOOKUP(C109,'Lots'!$A$6:$O$105,15,FALSE),"Unknown lot"))</x:f>
      </x:c>
      <x:c r="N109" s="37" t="str">
        <x:f>IF(A109="","",IF(COUNTIFS('Lots'!$A$6:$A$105,C109)=1,VLOOKUP(C109,'Lots'!$A$6:$O$105,10,FALSE),"Unknown lot"))</x:f>
      </x:c>
      <x:c r="O109" s="37" t="str">
        <x:f>IF(A109="","",IF(ISNUMBER(N109),E109*N109,"Cost missing"))</x:f>
      </x:c>
      <x:c r="P109" s="37" t="str">
        <x:f>IF(A109="","",IF(ISNUMBER(N109),F109*N109,"Cost missing"))</x:f>
      </x:c>
      <x:c r="Q109" s="42" t="str">
        <x:f>IF(A109="","",IF(COUNTIFS($A$6:$A$205,A109)&lt;&gt;1,"Duplicate ID",IF(OR(NOT(ISNUMBER(B109)),G109="",H109="",J109="",E109&lt;0,F109&lt;0,AND(E109&gt;0,F109&gt;0),E109+F109&lt;=0),"Check required inputs",IF(OR(L109="Unknown lot",NOT(ISNUMBER(N109))),"Lot/cost incomplete",IF(AND(I109="Approved",OR(K109="",K109=J109)),"Independent review needed","OK")))))</x:f>
      </x:c>
    </x:row>
    <x:row r="110" ht="23" customHeight="1">
      <x:c r="A110" s="36"/>
      <x:c r="B110" s="40"/>
      <x:c r="C110" s="36"/>
      <x:c r="D110" s="36"/>
      <x:c r="E110" s="41"/>
      <x:c r="F110" s="41"/>
      <x:c r="G110" s="36"/>
      <x:c r="H110" s="36"/>
      <x:c r="I110" s="36"/>
      <x:c r="J110" s="36"/>
      <x:c r="K110" s="36"/>
      <x:c r="L110" s="42" t="str">
        <x:f>IF(A110="","",IF(COUNTIFS('Lots'!$A$6:$A$105,C110)=1,VLOOKUP(C110,'Lots'!$A$6:$O$105,2,FALSE),"Unknown lot"))</x:f>
      </x:c>
      <x:c r="M110" s="42" t="str">
        <x:f>IF(A110="","",IF(COUNTIFS('Lots'!$A$6:$A$105,C110)=1,VLOOKUP(C110,'Lots'!$A$6:$O$105,15,FALSE),"Unknown lot"))</x:f>
      </x:c>
      <x:c r="N110" s="37" t="str">
        <x:f>IF(A110="","",IF(COUNTIFS('Lots'!$A$6:$A$105,C110)=1,VLOOKUP(C110,'Lots'!$A$6:$O$105,10,FALSE),"Unknown lot"))</x:f>
      </x:c>
      <x:c r="O110" s="37" t="str">
        <x:f>IF(A110="","",IF(ISNUMBER(N110),E110*N110,"Cost missing"))</x:f>
      </x:c>
      <x:c r="P110" s="37" t="str">
        <x:f>IF(A110="","",IF(ISNUMBER(N110),F110*N110,"Cost missing"))</x:f>
      </x:c>
      <x:c r="Q110" s="42" t="str">
        <x:f>IF(A110="","",IF(COUNTIFS($A$6:$A$205,A110)&lt;&gt;1,"Duplicate ID",IF(OR(NOT(ISNUMBER(B110)),G110="",H110="",J110="",E110&lt;0,F110&lt;0,AND(E110&gt;0,F110&gt;0),E110+F110&lt;=0),"Check required inputs",IF(OR(L110="Unknown lot",NOT(ISNUMBER(N110))),"Lot/cost incomplete",IF(AND(I110="Approved",OR(K110="",K110=J110)),"Independent review needed","OK")))))</x:f>
      </x:c>
    </x:row>
    <x:row r="111" ht="23" customHeight="1">
      <x:c r="A111" s="36"/>
      <x:c r="B111" s="40"/>
      <x:c r="C111" s="36"/>
      <x:c r="D111" s="36"/>
      <x:c r="E111" s="41"/>
      <x:c r="F111" s="41"/>
      <x:c r="G111" s="36"/>
      <x:c r="H111" s="36"/>
      <x:c r="I111" s="36"/>
      <x:c r="J111" s="36"/>
      <x:c r="K111" s="36"/>
      <x:c r="L111" s="42" t="str">
        <x:f>IF(A111="","",IF(COUNTIFS('Lots'!$A$6:$A$105,C111)=1,VLOOKUP(C111,'Lots'!$A$6:$O$105,2,FALSE),"Unknown lot"))</x:f>
      </x:c>
      <x:c r="M111" s="42" t="str">
        <x:f>IF(A111="","",IF(COUNTIFS('Lots'!$A$6:$A$105,C111)=1,VLOOKUP(C111,'Lots'!$A$6:$O$105,15,FALSE),"Unknown lot"))</x:f>
      </x:c>
      <x:c r="N111" s="37" t="str">
        <x:f>IF(A111="","",IF(COUNTIFS('Lots'!$A$6:$A$105,C111)=1,VLOOKUP(C111,'Lots'!$A$6:$O$105,10,FALSE),"Unknown lot"))</x:f>
      </x:c>
      <x:c r="O111" s="37" t="str">
        <x:f>IF(A111="","",IF(ISNUMBER(N111),E111*N111,"Cost missing"))</x:f>
      </x:c>
      <x:c r="P111" s="37" t="str">
        <x:f>IF(A111="","",IF(ISNUMBER(N111),F111*N111,"Cost missing"))</x:f>
      </x:c>
      <x:c r="Q111" s="42" t="str">
        <x:f>IF(A111="","",IF(COUNTIFS($A$6:$A$205,A111)&lt;&gt;1,"Duplicate ID",IF(OR(NOT(ISNUMBER(B111)),G111="",H111="",J111="",E111&lt;0,F111&lt;0,AND(E111&gt;0,F111&gt;0),E111+F111&lt;=0),"Check required inputs",IF(OR(L111="Unknown lot",NOT(ISNUMBER(N111))),"Lot/cost incomplete",IF(AND(I111="Approved",OR(K111="",K111=J111)),"Independent review needed","OK")))))</x:f>
      </x:c>
    </x:row>
    <x:row r="112" ht="23" customHeight="1">
      <x:c r="A112" s="36"/>
      <x:c r="B112" s="40"/>
      <x:c r="C112" s="36"/>
      <x:c r="D112" s="36"/>
      <x:c r="E112" s="41"/>
      <x:c r="F112" s="41"/>
      <x:c r="G112" s="36"/>
      <x:c r="H112" s="36"/>
      <x:c r="I112" s="36"/>
      <x:c r="J112" s="36"/>
      <x:c r="K112" s="36"/>
      <x:c r="L112" s="42" t="str">
        <x:f>IF(A112="","",IF(COUNTIFS('Lots'!$A$6:$A$105,C112)=1,VLOOKUP(C112,'Lots'!$A$6:$O$105,2,FALSE),"Unknown lot"))</x:f>
      </x:c>
      <x:c r="M112" s="42" t="str">
        <x:f>IF(A112="","",IF(COUNTIFS('Lots'!$A$6:$A$105,C112)=1,VLOOKUP(C112,'Lots'!$A$6:$O$105,15,FALSE),"Unknown lot"))</x:f>
      </x:c>
      <x:c r="N112" s="37" t="str">
        <x:f>IF(A112="","",IF(COUNTIFS('Lots'!$A$6:$A$105,C112)=1,VLOOKUP(C112,'Lots'!$A$6:$O$105,10,FALSE),"Unknown lot"))</x:f>
      </x:c>
      <x:c r="O112" s="37" t="str">
        <x:f>IF(A112="","",IF(ISNUMBER(N112),E112*N112,"Cost missing"))</x:f>
      </x:c>
      <x:c r="P112" s="37" t="str">
        <x:f>IF(A112="","",IF(ISNUMBER(N112),F112*N112,"Cost missing"))</x:f>
      </x:c>
      <x:c r="Q112" s="42" t="str">
        <x:f>IF(A112="","",IF(COUNTIFS($A$6:$A$205,A112)&lt;&gt;1,"Duplicate ID",IF(OR(NOT(ISNUMBER(B112)),G112="",H112="",J112="",E112&lt;0,F112&lt;0,AND(E112&gt;0,F112&gt;0),E112+F112&lt;=0),"Check required inputs",IF(OR(L112="Unknown lot",NOT(ISNUMBER(N112))),"Lot/cost incomplete",IF(AND(I112="Approved",OR(K112="",K112=J112)),"Independent review needed","OK")))))</x:f>
      </x:c>
    </x:row>
    <x:row r="113" ht="23" customHeight="1">
      <x:c r="A113" s="36"/>
      <x:c r="B113" s="40"/>
      <x:c r="C113" s="36"/>
      <x:c r="D113" s="36"/>
      <x:c r="E113" s="41"/>
      <x:c r="F113" s="41"/>
      <x:c r="G113" s="36"/>
      <x:c r="H113" s="36"/>
      <x:c r="I113" s="36"/>
      <x:c r="J113" s="36"/>
      <x:c r="K113" s="36"/>
      <x:c r="L113" s="42" t="str">
        <x:f>IF(A113="","",IF(COUNTIFS('Lots'!$A$6:$A$105,C113)=1,VLOOKUP(C113,'Lots'!$A$6:$O$105,2,FALSE),"Unknown lot"))</x:f>
      </x:c>
      <x:c r="M113" s="42" t="str">
        <x:f>IF(A113="","",IF(COUNTIFS('Lots'!$A$6:$A$105,C113)=1,VLOOKUP(C113,'Lots'!$A$6:$O$105,15,FALSE),"Unknown lot"))</x:f>
      </x:c>
      <x:c r="N113" s="37" t="str">
        <x:f>IF(A113="","",IF(COUNTIFS('Lots'!$A$6:$A$105,C113)=1,VLOOKUP(C113,'Lots'!$A$6:$O$105,10,FALSE),"Unknown lot"))</x:f>
      </x:c>
      <x:c r="O113" s="37" t="str">
        <x:f>IF(A113="","",IF(ISNUMBER(N113),E113*N113,"Cost missing"))</x:f>
      </x:c>
      <x:c r="P113" s="37" t="str">
        <x:f>IF(A113="","",IF(ISNUMBER(N113),F113*N113,"Cost missing"))</x:f>
      </x:c>
      <x:c r="Q113" s="42" t="str">
        <x:f>IF(A113="","",IF(COUNTIFS($A$6:$A$205,A113)&lt;&gt;1,"Duplicate ID",IF(OR(NOT(ISNUMBER(B113)),G113="",H113="",J113="",E113&lt;0,F113&lt;0,AND(E113&gt;0,F113&gt;0),E113+F113&lt;=0),"Check required inputs",IF(OR(L113="Unknown lot",NOT(ISNUMBER(N113))),"Lot/cost incomplete",IF(AND(I113="Approved",OR(K113="",K113=J113)),"Independent review needed","OK")))))</x:f>
      </x:c>
    </x:row>
    <x:row r="114" ht="23" customHeight="1">
      <x:c r="A114" s="36"/>
      <x:c r="B114" s="40"/>
      <x:c r="C114" s="36"/>
      <x:c r="D114" s="36"/>
      <x:c r="E114" s="41"/>
      <x:c r="F114" s="41"/>
      <x:c r="G114" s="36"/>
      <x:c r="H114" s="36"/>
      <x:c r="I114" s="36"/>
      <x:c r="J114" s="36"/>
      <x:c r="K114" s="36"/>
      <x:c r="L114" s="42" t="str">
        <x:f>IF(A114="","",IF(COUNTIFS('Lots'!$A$6:$A$105,C114)=1,VLOOKUP(C114,'Lots'!$A$6:$O$105,2,FALSE),"Unknown lot"))</x:f>
      </x:c>
      <x:c r="M114" s="42" t="str">
        <x:f>IF(A114="","",IF(COUNTIFS('Lots'!$A$6:$A$105,C114)=1,VLOOKUP(C114,'Lots'!$A$6:$O$105,15,FALSE),"Unknown lot"))</x:f>
      </x:c>
      <x:c r="N114" s="37" t="str">
        <x:f>IF(A114="","",IF(COUNTIFS('Lots'!$A$6:$A$105,C114)=1,VLOOKUP(C114,'Lots'!$A$6:$O$105,10,FALSE),"Unknown lot"))</x:f>
      </x:c>
      <x:c r="O114" s="37" t="str">
        <x:f>IF(A114="","",IF(ISNUMBER(N114),E114*N114,"Cost missing"))</x:f>
      </x:c>
      <x:c r="P114" s="37" t="str">
        <x:f>IF(A114="","",IF(ISNUMBER(N114),F114*N114,"Cost missing"))</x:f>
      </x:c>
      <x:c r="Q114" s="42" t="str">
        <x:f>IF(A114="","",IF(COUNTIFS($A$6:$A$205,A114)&lt;&gt;1,"Duplicate ID",IF(OR(NOT(ISNUMBER(B114)),G114="",H114="",J114="",E114&lt;0,F114&lt;0,AND(E114&gt;0,F114&gt;0),E114+F114&lt;=0),"Check required inputs",IF(OR(L114="Unknown lot",NOT(ISNUMBER(N114))),"Lot/cost incomplete",IF(AND(I114="Approved",OR(K114="",K114=J114)),"Independent review needed","OK")))))</x:f>
      </x:c>
    </x:row>
    <x:row r="115" ht="23" customHeight="1">
      <x:c r="A115" s="36"/>
      <x:c r="B115" s="40"/>
      <x:c r="C115" s="36"/>
      <x:c r="D115" s="36"/>
      <x:c r="E115" s="41"/>
      <x:c r="F115" s="41"/>
      <x:c r="G115" s="36"/>
      <x:c r="H115" s="36"/>
      <x:c r="I115" s="36"/>
      <x:c r="J115" s="36"/>
      <x:c r="K115" s="36"/>
      <x:c r="L115" s="42" t="str">
        <x:f>IF(A115="","",IF(COUNTIFS('Lots'!$A$6:$A$105,C115)=1,VLOOKUP(C115,'Lots'!$A$6:$O$105,2,FALSE),"Unknown lot"))</x:f>
      </x:c>
      <x:c r="M115" s="42" t="str">
        <x:f>IF(A115="","",IF(COUNTIFS('Lots'!$A$6:$A$105,C115)=1,VLOOKUP(C115,'Lots'!$A$6:$O$105,15,FALSE),"Unknown lot"))</x:f>
      </x:c>
      <x:c r="N115" s="37" t="str">
        <x:f>IF(A115="","",IF(COUNTIFS('Lots'!$A$6:$A$105,C115)=1,VLOOKUP(C115,'Lots'!$A$6:$O$105,10,FALSE),"Unknown lot"))</x:f>
      </x:c>
      <x:c r="O115" s="37" t="str">
        <x:f>IF(A115="","",IF(ISNUMBER(N115),E115*N115,"Cost missing"))</x:f>
      </x:c>
      <x:c r="P115" s="37" t="str">
        <x:f>IF(A115="","",IF(ISNUMBER(N115),F115*N115,"Cost missing"))</x:f>
      </x:c>
      <x:c r="Q115" s="42" t="str">
        <x:f>IF(A115="","",IF(COUNTIFS($A$6:$A$205,A115)&lt;&gt;1,"Duplicate ID",IF(OR(NOT(ISNUMBER(B115)),G115="",H115="",J115="",E115&lt;0,F115&lt;0,AND(E115&gt;0,F115&gt;0),E115+F115&lt;=0),"Check required inputs",IF(OR(L115="Unknown lot",NOT(ISNUMBER(N115))),"Lot/cost incomplete",IF(AND(I115="Approved",OR(K115="",K115=J115)),"Independent review needed","OK")))))</x:f>
      </x:c>
    </x:row>
    <x:row r="116" ht="23" customHeight="1">
      <x:c r="A116" s="36"/>
      <x:c r="B116" s="40"/>
      <x:c r="C116" s="36"/>
      <x:c r="D116" s="36"/>
      <x:c r="E116" s="41"/>
      <x:c r="F116" s="41"/>
      <x:c r="G116" s="36"/>
      <x:c r="H116" s="36"/>
      <x:c r="I116" s="36"/>
      <x:c r="J116" s="36"/>
      <x:c r="K116" s="36"/>
      <x:c r="L116" s="42" t="str">
        <x:f>IF(A116="","",IF(COUNTIFS('Lots'!$A$6:$A$105,C116)=1,VLOOKUP(C116,'Lots'!$A$6:$O$105,2,FALSE),"Unknown lot"))</x:f>
      </x:c>
      <x:c r="M116" s="42" t="str">
        <x:f>IF(A116="","",IF(COUNTIFS('Lots'!$A$6:$A$105,C116)=1,VLOOKUP(C116,'Lots'!$A$6:$O$105,15,FALSE),"Unknown lot"))</x:f>
      </x:c>
      <x:c r="N116" s="37" t="str">
        <x:f>IF(A116="","",IF(COUNTIFS('Lots'!$A$6:$A$105,C116)=1,VLOOKUP(C116,'Lots'!$A$6:$O$105,10,FALSE),"Unknown lot"))</x:f>
      </x:c>
      <x:c r="O116" s="37" t="str">
        <x:f>IF(A116="","",IF(ISNUMBER(N116),E116*N116,"Cost missing"))</x:f>
      </x:c>
      <x:c r="P116" s="37" t="str">
        <x:f>IF(A116="","",IF(ISNUMBER(N116),F116*N116,"Cost missing"))</x:f>
      </x:c>
      <x:c r="Q116" s="42" t="str">
        <x:f>IF(A116="","",IF(COUNTIFS($A$6:$A$205,A116)&lt;&gt;1,"Duplicate ID",IF(OR(NOT(ISNUMBER(B116)),G116="",H116="",J116="",E116&lt;0,F116&lt;0,AND(E116&gt;0,F116&gt;0),E116+F116&lt;=0),"Check required inputs",IF(OR(L116="Unknown lot",NOT(ISNUMBER(N116))),"Lot/cost incomplete",IF(AND(I116="Approved",OR(K116="",K116=J116)),"Independent review needed","OK")))))</x:f>
      </x:c>
    </x:row>
    <x:row r="117" ht="23" customHeight="1">
      <x:c r="A117" s="36"/>
      <x:c r="B117" s="40"/>
      <x:c r="C117" s="36"/>
      <x:c r="D117" s="36"/>
      <x:c r="E117" s="41"/>
      <x:c r="F117" s="41"/>
      <x:c r="G117" s="36"/>
      <x:c r="H117" s="36"/>
      <x:c r="I117" s="36"/>
      <x:c r="J117" s="36"/>
      <x:c r="K117" s="36"/>
      <x:c r="L117" s="42" t="str">
        <x:f>IF(A117="","",IF(COUNTIFS('Lots'!$A$6:$A$105,C117)=1,VLOOKUP(C117,'Lots'!$A$6:$O$105,2,FALSE),"Unknown lot"))</x:f>
      </x:c>
      <x:c r="M117" s="42" t="str">
        <x:f>IF(A117="","",IF(COUNTIFS('Lots'!$A$6:$A$105,C117)=1,VLOOKUP(C117,'Lots'!$A$6:$O$105,15,FALSE),"Unknown lot"))</x:f>
      </x:c>
      <x:c r="N117" s="37" t="str">
        <x:f>IF(A117="","",IF(COUNTIFS('Lots'!$A$6:$A$105,C117)=1,VLOOKUP(C117,'Lots'!$A$6:$O$105,10,FALSE),"Unknown lot"))</x:f>
      </x:c>
      <x:c r="O117" s="37" t="str">
        <x:f>IF(A117="","",IF(ISNUMBER(N117),E117*N117,"Cost missing"))</x:f>
      </x:c>
      <x:c r="P117" s="37" t="str">
        <x:f>IF(A117="","",IF(ISNUMBER(N117),F117*N117,"Cost missing"))</x:f>
      </x:c>
      <x:c r="Q117" s="42" t="str">
        <x:f>IF(A117="","",IF(COUNTIFS($A$6:$A$205,A117)&lt;&gt;1,"Duplicate ID",IF(OR(NOT(ISNUMBER(B117)),G117="",H117="",J117="",E117&lt;0,F117&lt;0,AND(E117&gt;0,F117&gt;0),E117+F117&lt;=0),"Check required inputs",IF(OR(L117="Unknown lot",NOT(ISNUMBER(N117))),"Lot/cost incomplete",IF(AND(I117="Approved",OR(K117="",K117=J117)),"Independent review needed","OK")))))</x:f>
      </x:c>
    </x:row>
    <x:row r="118" ht="23" customHeight="1">
      <x:c r="A118" s="36"/>
      <x:c r="B118" s="40"/>
      <x:c r="C118" s="36"/>
      <x:c r="D118" s="36"/>
      <x:c r="E118" s="41"/>
      <x:c r="F118" s="41"/>
      <x:c r="G118" s="36"/>
      <x:c r="H118" s="36"/>
      <x:c r="I118" s="36"/>
      <x:c r="J118" s="36"/>
      <x:c r="K118" s="36"/>
      <x:c r="L118" s="42" t="str">
        <x:f>IF(A118="","",IF(COUNTIFS('Lots'!$A$6:$A$105,C118)=1,VLOOKUP(C118,'Lots'!$A$6:$O$105,2,FALSE),"Unknown lot"))</x:f>
      </x:c>
      <x:c r="M118" s="42" t="str">
        <x:f>IF(A118="","",IF(COUNTIFS('Lots'!$A$6:$A$105,C118)=1,VLOOKUP(C118,'Lots'!$A$6:$O$105,15,FALSE),"Unknown lot"))</x:f>
      </x:c>
      <x:c r="N118" s="37" t="str">
        <x:f>IF(A118="","",IF(COUNTIFS('Lots'!$A$6:$A$105,C118)=1,VLOOKUP(C118,'Lots'!$A$6:$O$105,10,FALSE),"Unknown lot"))</x:f>
      </x:c>
      <x:c r="O118" s="37" t="str">
        <x:f>IF(A118="","",IF(ISNUMBER(N118),E118*N118,"Cost missing"))</x:f>
      </x:c>
      <x:c r="P118" s="37" t="str">
        <x:f>IF(A118="","",IF(ISNUMBER(N118),F118*N118,"Cost missing"))</x:f>
      </x:c>
      <x:c r="Q118" s="42" t="str">
        <x:f>IF(A118="","",IF(COUNTIFS($A$6:$A$205,A118)&lt;&gt;1,"Duplicate ID",IF(OR(NOT(ISNUMBER(B118)),G118="",H118="",J118="",E118&lt;0,F118&lt;0,AND(E118&gt;0,F118&gt;0),E118+F118&lt;=0),"Check required inputs",IF(OR(L118="Unknown lot",NOT(ISNUMBER(N118))),"Lot/cost incomplete",IF(AND(I118="Approved",OR(K118="",K118=J118)),"Independent review needed","OK")))))</x:f>
      </x:c>
    </x:row>
    <x:row r="119" ht="23" customHeight="1">
      <x:c r="A119" s="36"/>
      <x:c r="B119" s="40"/>
      <x:c r="C119" s="36"/>
      <x:c r="D119" s="36"/>
      <x:c r="E119" s="41"/>
      <x:c r="F119" s="41"/>
      <x:c r="G119" s="36"/>
      <x:c r="H119" s="36"/>
      <x:c r="I119" s="36"/>
      <x:c r="J119" s="36"/>
      <x:c r="K119" s="36"/>
      <x:c r="L119" s="42" t="str">
        <x:f>IF(A119="","",IF(COUNTIFS('Lots'!$A$6:$A$105,C119)=1,VLOOKUP(C119,'Lots'!$A$6:$O$105,2,FALSE),"Unknown lot"))</x:f>
      </x:c>
      <x:c r="M119" s="42" t="str">
        <x:f>IF(A119="","",IF(COUNTIFS('Lots'!$A$6:$A$105,C119)=1,VLOOKUP(C119,'Lots'!$A$6:$O$105,15,FALSE),"Unknown lot"))</x:f>
      </x:c>
      <x:c r="N119" s="37" t="str">
        <x:f>IF(A119="","",IF(COUNTIFS('Lots'!$A$6:$A$105,C119)=1,VLOOKUP(C119,'Lots'!$A$6:$O$105,10,FALSE),"Unknown lot"))</x:f>
      </x:c>
      <x:c r="O119" s="37" t="str">
        <x:f>IF(A119="","",IF(ISNUMBER(N119),E119*N119,"Cost missing"))</x:f>
      </x:c>
      <x:c r="P119" s="37" t="str">
        <x:f>IF(A119="","",IF(ISNUMBER(N119),F119*N119,"Cost missing"))</x:f>
      </x:c>
      <x:c r="Q119" s="42" t="str">
        <x:f>IF(A119="","",IF(COUNTIFS($A$6:$A$205,A119)&lt;&gt;1,"Duplicate ID",IF(OR(NOT(ISNUMBER(B119)),G119="",H119="",J119="",E119&lt;0,F119&lt;0,AND(E119&gt;0,F119&gt;0),E119+F119&lt;=0),"Check required inputs",IF(OR(L119="Unknown lot",NOT(ISNUMBER(N119))),"Lot/cost incomplete",IF(AND(I119="Approved",OR(K119="",K119=J119)),"Independent review needed","OK")))))</x:f>
      </x:c>
    </x:row>
    <x:row r="120" ht="23" customHeight="1">
      <x:c r="A120" s="36"/>
      <x:c r="B120" s="40"/>
      <x:c r="C120" s="36"/>
      <x:c r="D120" s="36"/>
      <x:c r="E120" s="41"/>
      <x:c r="F120" s="41"/>
      <x:c r="G120" s="36"/>
      <x:c r="H120" s="36"/>
      <x:c r="I120" s="36"/>
      <x:c r="J120" s="36"/>
      <x:c r="K120" s="36"/>
      <x:c r="L120" s="42" t="str">
        <x:f>IF(A120="","",IF(COUNTIFS('Lots'!$A$6:$A$105,C120)=1,VLOOKUP(C120,'Lots'!$A$6:$O$105,2,FALSE),"Unknown lot"))</x:f>
      </x:c>
      <x:c r="M120" s="42" t="str">
        <x:f>IF(A120="","",IF(COUNTIFS('Lots'!$A$6:$A$105,C120)=1,VLOOKUP(C120,'Lots'!$A$6:$O$105,15,FALSE),"Unknown lot"))</x:f>
      </x:c>
      <x:c r="N120" s="37" t="str">
        <x:f>IF(A120="","",IF(COUNTIFS('Lots'!$A$6:$A$105,C120)=1,VLOOKUP(C120,'Lots'!$A$6:$O$105,10,FALSE),"Unknown lot"))</x:f>
      </x:c>
      <x:c r="O120" s="37" t="str">
        <x:f>IF(A120="","",IF(ISNUMBER(N120),E120*N120,"Cost missing"))</x:f>
      </x:c>
      <x:c r="P120" s="37" t="str">
        <x:f>IF(A120="","",IF(ISNUMBER(N120),F120*N120,"Cost missing"))</x:f>
      </x:c>
      <x:c r="Q120" s="42" t="str">
        <x:f>IF(A120="","",IF(COUNTIFS($A$6:$A$205,A120)&lt;&gt;1,"Duplicate ID",IF(OR(NOT(ISNUMBER(B120)),G120="",H120="",J120="",E120&lt;0,F120&lt;0,AND(E120&gt;0,F120&gt;0),E120+F120&lt;=0),"Check required inputs",IF(OR(L120="Unknown lot",NOT(ISNUMBER(N120))),"Lot/cost incomplete",IF(AND(I120="Approved",OR(K120="",K120=J120)),"Independent review needed","OK")))))</x:f>
      </x:c>
    </x:row>
    <x:row r="121" ht="23" customHeight="1">
      <x:c r="A121" s="36"/>
      <x:c r="B121" s="40"/>
      <x:c r="C121" s="36"/>
      <x:c r="D121" s="36"/>
      <x:c r="E121" s="41"/>
      <x:c r="F121" s="41"/>
      <x:c r="G121" s="36"/>
      <x:c r="H121" s="36"/>
      <x:c r="I121" s="36"/>
      <x:c r="J121" s="36"/>
      <x:c r="K121" s="36"/>
      <x:c r="L121" s="42" t="str">
        <x:f>IF(A121="","",IF(COUNTIFS('Lots'!$A$6:$A$105,C121)=1,VLOOKUP(C121,'Lots'!$A$6:$O$105,2,FALSE),"Unknown lot"))</x:f>
      </x:c>
      <x:c r="M121" s="42" t="str">
        <x:f>IF(A121="","",IF(COUNTIFS('Lots'!$A$6:$A$105,C121)=1,VLOOKUP(C121,'Lots'!$A$6:$O$105,15,FALSE),"Unknown lot"))</x:f>
      </x:c>
      <x:c r="N121" s="37" t="str">
        <x:f>IF(A121="","",IF(COUNTIFS('Lots'!$A$6:$A$105,C121)=1,VLOOKUP(C121,'Lots'!$A$6:$O$105,10,FALSE),"Unknown lot"))</x:f>
      </x:c>
      <x:c r="O121" s="37" t="str">
        <x:f>IF(A121="","",IF(ISNUMBER(N121),E121*N121,"Cost missing"))</x:f>
      </x:c>
      <x:c r="P121" s="37" t="str">
        <x:f>IF(A121="","",IF(ISNUMBER(N121),F121*N121,"Cost missing"))</x:f>
      </x:c>
      <x:c r="Q121" s="42" t="str">
        <x:f>IF(A121="","",IF(COUNTIFS($A$6:$A$205,A121)&lt;&gt;1,"Duplicate ID",IF(OR(NOT(ISNUMBER(B121)),G121="",H121="",J121="",E121&lt;0,F121&lt;0,AND(E121&gt;0,F121&gt;0),E121+F121&lt;=0),"Check required inputs",IF(OR(L121="Unknown lot",NOT(ISNUMBER(N121))),"Lot/cost incomplete",IF(AND(I121="Approved",OR(K121="",K121=J121)),"Independent review needed","OK")))))</x:f>
      </x:c>
    </x:row>
    <x:row r="122" ht="23" customHeight="1">
      <x:c r="A122" s="36"/>
      <x:c r="B122" s="40"/>
      <x:c r="C122" s="36"/>
      <x:c r="D122" s="36"/>
      <x:c r="E122" s="41"/>
      <x:c r="F122" s="41"/>
      <x:c r="G122" s="36"/>
      <x:c r="H122" s="36"/>
      <x:c r="I122" s="36"/>
      <x:c r="J122" s="36"/>
      <x:c r="K122" s="36"/>
      <x:c r="L122" s="42" t="str">
        <x:f>IF(A122="","",IF(COUNTIFS('Lots'!$A$6:$A$105,C122)=1,VLOOKUP(C122,'Lots'!$A$6:$O$105,2,FALSE),"Unknown lot"))</x:f>
      </x:c>
      <x:c r="M122" s="42" t="str">
        <x:f>IF(A122="","",IF(COUNTIFS('Lots'!$A$6:$A$105,C122)=1,VLOOKUP(C122,'Lots'!$A$6:$O$105,15,FALSE),"Unknown lot"))</x:f>
      </x:c>
      <x:c r="N122" s="37" t="str">
        <x:f>IF(A122="","",IF(COUNTIFS('Lots'!$A$6:$A$105,C122)=1,VLOOKUP(C122,'Lots'!$A$6:$O$105,10,FALSE),"Unknown lot"))</x:f>
      </x:c>
      <x:c r="O122" s="37" t="str">
        <x:f>IF(A122="","",IF(ISNUMBER(N122),E122*N122,"Cost missing"))</x:f>
      </x:c>
      <x:c r="P122" s="37" t="str">
        <x:f>IF(A122="","",IF(ISNUMBER(N122),F122*N122,"Cost missing"))</x:f>
      </x:c>
      <x:c r="Q122" s="42" t="str">
        <x:f>IF(A122="","",IF(COUNTIFS($A$6:$A$205,A122)&lt;&gt;1,"Duplicate ID",IF(OR(NOT(ISNUMBER(B122)),G122="",H122="",J122="",E122&lt;0,F122&lt;0,AND(E122&gt;0,F122&gt;0),E122+F122&lt;=0),"Check required inputs",IF(OR(L122="Unknown lot",NOT(ISNUMBER(N122))),"Lot/cost incomplete",IF(AND(I122="Approved",OR(K122="",K122=J122)),"Independent review needed","OK")))))</x:f>
      </x:c>
    </x:row>
    <x:row r="123" ht="23" customHeight="1">
      <x:c r="A123" s="36"/>
      <x:c r="B123" s="40"/>
      <x:c r="C123" s="36"/>
      <x:c r="D123" s="36"/>
      <x:c r="E123" s="41"/>
      <x:c r="F123" s="41"/>
      <x:c r="G123" s="36"/>
      <x:c r="H123" s="36"/>
      <x:c r="I123" s="36"/>
      <x:c r="J123" s="36"/>
      <x:c r="K123" s="36"/>
      <x:c r="L123" s="42" t="str">
        <x:f>IF(A123="","",IF(COUNTIFS('Lots'!$A$6:$A$105,C123)=1,VLOOKUP(C123,'Lots'!$A$6:$O$105,2,FALSE),"Unknown lot"))</x:f>
      </x:c>
      <x:c r="M123" s="42" t="str">
        <x:f>IF(A123="","",IF(COUNTIFS('Lots'!$A$6:$A$105,C123)=1,VLOOKUP(C123,'Lots'!$A$6:$O$105,15,FALSE),"Unknown lot"))</x:f>
      </x:c>
      <x:c r="N123" s="37" t="str">
        <x:f>IF(A123="","",IF(COUNTIFS('Lots'!$A$6:$A$105,C123)=1,VLOOKUP(C123,'Lots'!$A$6:$O$105,10,FALSE),"Unknown lot"))</x:f>
      </x:c>
      <x:c r="O123" s="37" t="str">
        <x:f>IF(A123="","",IF(ISNUMBER(N123),E123*N123,"Cost missing"))</x:f>
      </x:c>
      <x:c r="P123" s="37" t="str">
        <x:f>IF(A123="","",IF(ISNUMBER(N123),F123*N123,"Cost missing"))</x:f>
      </x:c>
      <x:c r="Q123" s="42" t="str">
        <x:f>IF(A123="","",IF(COUNTIFS($A$6:$A$205,A123)&lt;&gt;1,"Duplicate ID",IF(OR(NOT(ISNUMBER(B123)),G123="",H123="",J123="",E123&lt;0,F123&lt;0,AND(E123&gt;0,F123&gt;0),E123+F123&lt;=0),"Check required inputs",IF(OR(L123="Unknown lot",NOT(ISNUMBER(N123))),"Lot/cost incomplete",IF(AND(I123="Approved",OR(K123="",K123=J123)),"Independent review needed","OK")))))</x:f>
      </x:c>
    </x:row>
    <x:row r="124" ht="23" customHeight="1">
      <x:c r="A124" s="36"/>
      <x:c r="B124" s="40"/>
      <x:c r="C124" s="36"/>
      <x:c r="D124" s="36"/>
      <x:c r="E124" s="41"/>
      <x:c r="F124" s="41"/>
      <x:c r="G124" s="36"/>
      <x:c r="H124" s="36"/>
      <x:c r="I124" s="36"/>
      <x:c r="J124" s="36"/>
      <x:c r="K124" s="36"/>
      <x:c r="L124" s="42" t="str">
        <x:f>IF(A124="","",IF(COUNTIFS('Lots'!$A$6:$A$105,C124)=1,VLOOKUP(C124,'Lots'!$A$6:$O$105,2,FALSE),"Unknown lot"))</x:f>
      </x:c>
      <x:c r="M124" s="42" t="str">
        <x:f>IF(A124="","",IF(COUNTIFS('Lots'!$A$6:$A$105,C124)=1,VLOOKUP(C124,'Lots'!$A$6:$O$105,15,FALSE),"Unknown lot"))</x:f>
      </x:c>
      <x:c r="N124" s="37" t="str">
        <x:f>IF(A124="","",IF(COUNTIFS('Lots'!$A$6:$A$105,C124)=1,VLOOKUP(C124,'Lots'!$A$6:$O$105,10,FALSE),"Unknown lot"))</x:f>
      </x:c>
      <x:c r="O124" s="37" t="str">
        <x:f>IF(A124="","",IF(ISNUMBER(N124),E124*N124,"Cost missing"))</x:f>
      </x:c>
      <x:c r="P124" s="37" t="str">
        <x:f>IF(A124="","",IF(ISNUMBER(N124),F124*N124,"Cost missing"))</x:f>
      </x:c>
      <x:c r="Q124" s="42" t="str">
        <x:f>IF(A124="","",IF(COUNTIFS($A$6:$A$205,A124)&lt;&gt;1,"Duplicate ID",IF(OR(NOT(ISNUMBER(B124)),G124="",H124="",J124="",E124&lt;0,F124&lt;0,AND(E124&gt;0,F124&gt;0),E124+F124&lt;=0),"Check required inputs",IF(OR(L124="Unknown lot",NOT(ISNUMBER(N124))),"Lot/cost incomplete",IF(AND(I124="Approved",OR(K124="",K124=J124)),"Independent review needed","OK")))))</x:f>
      </x:c>
    </x:row>
    <x:row r="125" ht="23" customHeight="1">
      <x:c r="A125" s="36"/>
      <x:c r="B125" s="40"/>
      <x:c r="C125" s="36"/>
      <x:c r="D125" s="36"/>
      <x:c r="E125" s="41"/>
      <x:c r="F125" s="41"/>
      <x:c r="G125" s="36"/>
      <x:c r="H125" s="36"/>
      <x:c r="I125" s="36"/>
      <x:c r="J125" s="36"/>
      <x:c r="K125" s="36"/>
      <x:c r="L125" s="42" t="str">
        <x:f>IF(A125="","",IF(COUNTIFS('Lots'!$A$6:$A$105,C125)=1,VLOOKUP(C125,'Lots'!$A$6:$O$105,2,FALSE),"Unknown lot"))</x:f>
      </x:c>
      <x:c r="M125" s="42" t="str">
        <x:f>IF(A125="","",IF(COUNTIFS('Lots'!$A$6:$A$105,C125)=1,VLOOKUP(C125,'Lots'!$A$6:$O$105,15,FALSE),"Unknown lot"))</x:f>
      </x:c>
      <x:c r="N125" s="37" t="str">
        <x:f>IF(A125="","",IF(COUNTIFS('Lots'!$A$6:$A$105,C125)=1,VLOOKUP(C125,'Lots'!$A$6:$O$105,10,FALSE),"Unknown lot"))</x:f>
      </x:c>
      <x:c r="O125" s="37" t="str">
        <x:f>IF(A125="","",IF(ISNUMBER(N125),E125*N125,"Cost missing"))</x:f>
      </x:c>
      <x:c r="P125" s="37" t="str">
        <x:f>IF(A125="","",IF(ISNUMBER(N125),F125*N125,"Cost missing"))</x:f>
      </x:c>
      <x:c r="Q125" s="42" t="str">
        <x:f>IF(A125="","",IF(COUNTIFS($A$6:$A$205,A125)&lt;&gt;1,"Duplicate ID",IF(OR(NOT(ISNUMBER(B125)),G125="",H125="",J125="",E125&lt;0,F125&lt;0,AND(E125&gt;0,F125&gt;0),E125+F125&lt;=0),"Check required inputs",IF(OR(L125="Unknown lot",NOT(ISNUMBER(N125))),"Lot/cost incomplete",IF(AND(I125="Approved",OR(K125="",K125=J125)),"Independent review needed","OK")))))</x:f>
      </x:c>
    </x:row>
    <x:row r="126" ht="23" customHeight="1">
      <x:c r="A126" s="36"/>
      <x:c r="B126" s="40"/>
      <x:c r="C126" s="36"/>
      <x:c r="D126" s="36"/>
      <x:c r="E126" s="41"/>
      <x:c r="F126" s="41"/>
      <x:c r="G126" s="36"/>
      <x:c r="H126" s="36"/>
      <x:c r="I126" s="36"/>
      <x:c r="J126" s="36"/>
      <x:c r="K126" s="36"/>
      <x:c r="L126" s="42" t="str">
        <x:f>IF(A126="","",IF(COUNTIFS('Lots'!$A$6:$A$105,C126)=1,VLOOKUP(C126,'Lots'!$A$6:$O$105,2,FALSE),"Unknown lot"))</x:f>
      </x:c>
      <x:c r="M126" s="42" t="str">
        <x:f>IF(A126="","",IF(COUNTIFS('Lots'!$A$6:$A$105,C126)=1,VLOOKUP(C126,'Lots'!$A$6:$O$105,15,FALSE),"Unknown lot"))</x:f>
      </x:c>
      <x:c r="N126" s="37" t="str">
        <x:f>IF(A126="","",IF(COUNTIFS('Lots'!$A$6:$A$105,C126)=1,VLOOKUP(C126,'Lots'!$A$6:$O$105,10,FALSE),"Unknown lot"))</x:f>
      </x:c>
      <x:c r="O126" s="37" t="str">
        <x:f>IF(A126="","",IF(ISNUMBER(N126),E126*N126,"Cost missing"))</x:f>
      </x:c>
      <x:c r="P126" s="37" t="str">
        <x:f>IF(A126="","",IF(ISNUMBER(N126),F126*N126,"Cost missing"))</x:f>
      </x:c>
      <x:c r="Q126" s="42" t="str">
        <x:f>IF(A126="","",IF(COUNTIFS($A$6:$A$205,A126)&lt;&gt;1,"Duplicate ID",IF(OR(NOT(ISNUMBER(B126)),G126="",H126="",J126="",E126&lt;0,F126&lt;0,AND(E126&gt;0,F126&gt;0),E126+F126&lt;=0),"Check required inputs",IF(OR(L126="Unknown lot",NOT(ISNUMBER(N126))),"Lot/cost incomplete",IF(AND(I126="Approved",OR(K126="",K126=J126)),"Independent review needed","OK")))))</x:f>
      </x:c>
    </x:row>
    <x:row r="127" ht="23" customHeight="1">
      <x:c r="A127" s="36"/>
      <x:c r="B127" s="40"/>
      <x:c r="C127" s="36"/>
      <x:c r="D127" s="36"/>
      <x:c r="E127" s="41"/>
      <x:c r="F127" s="41"/>
      <x:c r="G127" s="36"/>
      <x:c r="H127" s="36"/>
      <x:c r="I127" s="36"/>
      <x:c r="J127" s="36"/>
      <x:c r="K127" s="36"/>
      <x:c r="L127" s="42" t="str">
        <x:f>IF(A127="","",IF(COUNTIFS('Lots'!$A$6:$A$105,C127)=1,VLOOKUP(C127,'Lots'!$A$6:$O$105,2,FALSE),"Unknown lot"))</x:f>
      </x:c>
      <x:c r="M127" s="42" t="str">
        <x:f>IF(A127="","",IF(COUNTIFS('Lots'!$A$6:$A$105,C127)=1,VLOOKUP(C127,'Lots'!$A$6:$O$105,15,FALSE),"Unknown lot"))</x:f>
      </x:c>
      <x:c r="N127" s="37" t="str">
        <x:f>IF(A127="","",IF(COUNTIFS('Lots'!$A$6:$A$105,C127)=1,VLOOKUP(C127,'Lots'!$A$6:$O$105,10,FALSE),"Unknown lot"))</x:f>
      </x:c>
      <x:c r="O127" s="37" t="str">
        <x:f>IF(A127="","",IF(ISNUMBER(N127),E127*N127,"Cost missing"))</x:f>
      </x:c>
      <x:c r="P127" s="37" t="str">
        <x:f>IF(A127="","",IF(ISNUMBER(N127),F127*N127,"Cost missing"))</x:f>
      </x:c>
      <x:c r="Q127" s="42" t="str">
        <x:f>IF(A127="","",IF(COUNTIFS($A$6:$A$205,A127)&lt;&gt;1,"Duplicate ID",IF(OR(NOT(ISNUMBER(B127)),G127="",H127="",J127="",E127&lt;0,F127&lt;0,AND(E127&gt;0,F127&gt;0),E127+F127&lt;=0),"Check required inputs",IF(OR(L127="Unknown lot",NOT(ISNUMBER(N127))),"Lot/cost incomplete",IF(AND(I127="Approved",OR(K127="",K127=J127)),"Independent review needed","OK")))))</x:f>
      </x:c>
    </x:row>
    <x:row r="128" ht="23" customHeight="1">
      <x:c r="A128" s="36"/>
      <x:c r="B128" s="40"/>
      <x:c r="C128" s="36"/>
      <x:c r="D128" s="36"/>
      <x:c r="E128" s="41"/>
      <x:c r="F128" s="41"/>
      <x:c r="G128" s="36"/>
      <x:c r="H128" s="36"/>
      <x:c r="I128" s="36"/>
      <x:c r="J128" s="36"/>
      <x:c r="K128" s="36"/>
      <x:c r="L128" s="42" t="str">
        <x:f>IF(A128="","",IF(COUNTIFS('Lots'!$A$6:$A$105,C128)=1,VLOOKUP(C128,'Lots'!$A$6:$O$105,2,FALSE),"Unknown lot"))</x:f>
      </x:c>
      <x:c r="M128" s="42" t="str">
        <x:f>IF(A128="","",IF(COUNTIFS('Lots'!$A$6:$A$105,C128)=1,VLOOKUP(C128,'Lots'!$A$6:$O$105,15,FALSE),"Unknown lot"))</x:f>
      </x:c>
      <x:c r="N128" s="37" t="str">
        <x:f>IF(A128="","",IF(COUNTIFS('Lots'!$A$6:$A$105,C128)=1,VLOOKUP(C128,'Lots'!$A$6:$O$105,10,FALSE),"Unknown lot"))</x:f>
      </x:c>
      <x:c r="O128" s="37" t="str">
        <x:f>IF(A128="","",IF(ISNUMBER(N128),E128*N128,"Cost missing"))</x:f>
      </x:c>
      <x:c r="P128" s="37" t="str">
        <x:f>IF(A128="","",IF(ISNUMBER(N128),F128*N128,"Cost missing"))</x:f>
      </x:c>
      <x:c r="Q128" s="42" t="str">
        <x:f>IF(A128="","",IF(COUNTIFS($A$6:$A$205,A128)&lt;&gt;1,"Duplicate ID",IF(OR(NOT(ISNUMBER(B128)),G128="",H128="",J128="",E128&lt;0,F128&lt;0,AND(E128&gt;0,F128&gt;0),E128+F128&lt;=0),"Check required inputs",IF(OR(L128="Unknown lot",NOT(ISNUMBER(N128))),"Lot/cost incomplete",IF(AND(I128="Approved",OR(K128="",K128=J128)),"Independent review needed","OK")))))</x:f>
      </x:c>
    </x:row>
    <x:row r="129" ht="23" customHeight="1">
      <x:c r="A129" s="36"/>
      <x:c r="B129" s="40"/>
      <x:c r="C129" s="36"/>
      <x:c r="D129" s="36"/>
      <x:c r="E129" s="41"/>
      <x:c r="F129" s="41"/>
      <x:c r="G129" s="36"/>
      <x:c r="H129" s="36"/>
      <x:c r="I129" s="36"/>
      <x:c r="J129" s="36"/>
      <x:c r="K129" s="36"/>
      <x:c r="L129" s="42" t="str">
        <x:f>IF(A129="","",IF(COUNTIFS('Lots'!$A$6:$A$105,C129)=1,VLOOKUP(C129,'Lots'!$A$6:$O$105,2,FALSE),"Unknown lot"))</x:f>
      </x:c>
      <x:c r="M129" s="42" t="str">
        <x:f>IF(A129="","",IF(COUNTIFS('Lots'!$A$6:$A$105,C129)=1,VLOOKUP(C129,'Lots'!$A$6:$O$105,15,FALSE),"Unknown lot"))</x:f>
      </x:c>
      <x:c r="N129" s="37" t="str">
        <x:f>IF(A129="","",IF(COUNTIFS('Lots'!$A$6:$A$105,C129)=1,VLOOKUP(C129,'Lots'!$A$6:$O$105,10,FALSE),"Unknown lot"))</x:f>
      </x:c>
      <x:c r="O129" s="37" t="str">
        <x:f>IF(A129="","",IF(ISNUMBER(N129),E129*N129,"Cost missing"))</x:f>
      </x:c>
      <x:c r="P129" s="37" t="str">
        <x:f>IF(A129="","",IF(ISNUMBER(N129),F129*N129,"Cost missing"))</x:f>
      </x:c>
      <x:c r="Q129" s="42" t="str">
        <x:f>IF(A129="","",IF(COUNTIFS($A$6:$A$205,A129)&lt;&gt;1,"Duplicate ID",IF(OR(NOT(ISNUMBER(B129)),G129="",H129="",J129="",E129&lt;0,F129&lt;0,AND(E129&gt;0,F129&gt;0),E129+F129&lt;=0),"Check required inputs",IF(OR(L129="Unknown lot",NOT(ISNUMBER(N129))),"Lot/cost incomplete",IF(AND(I129="Approved",OR(K129="",K129=J129)),"Independent review needed","OK")))))</x:f>
      </x:c>
    </x:row>
    <x:row r="130" ht="23" customHeight="1">
      <x:c r="A130" s="36"/>
      <x:c r="B130" s="40"/>
      <x:c r="C130" s="36"/>
      <x:c r="D130" s="36"/>
      <x:c r="E130" s="41"/>
      <x:c r="F130" s="41"/>
      <x:c r="G130" s="36"/>
      <x:c r="H130" s="36"/>
      <x:c r="I130" s="36"/>
      <x:c r="J130" s="36"/>
      <x:c r="K130" s="36"/>
      <x:c r="L130" s="42" t="str">
        <x:f>IF(A130="","",IF(COUNTIFS('Lots'!$A$6:$A$105,C130)=1,VLOOKUP(C130,'Lots'!$A$6:$O$105,2,FALSE),"Unknown lot"))</x:f>
      </x:c>
      <x:c r="M130" s="42" t="str">
        <x:f>IF(A130="","",IF(COUNTIFS('Lots'!$A$6:$A$105,C130)=1,VLOOKUP(C130,'Lots'!$A$6:$O$105,15,FALSE),"Unknown lot"))</x:f>
      </x:c>
      <x:c r="N130" s="37" t="str">
        <x:f>IF(A130="","",IF(COUNTIFS('Lots'!$A$6:$A$105,C130)=1,VLOOKUP(C130,'Lots'!$A$6:$O$105,10,FALSE),"Unknown lot"))</x:f>
      </x:c>
      <x:c r="O130" s="37" t="str">
        <x:f>IF(A130="","",IF(ISNUMBER(N130),E130*N130,"Cost missing"))</x:f>
      </x:c>
      <x:c r="P130" s="37" t="str">
        <x:f>IF(A130="","",IF(ISNUMBER(N130),F130*N130,"Cost missing"))</x:f>
      </x:c>
      <x:c r="Q130" s="42" t="str">
        <x:f>IF(A130="","",IF(COUNTIFS($A$6:$A$205,A130)&lt;&gt;1,"Duplicate ID",IF(OR(NOT(ISNUMBER(B130)),G130="",H130="",J130="",E130&lt;0,F130&lt;0,AND(E130&gt;0,F130&gt;0),E130+F130&lt;=0),"Check required inputs",IF(OR(L130="Unknown lot",NOT(ISNUMBER(N130))),"Lot/cost incomplete",IF(AND(I130="Approved",OR(K130="",K130=J130)),"Independent review needed","OK")))))</x:f>
      </x:c>
    </x:row>
    <x:row r="131" ht="23" customHeight="1">
      <x:c r="A131" s="36"/>
      <x:c r="B131" s="40"/>
      <x:c r="C131" s="36"/>
      <x:c r="D131" s="36"/>
      <x:c r="E131" s="41"/>
      <x:c r="F131" s="41"/>
      <x:c r="G131" s="36"/>
      <x:c r="H131" s="36"/>
      <x:c r="I131" s="36"/>
      <x:c r="J131" s="36"/>
      <x:c r="K131" s="36"/>
      <x:c r="L131" s="42" t="str">
        <x:f>IF(A131="","",IF(COUNTIFS('Lots'!$A$6:$A$105,C131)=1,VLOOKUP(C131,'Lots'!$A$6:$O$105,2,FALSE),"Unknown lot"))</x:f>
      </x:c>
      <x:c r="M131" s="42" t="str">
        <x:f>IF(A131="","",IF(COUNTIFS('Lots'!$A$6:$A$105,C131)=1,VLOOKUP(C131,'Lots'!$A$6:$O$105,15,FALSE),"Unknown lot"))</x:f>
      </x:c>
      <x:c r="N131" s="37" t="str">
        <x:f>IF(A131="","",IF(COUNTIFS('Lots'!$A$6:$A$105,C131)=1,VLOOKUP(C131,'Lots'!$A$6:$O$105,10,FALSE),"Unknown lot"))</x:f>
      </x:c>
      <x:c r="O131" s="37" t="str">
        <x:f>IF(A131="","",IF(ISNUMBER(N131),E131*N131,"Cost missing"))</x:f>
      </x:c>
      <x:c r="P131" s="37" t="str">
        <x:f>IF(A131="","",IF(ISNUMBER(N131),F131*N131,"Cost missing"))</x:f>
      </x:c>
      <x:c r="Q131" s="42" t="str">
        <x:f>IF(A131="","",IF(COUNTIFS($A$6:$A$205,A131)&lt;&gt;1,"Duplicate ID",IF(OR(NOT(ISNUMBER(B131)),G131="",H131="",J131="",E131&lt;0,F131&lt;0,AND(E131&gt;0,F131&gt;0),E131+F131&lt;=0),"Check required inputs",IF(OR(L131="Unknown lot",NOT(ISNUMBER(N131))),"Lot/cost incomplete",IF(AND(I131="Approved",OR(K131="",K131=J131)),"Independent review needed","OK")))))</x:f>
      </x:c>
    </x:row>
    <x:row r="132" ht="23" customHeight="1">
      <x:c r="A132" s="36"/>
      <x:c r="B132" s="40"/>
      <x:c r="C132" s="36"/>
      <x:c r="D132" s="36"/>
      <x:c r="E132" s="41"/>
      <x:c r="F132" s="41"/>
      <x:c r="G132" s="36"/>
      <x:c r="H132" s="36"/>
      <x:c r="I132" s="36"/>
      <x:c r="J132" s="36"/>
      <x:c r="K132" s="36"/>
      <x:c r="L132" s="42" t="str">
        <x:f>IF(A132="","",IF(COUNTIFS('Lots'!$A$6:$A$105,C132)=1,VLOOKUP(C132,'Lots'!$A$6:$O$105,2,FALSE),"Unknown lot"))</x:f>
      </x:c>
      <x:c r="M132" s="42" t="str">
        <x:f>IF(A132="","",IF(COUNTIFS('Lots'!$A$6:$A$105,C132)=1,VLOOKUP(C132,'Lots'!$A$6:$O$105,15,FALSE),"Unknown lot"))</x:f>
      </x:c>
      <x:c r="N132" s="37" t="str">
        <x:f>IF(A132="","",IF(COUNTIFS('Lots'!$A$6:$A$105,C132)=1,VLOOKUP(C132,'Lots'!$A$6:$O$105,10,FALSE),"Unknown lot"))</x:f>
      </x:c>
      <x:c r="O132" s="37" t="str">
        <x:f>IF(A132="","",IF(ISNUMBER(N132),E132*N132,"Cost missing"))</x:f>
      </x:c>
      <x:c r="P132" s="37" t="str">
        <x:f>IF(A132="","",IF(ISNUMBER(N132),F132*N132,"Cost missing"))</x:f>
      </x:c>
      <x:c r="Q132" s="42" t="str">
        <x:f>IF(A132="","",IF(COUNTIFS($A$6:$A$205,A132)&lt;&gt;1,"Duplicate ID",IF(OR(NOT(ISNUMBER(B132)),G132="",H132="",J132="",E132&lt;0,F132&lt;0,AND(E132&gt;0,F132&gt;0),E132+F132&lt;=0),"Check required inputs",IF(OR(L132="Unknown lot",NOT(ISNUMBER(N132))),"Lot/cost incomplete",IF(AND(I132="Approved",OR(K132="",K132=J132)),"Independent review needed","OK")))))</x:f>
      </x:c>
    </x:row>
    <x:row r="133" ht="23" customHeight="1">
      <x:c r="A133" s="36"/>
      <x:c r="B133" s="40"/>
      <x:c r="C133" s="36"/>
      <x:c r="D133" s="36"/>
      <x:c r="E133" s="41"/>
      <x:c r="F133" s="41"/>
      <x:c r="G133" s="36"/>
      <x:c r="H133" s="36"/>
      <x:c r="I133" s="36"/>
      <x:c r="J133" s="36"/>
      <x:c r="K133" s="36"/>
      <x:c r="L133" s="42" t="str">
        <x:f>IF(A133="","",IF(COUNTIFS('Lots'!$A$6:$A$105,C133)=1,VLOOKUP(C133,'Lots'!$A$6:$O$105,2,FALSE),"Unknown lot"))</x:f>
      </x:c>
      <x:c r="M133" s="42" t="str">
        <x:f>IF(A133="","",IF(COUNTIFS('Lots'!$A$6:$A$105,C133)=1,VLOOKUP(C133,'Lots'!$A$6:$O$105,15,FALSE),"Unknown lot"))</x:f>
      </x:c>
      <x:c r="N133" s="37" t="str">
        <x:f>IF(A133="","",IF(COUNTIFS('Lots'!$A$6:$A$105,C133)=1,VLOOKUP(C133,'Lots'!$A$6:$O$105,10,FALSE),"Unknown lot"))</x:f>
      </x:c>
      <x:c r="O133" s="37" t="str">
        <x:f>IF(A133="","",IF(ISNUMBER(N133),E133*N133,"Cost missing"))</x:f>
      </x:c>
      <x:c r="P133" s="37" t="str">
        <x:f>IF(A133="","",IF(ISNUMBER(N133),F133*N133,"Cost missing"))</x:f>
      </x:c>
      <x:c r="Q133" s="42" t="str">
        <x:f>IF(A133="","",IF(COUNTIFS($A$6:$A$205,A133)&lt;&gt;1,"Duplicate ID",IF(OR(NOT(ISNUMBER(B133)),G133="",H133="",J133="",E133&lt;0,F133&lt;0,AND(E133&gt;0,F133&gt;0),E133+F133&lt;=0),"Check required inputs",IF(OR(L133="Unknown lot",NOT(ISNUMBER(N133))),"Lot/cost incomplete",IF(AND(I133="Approved",OR(K133="",K133=J133)),"Independent review needed","OK")))))</x:f>
      </x:c>
    </x:row>
    <x:row r="134" ht="23" customHeight="1">
      <x:c r="A134" s="36"/>
      <x:c r="B134" s="40"/>
      <x:c r="C134" s="36"/>
      <x:c r="D134" s="36"/>
      <x:c r="E134" s="41"/>
      <x:c r="F134" s="41"/>
      <x:c r="G134" s="36"/>
      <x:c r="H134" s="36"/>
      <x:c r="I134" s="36"/>
      <x:c r="J134" s="36"/>
      <x:c r="K134" s="36"/>
      <x:c r="L134" s="42" t="str">
        <x:f>IF(A134="","",IF(COUNTIFS('Lots'!$A$6:$A$105,C134)=1,VLOOKUP(C134,'Lots'!$A$6:$O$105,2,FALSE),"Unknown lot"))</x:f>
      </x:c>
      <x:c r="M134" s="42" t="str">
        <x:f>IF(A134="","",IF(COUNTIFS('Lots'!$A$6:$A$105,C134)=1,VLOOKUP(C134,'Lots'!$A$6:$O$105,15,FALSE),"Unknown lot"))</x:f>
      </x:c>
      <x:c r="N134" s="37" t="str">
        <x:f>IF(A134="","",IF(COUNTIFS('Lots'!$A$6:$A$105,C134)=1,VLOOKUP(C134,'Lots'!$A$6:$O$105,10,FALSE),"Unknown lot"))</x:f>
      </x:c>
      <x:c r="O134" s="37" t="str">
        <x:f>IF(A134="","",IF(ISNUMBER(N134),E134*N134,"Cost missing"))</x:f>
      </x:c>
      <x:c r="P134" s="37" t="str">
        <x:f>IF(A134="","",IF(ISNUMBER(N134),F134*N134,"Cost missing"))</x:f>
      </x:c>
      <x:c r="Q134" s="42" t="str">
        <x:f>IF(A134="","",IF(COUNTIFS($A$6:$A$205,A134)&lt;&gt;1,"Duplicate ID",IF(OR(NOT(ISNUMBER(B134)),G134="",H134="",J134="",E134&lt;0,F134&lt;0,AND(E134&gt;0,F134&gt;0),E134+F134&lt;=0),"Check required inputs",IF(OR(L134="Unknown lot",NOT(ISNUMBER(N134))),"Lot/cost incomplete",IF(AND(I134="Approved",OR(K134="",K134=J134)),"Independent review needed","OK")))))</x:f>
      </x:c>
    </x:row>
    <x:row r="135" ht="23" customHeight="1">
      <x:c r="A135" s="36"/>
      <x:c r="B135" s="40"/>
      <x:c r="C135" s="36"/>
      <x:c r="D135" s="36"/>
      <x:c r="E135" s="41"/>
      <x:c r="F135" s="41"/>
      <x:c r="G135" s="36"/>
      <x:c r="H135" s="36"/>
      <x:c r="I135" s="36"/>
      <x:c r="J135" s="36"/>
      <x:c r="K135" s="36"/>
      <x:c r="L135" s="42" t="str">
        <x:f>IF(A135="","",IF(COUNTIFS('Lots'!$A$6:$A$105,C135)=1,VLOOKUP(C135,'Lots'!$A$6:$O$105,2,FALSE),"Unknown lot"))</x:f>
      </x:c>
      <x:c r="M135" s="42" t="str">
        <x:f>IF(A135="","",IF(COUNTIFS('Lots'!$A$6:$A$105,C135)=1,VLOOKUP(C135,'Lots'!$A$6:$O$105,15,FALSE),"Unknown lot"))</x:f>
      </x:c>
      <x:c r="N135" s="37" t="str">
        <x:f>IF(A135="","",IF(COUNTIFS('Lots'!$A$6:$A$105,C135)=1,VLOOKUP(C135,'Lots'!$A$6:$O$105,10,FALSE),"Unknown lot"))</x:f>
      </x:c>
      <x:c r="O135" s="37" t="str">
        <x:f>IF(A135="","",IF(ISNUMBER(N135),E135*N135,"Cost missing"))</x:f>
      </x:c>
      <x:c r="P135" s="37" t="str">
        <x:f>IF(A135="","",IF(ISNUMBER(N135),F135*N135,"Cost missing"))</x:f>
      </x:c>
      <x:c r="Q135" s="42" t="str">
        <x:f>IF(A135="","",IF(COUNTIFS($A$6:$A$205,A135)&lt;&gt;1,"Duplicate ID",IF(OR(NOT(ISNUMBER(B135)),G135="",H135="",J135="",E135&lt;0,F135&lt;0,AND(E135&gt;0,F135&gt;0),E135+F135&lt;=0),"Check required inputs",IF(OR(L135="Unknown lot",NOT(ISNUMBER(N135))),"Lot/cost incomplete",IF(AND(I135="Approved",OR(K135="",K135=J135)),"Independent review needed","OK")))))</x:f>
      </x:c>
    </x:row>
    <x:row r="136" ht="23" customHeight="1">
      <x:c r="A136" s="36"/>
      <x:c r="B136" s="40"/>
      <x:c r="C136" s="36"/>
      <x:c r="D136" s="36"/>
      <x:c r="E136" s="41"/>
      <x:c r="F136" s="41"/>
      <x:c r="G136" s="36"/>
      <x:c r="H136" s="36"/>
      <x:c r="I136" s="36"/>
      <x:c r="J136" s="36"/>
      <x:c r="K136" s="36"/>
      <x:c r="L136" s="42" t="str">
        <x:f>IF(A136="","",IF(COUNTIFS('Lots'!$A$6:$A$105,C136)=1,VLOOKUP(C136,'Lots'!$A$6:$O$105,2,FALSE),"Unknown lot"))</x:f>
      </x:c>
      <x:c r="M136" s="42" t="str">
        <x:f>IF(A136="","",IF(COUNTIFS('Lots'!$A$6:$A$105,C136)=1,VLOOKUP(C136,'Lots'!$A$6:$O$105,15,FALSE),"Unknown lot"))</x:f>
      </x:c>
      <x:c r="N136" s="37" t="str">
        <x:f>IF(A136="","",IF(COUNTIFS('Lots'!$A$6:$A$105,C136)=1,VLOOKUP(C136,'Lots'!$A$6:$O$105,10,FALSE),"Unknown lot"))</x:f>
      </x:c>
      <x:c r="O136" s="37" t="str">
        <x:f>IF(A136="","",IF(ISNUMBER(N136),E136*N136,"Cost missing"))</x:f>
      </x:c>
      <x:c r="P136" s="37" t="str">
        <x:f>IF(A136="","",IF(ISNUMBER(N136),F136*N136,"Cost missing"))</x:f>
      </x:c>
      <x:c r="Q136" s="42" t="str">
        <x:f>IF(A136="","",IF(COUNTIFS($A$6:$A$205,A136)&lt;&gt;1,"Duplicate ID",IF(OR(NOT(ISNUMBER(B136)),G136="",H136="",J136="",E136&lt;0,F136&lt;0,AND(E136&gt;0,F136&gt;0),E136+F136&lt;=0),"Check required inputs",IF(OR(L136="Unknown lot",NOT(ISNUMBER(N136))),"Lot/cost incomplete",IF(AND(I136="Approved",OR(K136="",K136=J136)),"Independent review needed","OK")))))</x:f>
      </x:c>
    </x:row>
    <x:row r="137" ht="23" customHeight="1">
      <x:c r="A137" s="36"/>
      <x:c r="B137" s="40"/>
      <x:c r="C137" s="36"/>
      <x:c r="D137" s="36"/>
      <x:c r="E137" s="41"/>
      <x:c r="F137" s="41"/>
      <x:c r="G137" s="36"/>
      <x:c r="H137" s="36"/>
      <x:c r="I137" s="36"/>
      <x:c r="J137" s="36"/>
      <x:c r="K137" s="36"/>
      <x:c r="L137" s="42" t="str">
        <x:f>IF(A137="","",IF(COUNTIFS('Lots'!$A$6:$A$105,C137)=1,VLOOKUP(C137,'Lots'!$A$6:$O$105,2,FALSE),"Unknown lot"))</x:f>
      </x:c>
      <x:c r="M137" s="42" t="str">
        <x:f>IF(A137="","",IF(COUNTIFS('Lots'!$A$6:$A$105,C137)=1,VLOOKUP(C137,'Lots'!$A$6:$O$105,15,FALSE),"Unknown lot"))</x:f>
      </x:c>
      <x:c r="N137" s="37" t="str">
        <x:f>IF(A137="","",IF(COUNTIFS('Lots'!$A$6:$A$105,C137)=1,VLOOKUP(C137,'Lots'!$A$6:$O$105,10,FALSE),"Unknown lot"))</x:f>
      </x:c>
      <x:c r="O137" s="37" t="str">
        <x:f>IF(A137="","",IF(ISNUMBER(N137),E137*N137,"Cost missing"))</x:f>
      </x:c>
      <x:c r="P137" s="37" t="str">
        <x:f>IF(A137="","",IF(ISNUMBER(N137),F137*N137,"Cost missing"))</x:f>
      </x:c>
      <x:c r="Q137" s="42" t="str">
        <x:f>IF(A137="","",IF(COUNTIFS($A$6:$A$205,A137)&lt;&gt;1,"Duplicate ID",IF(OR(NOT(ISNUMBER(B137)),G137="",H137="",J137="",E137&lt;0,F137&lt;0,AND(E137&gt;0,F137&gt;0),E137+F137&lt;=0),"Check required inputs",IF(OR(L137="Unknown lot",NOT(ISNUMBER(N137))),"Lot/cost incomplete",IF(AND(I137="Approved",OR(K137="",K137=J137)),"Independent review needed","OK")))))</x:f>
      </x:c>
    </x:row>
    <x:row r="138" ht="23" customHeight="1">
      <x:c r="A138" s="36"/>
      <x:c r="B138" s="40"/>
      <x:c r="C138" s="36"/>
      <x:c r="D138" s="36"/>
      <x:c r="E138" s="41"/>
      <x:c r="F138" s="41"/>
      <x:c r="G138" s="36"/>
      <x:c r="H138" s="36"/>
      <x:c r="I138" s="36"/>
      <x:c r="J138" s="36"/>
      <x:c r="K138" s="36"/>
      <x:c r="L138" s="42" t="str">
        <x:f>IF(A138="","",IF(COUNTIFS('Lots'!$A$6:$A$105,C138)=1,VLOOKUP(C138,'Lots'!$A$6:$O$105,2,FALSE),"Unknown lot"))</x:f>
      </x:c>
      <x:c r="M138" s="42" t="str">
        <x:f>IF(A138="","",IF(COUNTIFS('Lots'!$A$6:$A$105,C138)=1,VLOOKUP(C138,'Lots'!$A$6:$O$105,15,FALSE),"Unknown lot"))</x:f>
      </x:c>
      <x:c r="N138" s="37" t="str">
        <x:f>IF(A138="","",IF(COUNTIFS('Lots'!$A$6:$A$105,C138)=1,VLOOKUP(C138,'Lots'!$A$6:$O$105,10,FALSE),"Unknown lot"))</x:f>
      </x:c>
      <x:c r="O138" s="37" t="str">
        <x:f>IF(A138="","",IF(ISNUMBER(N138),E138*N138,"Cost missing"))</x:f>
      </x:c>
      <x:c r="P138" s="37" t="str">
        <x:f>IF(A138="","",IF(ISNUMBER(N138),F138*N138,"Cost missing"))</x:f>
      </x:c>
      <x:c r="Q138" s="42" t="str">
        <x:f>IF(A138="","",IF(COUNTIFS($A$6:$A$205,A138)&lt;&gt;1,"Duplicate ID",IF(OR(NOT(ISNUMBER(B138)),G138="",H138="",J138="",E138&lt;0,F138&lt;0,AND(E138&gt;0,F138&gt;0),E138+F138&lt;=0),"Check required inputs",IF(OR(L138="Unknown lot",NOT(ISNUMBER(N138))),"Lot/cost incomplete",IF(AND(I138="Approved",OR(K138="",K138=J138)),"Independent review needed","OK")))))</x:f>
      </x:c>
    </x:row>
    <x:row r="139" ht="23" customHeight="1">
      <x:c r="A139" s="36"/>
      <x:c r="B139" s="40"/>
      <x:c r="C139" s="36"/>
      <x:c r="D139" s="36"/>
      <x:c r="E139" s="41"/>
      <x:c r="F139" s="41"/>
      <x:c r="G139" s="36"/>
      <x:c r="H139" s="36"/>
      <x:c r="I139" s="36"/>
      <x:c r="J139" s="36"/>
      <x:c r="K139" s="36"/>
      <x:c r="L139" s="42" t="str">
        <x:f>IF(A139="","",IF(COUNTIFS('Lots'!$A$6:$A$105,C139)=1,VLOOKUP(C139,'Lots'!$A$6:$O$105,2,FALSE),"Unknown lot"))</x:f>
      </x:c>
      <x:c r="M139" s="42" t="str">
        <x:f>IF(A139="","",IF(COUNTIFS('Lots'!$A$6:$A$105,C139)=1,VLOOKUP(C139,'Lots'!$A$6:$O$105,15,FALSE),"Unknown lot"))</x:f>
      </x:c>
      <x:c r="N139" s="37" t="str">
        <x:f>IF(A139="","",IF(COUNTIFS('Lots'!$A$6:$A$105,C139)=1,VLOOKUP(C139,'Lots'!$A$6:$O$105,10,FALSE),"Unknown lot"))</x:f>
      </x:c>
      <x:c r="O139" s="37" t="str">
        <x:f>IF(A139="","",IF(ISNUMBER(N139),E139*N139,"Cost missing"))</x:f>
      </x:c>
      <x:c r="P139" s="37" t="str">
        <x:f>IF(A139="","",IF(ISNUMBER(N139),F139*N139,"Cost missing"))</x:f>
      </x:c>
      <x:c r="Q139" s="42" t="str">
        <x:f>IF(A139="","",IF(COUNTIFS($A$6:$A$205,A139)&lt;&gt;1,"Duplicate ID",IF(OR(NOT(ISNUMBER(B139)),G139="",H139="",J139="",E139&lt;0,F139&lt;0,AND(E139&gt;0,F139&gt;0),E139+F139&lt;=0),"Check required inputs",IF(OR(L139="Unknown lot",NOT(ISNUMBER(N139))),"Lot/cost incomplete",IF(AND(I139="Approved",OR(K139="",K139=J139)),"Independent review needed","OK")))))</x:f>
      </x:c>
    </x:row>
    <x:row r="140" ht="23" customHeight="1">
      <x:c r="A140" s="36"/>
      <x:c r="B140" s="40"/>
      <x:c r="C140" s="36"/>
      <x:c r="D140" s="36"/>
      <x:c r="E140" s="41"/>
      <x:c r="F140" s="41"/>
      <x:c r="G140" s="36"/>
      <x:c r="H140" s="36"/>
      <x:c r="I140" s="36"/>
      <x:c r="J140" s="36"/>
      <x:c r="K140" s="36"/>
      <x:c r="L140" s="42" t="str">
        <x:f>IF(A140="","",IF(COUNTIFS('Lots'!$A$6:$A$105,C140)=1,VLOOKUP(C140,'Lots'!$A$6:$O$105,2,FALSE),"Unknown lot"))</x:f>
      </x:c>
      <x:c r="M140" s="42" t="str">
        <x:f>IF(A140="","",IF(COUNTIFS('Lots'!$A$6:$A$105,C140)=1,VLOOKUP(C140,'Lots'!$A$6:$O$105,15,FALSE),"Unknown lot"))</x:f>
      </x:c>
      <x:c r="N140" s="37" t="str">
        <x:f>IF(A140="","",IF(COUNTIFS('Lots'!$A$6:$A$105,C140)=1,VLOOKUP(C140,'Lots'!$A$6:$O$105,10,FALSE),"Unknown lot"))</x:f>
      </x:c>
      <x:c r="O140" s="37" t="str">
        <x:f>IF(A140="","",IF(ISNUMBER(N140),E140*N140,"Cost missing"))</x:f>
      </x:c>
      <x:c r="P140" s="37" t="str">
        <x:f>IF(A140="","",IF(ISNUMBER(N140),F140*N140,"Cost missing"))</x:f>
      </x:c>
      <x:c r="Q140" s="42" t="str">
        <x:f>IF(A140="","",IF(COUNTIFS($A$6:$A$205,A140)&lt;&gt;1,"Duplicate ID",IF(OR(NOT(ISNUMBER(B140)),G140="",H140="",J140="",E140&lt;0,F140&lt;0,AND(E140&gt;0,F140&gt;0),E140+F140&lt;=0),"Check required inputs",IF(OR(L140="Unknown lot",NOT(ISNUMBER(N140))),"Lot/cost incomplete",IF(AND(I140="Approved",OR(K140="",K140=J140)),"Independent review needed","OK")))))</x:f>
      </x:c>
    </x:row>
    <x:row r="141" ht="23" customHeight="1">
      <x:c r="A141" s="36"/>
      <x:c r="B141" s="40"/>
      <x:c r="C141" s="36"/>
      <x:c r="D141" s="36"/>
      <x:c r="E141" s="41"/>
      <x:c r="F141" s="41"/>
      <x:c r="G141" s="36"/>
      <x:c r="H141" s="36"/>
      <x:c r="I141" s="36"/>
      <x:c r="J141" s="36"/>
      <x:c r="K141" s="36"/>
      <x:c r="L141" s="42" t="str">
        <x:f>IF(A141="","",IF(COUNTIFS('Lots'!$A$6:$A$105,C141)=1,VLOOKUP(C141,'Lots'!$A$6:$O$105,2,FALSE),"Unknown lot"))</x:f>
      </x:c>
      <x:c r="M141" s="42" t="str">
        <x:f>IF(A141="","",IF(COUNTIFS('Lots'!$A$6:$A$105,C141)=1,VLOOKUP(C141,'Lots'!$A$6:$O$105,15,FALSE),"Unknown lot"))</x:f>
      </x:c>
      <x:c r="N141" s="37" t="str">
        <x:f>IF(A141="","",IF(COUNTIFS('Lots'!$A$6:$A$105,C141)=1,VLOOKUP(C141,'Lots'!$A$6:$O$105,10,FALSE),"Unknown lot"))</x:f>
      </x:c>
      <x:c r="O141" s="37" t="str">
        <x:f>IF(A141="","",IF(ISNUMBER(N141),E141*N141,"Cost missing"))</x:f>
      </x:c>
      <x:c r="P141" s="37" t="str">
        <x:f>IF(A141="","",IF(ISNUMBER(N141),F141*N141,"Cost missing"))</x:f>
      </x:c>
      <x:c r="Q141" s="42" t="str">
        <x:f>IF(A141="","",IF(COUNTIFS($A$6:$A$205,A141)&lt;&gt;1,"Duplicate ID",IF(OR(NOT(ISNUMBER(B141)),G141="",H141="",J141="",E141&lt;0,F141&lt;0,AND(E141&gt;0,F141&gt;0),E141+F141&lt;=0),"Check required inputs",IF(OR(L141="Unknown lot",NOT(ISNUMBER(N141))),"Lot/cost incomplete",IF(AND(I141="Approved",OR(K141="",K141=J141)),"Independent review needed","OK")))))</x:f>
      </x:c>
    </x:row>
    <x:row r="142" ht="23" customHeight="1">
      <x:c r="A142" s="36"/>
      <x:c r="B142" s="40"/>
      <x:c r="C142" s="36"/>
      <x:c r="D142" s="36"/>
      <x:c r="E142" s="41"/>
      <x:c r="F142" s="41"/>
      <x:c r="G142" s="36"/>
      <x:c r="H142" s="36"/>
      <x:c r="I142" s="36"/>
      <x:c r="J142" s="36"/>
      <x:c r="K142" s="36"/>
      <x:c r="L142" s="42" t="str">
        <x:f>IF(A142="","",IF(COUNTIFS('Lots'!$A$6:$A$105,C142)=1,VLOOKUP(C142,'Lots'!$A$6:$O$105,2,FALSE),"Unknown lot"))</x:f>
      </x:c>
      <x:c r="M142" s="42" t="str">
        <x:f>IF(A142="","",IF(COUNTIFS('Lots'!$A$6:$A$105,C142)=1,VLOOKUP(C142,'Lots'!$A$6:$O$105,15,FALSE),"Unknown lot"))</x:f>
      </x:c>
      <x:c r="N142" s="37" t="str">
        <x:f>IF(A142="","",IF(COUNTIFS('Lots'!$A$6:$A$105,C142)=1,VLOOKUP(C142,'Lots'!$A$6:$O$105,10,FALSE),"Unknown lot"))</x:f>
      </x:c>
      <x:c r="O142" s="37" t="str">
        <x:f>IF(A142="","",IF(ISNUMBER(N142),E142*N142,"Cost missing"))</x:f>
      </x:c>
      <x:c r="P142" s="37" t="str">
        <x:f>IF(A142="","",IF(ISNUMBER(N142),F142*N142,"Cost missing"))</x:f>
      </x:c>
      <x:c r="Q142" s="42" t="str">
        <x:f>IF(A142="","",IF(COUNTIFS($A$6:$A$205,A142)&lt;&gt;1,"Duplicate ID",IF(OR(NOT(ISNUMBER(B142)),G142="",H142="",J142="",E142&lt;0,F142&lt;0,AND(E142&gt;0,F142&gt;0),E142+F142&lt;=0),"Check required inputs",IF(OR(L142="Unknown lot",NOT(ISNUMBER(N142))),"Lot/cost incomplete",IF(AND(I142="Approved",OR(K142="",K142=J142)),"Independent review needed","OK")))))</x:f>
      </x:c>
    </x:row>
    <x:row r="143" ht="23" customHeight="1">
      <x:c r="A143" s="36"/>
      <x:c r="B143" s="40"/>
      <x:c r="C143" s="36"/>
      <x:c r="D143" s="36"/>
      <x:c r="E143" s="41"/>
      <x:c r="F143" s="41"/>
      <x:c r="G143" s="36"/>
      <x:c r="H143" s="36"/>
      <x:c r="I143" s="36"/>
      <x:c r="J143" s="36"/>
      <x:c r="K143" s="36"/>
      <x:c r="L143" s="42" t="str">
        <x:f>IF(A143="","",IF(COUNTIFS('Lots'!$A$6:$A$105,C143)=1,VLOOKUP(C143,'Lots'!$A$6:$O$105,2,FALSE),"Unknown lot"))</x:f>
      </x:c>
      <x:c r="M143" s="42" t="str">
        <x:f>IF(A143="","",IF(COUNTIFS('Lots'!$A$6:$A$105,C143)=1,VLOOKUP(C143,'Lots'!$A$6:$O$105,15,FALSE),"Unknown lot"))</x:f>
      </x:c>
      <x:c r="N143" s="37" t="str">
        <x:f>IF(A143="","",IF(COUNTIFS('Lots'!$A$6:$A$105,C143)=1,VLOOKUP(C143,'Lots'!$A$6:$O$105,10,FALSE),"Unknown lot"))</x:f>
      </x:c>
      <x:c r="O143" s="37" t="str">
        <x:f>IF(A143="","",IF(ISNUMBER(N143),E143*N143,"Cost missing"))</x:f>
      </x:c>
      <x:c r="P143" s="37" t="str">
        <x:f>IF(A143="","",IF(ISNUMBER(N143),F143*N143,"Cost missing"))</x:f>
      </x:c>
      <x:c r="Q143" s="42" t="str">
        <x:f>IF(A143="","",IF(COUNTIFS($A$6:$A$205,A143)&lt;&gt;1,"Duplicate ID",IF(OR(NOT(ISNUMBER(B143)),G143="",H143="",J143="",E143&lt;0,F143&lt;0,AND(E143&gt;0,F143&gt;0),E143+F143&lt;=0),"Check required inputs",IF(OR(L143="Unknown lot",NOT(ISNUMBER(N143))),"Lot/cost incomplete",IF(AND(I143="Approved",OR(K143="",K143=J143)),"Independent review needed","OK")))))</x:f>
      </x:c>
    </x:row>
    <x:row r="144" ht="23" customHeight="1">
      <x:c r="A144" s="36"/>
      <x:c r="B144" s="40"/>
      <x:c r="C144" s="36"/>
      <x:c r="D144" s="36"/>
      <x:c r="E144" s="41"/>
      <x:c r="F144" s="41"/>
      <x:c r="G144" s="36"/>
      <x:c r="H144" s="36"/>
      <x:c r="I144" s="36"/>
      <x:c r="J144" s="36"/>
      <x:c r="K144" s="36"/>
      <x:c r="L144" s="42" t="str">
        <x:f>IF(A144="","",IF(COUNTIFS('Lots'!$A$6:$A$105,C144)=1,VLOOKUP(C144,'Lots'!$A$6:$O$105,2,FALSE),"Unknown lot"))</x:f>
      </x:c>
      <x:c r="M144" s="42" t="str">
        <x:f>IF(A144="","",IF(COUNTIFS('Lots'!$A$6:$A$105,C144)=1,VLOOKUP(C144,'Lots'!$A$6:$O$105,15,FALSE),"Unknown lot"))</x:f>
      </x:c>
      <x:c r="N144" s="37" t="str">
        <x:f>IF(A144="","",IF(COUNTIFS('Lots'!$A$6:$A$105,C144)=1,VLOOKUP(C144,'Lots'!$A$6:$O$105,10,FALSE),"Unknown lot"))</x:f>
      </x:c>
      <x:c r="O144" s="37" t="str">
        <x:f>IF(A144="","",IF(ISNUMBER(N144),E144*N144,"Cost missing"))</x:f>
      </x:c>
      <x:c r="P144" s="37" t="str">
        <x:f>IF(A144="","",IF(ISNUMBER(N144),F144*N144,"Cost missing"))</x:f>
      </x:c>
      <x:c r="Q144" s="42" t="str">
        <x:f>IF(A144="","",IF(COUNTIFS($A$6:$A$205,A144)&lt;&gt;1,"Duplicate ID",IF(OR(NOT(ISNUMBER(B144)),G144="",H144="",J144="",E144&lt;0,F144&lt;0,AND(E144&gt;0,F144&gt;0),E144+F144&lt;=0),"Check required inputs",IF(OR(L144="Unknown lot",NOT(ISNUMBER(N144))),"Lot/cost incomplete",IF(AND(I144="Approved",OR(K144="",K144=J144)),"Independent review needed","OK")))))</x:f>
      </x:c>
    </x:row>
    <x:row r="145" ht="23" customHeight="1">
      <x:c r="A145" s="36"/>
      <x:c r="B145" s="40"/>
      <x:c r="C145" s="36"/>
      <x:c r="D145" s="36"/>
      <x:c r="E145" s="41"/>
      <x:c r="F145" s="41"/>
      <x:c r="G145" s="36"/>
      <x:c r="H145" s="36"/>
      <x:c r="I145" s="36"/>
      <x:c r="J145" s="36"/>
      <x:c r="K145" s="36"/>
      <x:c r="L145" s="42" t="str">
        <x:f>IF(A145="","",IF(COUNTIFS('Lots'!$A$6:$A$105,C145)=1,VLOOKUP(C145,'Lots'!$A$6:$O$105,2,FALSE),"Unknown lot"))</x:f>
      </x:c>
      <x:c r="M145" s="42" t="str">
        <x:f>IF(A145="","",IF(COUNTIFS('Lots'!$A$6:$A$105,C145)=1,VLOOKUP(C145,'Lots'!$A$6:$O$105,15,FALSE),"Unknown lot"))</x:f>
      </x:c>
      <x:c r="N145" s="37" t="str">
        <x:f>IF(A145="","",IF(COUNTIFS('Lots'!$A$6:$A$105,C145)=1,VLOOKUP(C145,'Lots'!$A$6:$O$105,10,FALSE),"Unknown lot"))</x:f>
      </x:c>
      <x:c r="O145" s="37" t="str">
        <x:f>IF(A145="","",IF(ISNUMBER(N145),E145*N145,"Cost missing"))</x:f>
      </x:c>
      <x:c r="P145" s="37" t="str">
        <x:f>IF(A145="","",IF(ISNUMBER(N145),F145*N145,"Cost missing"))</x:f>
      </x:c>
      <x:c r="Q145" s="42" t="str">
        <x:f>IF(A145="","",IF(COUNTIFS($A$6:$A$205,A145)&lt;&gt;1,"Duplicate ID",IF(OR(NOT(ISNUMBER(B145)),G145="",H145="",J145="",E145&lt;0,F145&lt;0,AND(E145&gt;0,F145&gt;0),E145+F145&lt;=0),"Check required inputs",IF(OR(L145="Unknown lot",NOT(ISNUMBER(N145))),"Lot/cost incomplete",IF(AND(I145="Approved",OR(K145="",K145=J145)),"Independent review needed","OK")))))</x:f>
      </x:c>
    </x:row>
    <x:row r="146" ht="23" customHeight="1">
      <x:c r="A146" s="36"/>
      <x:c r="B146" s="40"/>
      <x:c r="C146" s="36"/>
      <x:c r="D146" s="36"/>
      <x:c r="E146" s="41"/>
      <x:c r="F146" s="41"/>
      <x:c r="G146" s="36"/>
      <x:c r="H146" s="36"/>
      <x:c r="I146" s="36"/>
      <x:c r="J146" s="36"/>
      <x:c r="K146" s="36"/>
      <x:c r="L146" s="42" t="str">
        <x:f>IF(A146="","",IF(COUNTIFS('Lots'!$A$6:$A$105,C146)=1,VLOOKUP(C146,'Lots'!$A$6:$O$105,2,FALSE),"Unknown lot"))</x:f>
      </x:c>
      <x:c r="M146" s="42" t="str">
        <x:f>IF(A146="","",IF(COUNTIFS('Lots'!$A$6:$A$105,C146)=1,VLOOKUP(C146,'Lots'!$A$6:$O$105,15,FALSE),"Unknown lot"))</x:f>
      </x:c>
      <x:c r="N146" s="37" t="str">
        <x:f>IF(A146="","",IF(COUNTIFS('Lots'!$A$6:$A$105,C146)=1,VLOOKUP(C146,'Lots'!$A$6:$O$105,10,FALSE),"Unknown lot"))</x:f>
      </x:c>
      <x:c r="O146" s="37" t="str">
        <x:f>IF(A146="","",IF(ISNUMBER(N146),E146*N146,"Cost missing"))</x:f>
      </x:c>
      <x:c r="P146" s="37" t="str">
        <x:f>IF(A146="","",IF(ISNUMBER(N146),F146*N146,"Cost missing"))</x:f>
      </x:c>
      <x:c r="Q146" s="42" t="str">
        <x:f>IF(A146="","",IF(COUNTIFS($A$6:$A$205,A146)&lt;&gt;1,"Duplicate ID",IF(OR(NOT(ISNUMBER(B146)),G146="",H146="",J146="",E146&lt;0,F146&lt;0,AND(E146&gt;0,F146&gt;0),E146+F146&lt;=0),"Check required inputs",IF(OR(L146="Unknown lot",NOT(ISNUMBER(N146))),"Lot/cost incomplete",IF(AND(I146="Approved",OR(K146="",K146=J146)),"Independent review needed","OK")))))</x:f>
      </x:c>
    </x:row>
    <x:row r="147" ht="23" customHeight="1">
      <x:c r="A147" s="36"/>
      <x:c r="B147" s="40"/>
      <x:c r="C147" s="36"/>
      <x:c r="D147" s="36"/>
      <x:c r="E147" s="41"/>
      <x:c r="F147" s="41"/>
      <x:c r="G147" s="36"/>
      <x:c r="H147" s="36"/>
      <x:c r="I147" s="36"/>
      <x:c r="J147" s="36"/>
      <x:c r="K147" s="36"/>
      <x:c r="L147" s="42" t="str">
        <x:f>IF(A147="","",IF(COUNTIFS('Lots'!$A$6:$A$105,C147)=1,VLOOKUP(C147,'Lots'!$A$6:$O$105,2,FALSE),"Unknown lot"))</x:f>
      </x:c>
      <x:c r="M147" s="42" t="str">
        <x:f>IF(A147="","",IF(COUNTIFS('Lots'!$A$6:$A$105,C147)=1,VLOOKUP(C147,'Lots'!$A$6:$O$105,15,FALSE),"Unknown lot"))</x:f>
      </x:c>
      <x:c r="N147" s="37" t="str">
        <x:f>IF(A147="","",IF(COUNTIFS('Lots'!$A$6:$A$105,C147)=1,VLOOKUP(C147,'Lots'!$A$6:$O$105,10,FALSE),"Unknown lot"))</x:f>
      </x:c>
      <x:c r="O147" s="37" t="str">
        <x:f>IF(A147="","",IF(ISNUMBER(N147),E147*N147,"Cost missing"))</x:f>
      </x:c>
      <x:c r="P147" s="37" t="str">
        <x:f>IF(A147="","",IF(ISNUMBER(N147),F147*N147,"Cost missing"))</x:f>
      </x:c>
      <x:c r="Q147" s="42" t="str">
        <x:f>IF(A147="","",IF(COUNTIFS($A$6:$A$205,A147)&lt;&gt;1,"Duplicate ID",IF(OR(NOT(ISNUMBER(B147)),G147="",H147="",J147="",E147&lt;0,F147&lt;0,AND(E147&gt;0,F147&gt;0),E147+F147&lt;=0),"Check required inputs",IF(OR(L147="Unknown lot",NOT(ISNUMBER(N147))),"Lot/cost incomplete",IF(AND(I147="Approved",OR(K147="",K147=J147)),"Independent review needed","OK")))))</x:f>
      </x:c>
    </x:row>
    <x:row r="148" ht="23" customHeight="1">
      <x:c r="A148" s="36"/>
      <x:c r="B148" s="40"/>
      <x:c r="C148" s="36"/>
      <x:c r="D148" s="36"/>
      <x:c r="E148" s="41"/>
      <x:c r="F148" s="41"/>
      <x:c r="G148" s="36"/>
      <x:c r="H148" s="36"/>
      <x:c r="I148" s="36"/>
      <x:c r="J148" s="36"/>
      <x:c r="K148" s="36"/>
      <x:c r="L148" s="42" t="str">
        <x:f>IF(A148="","",IF(COUNTIFS('Lots'!$A$6:$A$105,C148)=1,VLOOKUP(C148,'Lots'!$A$6:$O$105,2,FALSE),"Unknown lot"))</x:f>
      </x:c>
      <x:c r="M148" s="42" t="str">
        <x:f>IF(A148="","",IF(COUNTIFS('Lots'!$A$6:$A$105,C148)=1,VLOOKUP(C148,'Lots'!$A$6:$O$105,15,FALSE),"Unknown lot"))</x:f>
      </x:c>
      <x:c r="N148" s="37" t="str">
        <x:f>IF(A148="","",IF(COUNTIFS('Lots'!$A$6:$A$105,C148)=1,VLOOKUP(C148,'Lots'!$A$6:$O$105,10,FALSE),"Unknown lot"))</x:f>
      </x:c>
      <x:c r="O148" s="37" t="str">
        <x:f>IF(A148="","",IF(ISNUMBER(N148),E148*N148,"Cost missing"))</x:f>
      </x:c>
      <x:c r="P148" s="37" t="str">
        <x:f>IF(A148="","",IF(ISNUMBER(N148),F148*N148,"Cost missing"))</x:f>
      </x:c>
      <x:c r="Q148" s="42" t="str">
        <x:f>IF(A148="","",IF(COUNTIFS($A$6:$A$205,A148)&lt;&gt;1,"Duplicate ID",IF(OR(NOT(ISNUMBER(B148)),G148="",H148="",J148="",E148&lt;0,F148&lt;0,AND(E148&gt;0,F148&gt;0),E148+F148&lt;=0),"Check required inputs",IF(OR(L148="Unknown lot",NOT(ISNUMBER(N148))),"Lot/cost incomplete",IF(AND(I148="Approved",OR(K148="",K148=J148)),"Independent review needed","OK")))))</x:f>
      </x:c>
    </x:row>
    <x:row r="149" ht="23" customHeight="1">
      <x:c r="A149" s="36"/>
      <x:c r="B149" s="40"/>
      <x:c r="C149" s="36"/>
      <x:c r="D149" s="36"/>
      <x:c r="E149" s="41"/>
      <x:c r="F149" s="41"/>
      <x:c r="G149" s="36"/>
      <x:c r="H149" s="36"/>
      <x:c r="I149" s="36"/>
      <x:c r="J149" s="36"/>
      <x:c r="K149" s="36"/>
      <x:c r="L149" s="42" t="str">
        <x:f>IF(A149="","",IF(COUNTIFS('Lots'!$A$6:$A$105,C149)=1,VLOOKUP(C149,'Lots'!$A$6:$O$105,2,FALSE),"Unknown lot"))</x:f>
      </x:c>
      <x:c r="M149" s="42" t="str">
        <x:f>IF(A149="","",IF(COUNTIFS('Lots'!$A$6:$A$105,C149)=1,VLOOKUP(C149,'Lots'!$A$6:$O$105,15,FALSE),"Unknown lot"))</x:f>
      </x:c>
      <x:c r="N149" s="37" t="str">
        <x:f>IF(A149="","",IF(COUNTIFS('Lots'!$A$6:$A$105,C149)=1,VLOOKUP(C149,'Lots'!$A$6:$O$105,10,FALSE),"Unknown lot"))</x:f>
      </x:c>
      <x:c r="O149" s="37" t="str">
        <x:f>IF(A149="","",IF(ISNUMBER(N149),E149*N149,"Cost missing"))</x:f>
      </x:c>
      <x:c r="P149" s="37" t="str">
        <x:f>IF(A149="","",IF(ISNUMBER(N149),F149*N149,"Cost missing"))</x:f>
      </x:c>
      <x:c r="Q149" s="42" t="str">
        <x:f>IF(A149="","",IF(COUNTIFS($A$6:$A$205,A149)&lt;&gt;1,"Duplicate ID",IF(OR(NOT(ISNUMBER(B149)),G149="",H149="",J149="",E149&lt;0,F149&lt;0,AND(E149&gt;0,F149&gt;0),E149+F149&lt;=0),"Check required inputs",IF(OR(L149="Unknown lot",NOT(ISNUMBER(N149))),"Lot/cost incomplete",IF(AND(I149="Approved",OR(K149="",K149=J149)),"Independent review needed","OK")))))</x:f>
      </x:c>
    </x:row>
    <x:row r="150" ht="23" customHeight="1">
      <x:c r="A150" s="36"/>
      <x:c r="B150" s="40"/>
      <x:c r="C150" s="36"/>
      <x:c r="D150" s="36"/>
      <x:c r="E150" s="41"/>
      <x:c r="F150" s="41"/>
      <x:c r="G150" s="36"/>
      <x:c r="H150" s="36"/>
      <x:c r="I150" s="36"/>
      <x:c r="J150" s="36"/>
      <x:c r="K150" s="36"/>
      <x:c r="L150" s="42" t="str">
        <x:f>IF(A150="","",IF(COUNTIFS('Lots'!$A$6:$A$105,C150)=1,VLOOKUP(C150,'Lots'!$A$6:$O$105,2,FALSE),"Unknown lot"))</x:f>
      </x:c>
      <x:c r="M150" s="42" t="str">
        <x:f>IF(A150="","",IF(COUNTIFS('Lots'!$A$6:$A$105,C150)=1,VLOOKUP(C150,'Lots'!$A$6:$O$105,15,FALSE),"Unknown lot"))</x:f>
      </x:c>
      <x:c r="N150" s="37" t="str">
        <x:f>IF(A150="","",IF(COUNTIFS('Lots'!$A$6:$A$105,C150)=1,VLOOKUP(C150,'Lots'!$A$6:$O$105,10,FALSE),"Unknown lot"))</x:f>
      </x:c>
      <x:c r="O150" s="37" t="str">
        <x:f>IF(A150="","",IF(ISNUMBER(N150),E150*N150,"Cost missing"))</x:f>
      </x:c>
      <x:c r="P150" s="37" t="str">
        <x:f>IF(A150="","",IF(ISNUMBER(N150),F150*N150,"Cost missing"))</x:f>
      </x:c>
      <x:c r="Q150" s="42" t="str">
        <x:f>IF(A150="","",IF(COUNTIFS($A$6:$A$205,A150)&lt;&gt;1,"Duplicate ID",IF(OR(NOT(ISNUMBER(B150)),G150="",H150="",J150="",E150&lt;0,F150&lt;0,AND(E150&gt;0,F150&gt;0),E150+F150&lt;=0),"Check required inputs",IF(OR(L150="Unknown lot",NOT(ISNUMBER(N150))),"Lot/cost incomplete",IF(AND(I150="Approved",OR(K150="",K150=J150)),"Independent review needed","OK")))))</x:f>
      </x:c>
    </x:row>
    <x:row r="151" ht="23" customHeight="1">
      <x:c r="A151" s="36"/>
      <x:c r="B151" s="40"/>
      <x:c r="C151" s="36"/>
      <x:c r="D151" s="36"/>
      <x:c r="E151" s="41"/>
      <x:c r="F151" s="41"/>
      <x:c r="G151" s="36"/>
      <x:c r="H151" s="36"/>
      <x:c r="I151" s="36"/>
      <x:c r="J151" s="36"/>
      <x:c r="K151" s="36"/>
      <x:c r="L151" s="42" t="str">
        <x:f>IF(A151="","",IF(COUNTIFS('Lots'!$A$6:$A$105,C151)=1,VLOOKUP(C151,'Lots'!$A$6:$O$105,2,FALSE),"Unknown lot"))</x:f>
      </x:c>
      <x:c r="M151" s="42" t="str">
        <x:f>IF(A151="","",IF(COUNTIFS('Lots'!$A$6:$A$105,C151)=1,VLOOKUP(C151,'Lots'!$A$6:$O$105,15,FALSE),"Unknown lot"))</x:f>
      </x:c>
      <x:c r="N151" s="37" t="str">
        <x:f>IF(A151="","",IF(COUNTIFS('Lots'!$A$6:$A$105,C151)=1,VLOOKUP(C151,'Lots'!$A$6:$O$105,10,FALSE),"Unknown lot"))</x:f>
      </x:c>
      <x:c r="O151" s="37" t="str">
        <x:f>IF(A151="","",IF(ISNUMBER(N151),E151*N151,"Cost missing"))</x:f>
      </x:c>
      <x:c r="P151" s="37" t="str">
        <x:f>IF(A151="","",IF(ISNUMBER(N151),F151*N151,"Cost missing"))</x:f>
      </x:c>
      <x:c r="Q151" s="42" t="str">
        <x:f>IF(A151="","",IF(COUNTIFS($A$6:$A$205,A151)&lt;&gt;1,"Duplicate ID",IF(OR(NOT(ISNUMBER(B151)),G151="",H151="",J151="",E151&lt;0,F151&lt;0,AND(E151&gt;0,F151&gt;0),E151+F151&lt;=0),"Check required inputs",IF(OR(L151="Unknown lot",NOT(ISNUMBER(N151))),"Lot/cost incomplete",IF(AND(I151="Approved",OR(K151="",K151=J151)),"Independent review needed","OK")))))</x:f>
      </x:c>
    </x:row>
    <x:row r="152" ht="23" customHeight="1">
      <x:c r="A152" s="36"/>
      <x:c r="B152" s="40"/>
      <x:c r="C152" s="36"/>
      <x:c r="D152" s="36"/>
      <x:c r="E152" s="41"/>
      <x:c r="F152" s="41"/>
      <x:c r="G152" s="36"/>
      <x:c r="H152" s="36"/>
      <x:c r="I152" s="36"/>
      <x:c r="J152" s="36"/>
      <x:c r="K152" s="36"/>
      <x:c r="L152" s="42" t="str">
        <x:f>IF(A152="","",IF(COUNTIFS('Lots'!$A$6:$A$105,C152)=1,VLOOKUP(C152,'Lots'!$A$6:$O$105,2,FALSE),"Unknown lot"))</x:f>
      </x:c>
      <x:c r="M152" s="42" t="str">
        <x:f>IF(A152="","",IF(COUNTIFS('Lots'!$A$6:$A$105,C152)=1,VLOOKUP(C152,'Lots'!$A$6:$O$105,15,FALSE),"Unknown lot"))</x:f>
      </x:c>
      <x:c r="N152" s="37" t="str">
        <x:f>IF(A152="","",IF(COUNTIFS('Lots'!$A$6:$A$105,C152)=1,VLOOKUP(C152,'Lots'!$A$6:$O$105,10,FALSE),"Unknown lot"))</x:f>
      </x:c>
      <x:c r="O152" s="37" t="str">
        <x:f>IF(A152="","",IF(ISNUMBER(N152),E152*N152,"Cost missing"))</x:f>
      </x:c>
      <x:c r="P152" s="37" t="str">
        <x:f>IF(A152="","",IF(ISNUMBER(N152),F152*N152,"Cost missing"))</x:f>
      </x:c>
      <x:c r="Q152" s="42" t="str">
        <x:f>IF(A152="","",IF(COUNTIFS($A$6:$A$205,A152)&lt;&gt;1,"Duplicate ID",IF(OR(NOT(ISNUMBER(B152)),G152="",H152="",J152="",E152&lt;0,F152&lt;0,AND(E152&gt;0,F152&gt;0),E152+F152&lt;=0),"Check required inputs",IF(OR(L152="Unknown lot",NOT(ISNUMBER(N152))),"Lot/cost incomplete",IF(AND(I152="Approved",OR(K152="",K152=J152)),"Independent review needed","OK")))))</x:f>
      </x:c>
    </x:row>
    <x:row r="153" ht="23" customHeight="1">
      <x:c r="A153" s="36"/>
      <x:c r="B153" s="40"/>
      <x:c r="C153" s="36"/>
      <x:c r="D153" s="36"/>
      <x:c r="E153" s="41"/>
      <x:c r="F153" s="41"/>
      <x:c r="G153" s="36"/>
      <x:c r="H153" s="36"/>
      <x:c r="I153" s="36"/>
      <x:c r="J153" s="36"/>
      <x:c r="K153" s="36"/>
      <x:c r="L153" s="42" t="str">
        <x:f>IF(A153="","",IF(COUNTIFS('Lots'!$A$6:$A$105,C153)=1,VLOOKUP(C153,'Lots'!$A$6:$O$105,2,FALSE),"Unknown lot"))</x:f>
      </x:c>
      <x:c r="M153" s="42" t="str">
        <x:f>IF(A153="","",IF(COUNTIFS('Lots'!$A$6:$A$105,C153)=1,VLOOKUP(C153,'Lots'!$A$6:$O$105,15,FALSE),"Unknown lot"))</x:f>
      </x:c>
      <x:c r="N153" s="37" t="str">
        <x:f>IF(A153="","",IF(COUNTIFS('Lots'!$A$6:$A$105,C153)=1,VLOOKUP(C153,'Lots'!$A$6:$O$105,10,FALSE),"Unknown lot"))</x:f>
      </x:c>
      <x:c r="O153" s="37" t="str">
        <x:f>IF(A153="","",IF(ISNUMBER(N153),E153*N153,"Cost missing"))</x:f>
      </x:c>
      <x:c r="P153" s="37" t="str">
        <x:f>IF(A153="","",IF(ISNUMBER(N153),F153*N153,"Cost missing"))</x:f>
      </x:c>
      <x:c r="Q153" s="42" t="str">
        <x:f>IF(A153="","",IF(COUNTIFS($A$6:$A$205,A153)&lt;&gt;1,"Duplicate ID",IF(OR(NOT(ISNUMBER(B153)),G153="",H153="",J153="",E153&lt;0,F153&lt;0,AND(E153&gt;0,F153&gt;0),E153+F153&lt;=0),"Check required inputs",IF(OR(L153="Unknown lot",NOT(ISNUMBER(N153))),"Lot/cost incomplete",IF(AND(I153="Approved",OR(K153="",K153=J153)),"Independent review needed","OK")))))</x:f>
      </x:c>
    </x:row>
    <x:row r="154" ht="23" customHeight="1">
      <x:c r="A154" s="36"/>
      <x:c r="B154" s="40"/>
      <x:c r="C154" s="36"/>
      <x:c r="D154" s="36"/>
      <x:c r="E154" s="41"/>
      <x:c r="F154" s="41"/>
      <x:c r="G154" s="36"/>
      <x:c r="H154" s="36"/>
      <x:c r="I154" s="36"/>
      <x:c r="J154" s="36"/>
      <x:c r="K154" s="36"/>
      <x:c r="L154" s="42" t="str">
        <x:f>IF(A154="","",IF(COUNTIFS('Lots'!$A$6:$A$105,C154)=1,VLOOKUP(C154,'Lots'!$A$6:$O$105,2,FALSE),"Unknown lot"))</x:f>
      </x:c>
      <x:c r="M154" s="42" t="str">
        <x:f>IF(A154="","",IF(COUNTIFS('Lots'!$A$6:$A$105,C154)=1,VLOOKUP(C154,'Lots'!$A$6:$O$105,15,FALSE),"Unknown lot"))</x:f>
      </x:c>
      <x:c r="N154" s="37" t="str">
        <x:f>IF(A154="","",IF(COUNTIFS('Lots'!$A$6:$A$105,C154)=1,VLOOKUP(C154,'Lots'!$A$6:$O$105,10,FALSE),"Unknown lot"))</x:f>
      </x:c>
      <x:c r="O154" s="37" t="str">
        <x:f>IF(A154="","",IF(ISNUMBER(N154),E154*N154,"Cost missing"))</x:f>
      </x:c>
      <x:c r="P154" s="37" t="str">
        <x:f>IF(A154="","",IF(ISNUMBER(N154),F154*N154,"Cost missing"))</x:f>
      </x:c>
      <x:c r="Q154" s="42" t="str">
        <x:f>IF(A154="","",IF(COUNTIFS($A$6:$A$205,A154)&lt;&gt;1,"Duplicate ID",IF(OR(NOT(ISNUMBER(B154)),G154="",H154="",J154="",E154&lt;0,F154&lt;0,AND(E154&gt;0,F154&gt;0),E154+F154&lt;=0),"Check required inputs",IF(OR(L154="Unknown lot",NOT(ISNUMBER(N154))),"Lot/cost incomplete",IF(AND(I154="Approved",OR(K154="",K154=J154)),"Independent review needed","OK")))))</x:f>
      </x:c>
    </x:row>
    <x:row r="155" ht="23" customHeight="1">
      <x:c r="A155" s="36"/>
      <x:c r="B155" s="40"/>
      <x:c r="C155" s="36"/>
      <x:c r="D155" s="36"/>
      <x:c r="E155" s="41"/>
      <x:c r="F155" s="41"/>
      <x:c r="G155" s="36"/>
      <x:c r="H155" s="36"/>
      <x:c r="I155" s="36"/>
      <x:c r="J155" s="36"/>
      <x:c r="K155" s="36"/>
      <x:c r="L155" s="42" t="str">
        <x:f>IF(A155="","",IF(COUNTIFS('Lots'!$A$6:$A$105,C155)=1,VLOOKUP(C155,'Lots'!$A$6:$O$105,2,FALSE),"Unknown lot"))</x:f>
      </x:c>
      <x:c r="M155" s="42" t="str">
        <x:f>IF(A155="","",IF(COUNTIFS('Lots'!$A$6:$A$105,C155)=1,VLOOKUP(C155,'Lots'!$A$6:$O$105,15,FALSE),"Unknown lot"))</x:f>
      </x:c>
      <x:c r="N155" s="37" t="str">
        <x:f>IF(A155="","",IF(COUNTIFS('Lots'!$A$6:$A$105,C155)=1,VLOOKUP(C155,'Lots'!$A$6:$O$105,10,FALSE),"Unknown lot"))</x:f>
      </x:c>
      <x:c r="O155" s="37" t="str">
        <x:f>IF(A155="","",IF(ISNUMBER(N155),E155*N155,"Cost missing"))</x:f>
      </x:c>
      <x:c r="P155" s="37" t="str">
        <x:f>IF(A155="","",IF(ISNUMBER(N155),F155*N155,"Cost missing"))</x:f>
      </x:c>
      <x:c r="Q155" s="42" t="str">
        <x:f>IF(A155="","",IF(COUNTIFS($A$6:$A$205,A155)&lt;&gt;1,"Duplicate ID",IF(OR(NOT(ISNUMBER(B155)),G155="",H155="",J155="",E155&lt;0,F155&lt;0,AND(E155&gt;0,F155&gt;0),E155+F155&lt;=0),"Check required inputs",IF(OR(L155="Unknown lot",NOT(ISNUMBER(N155))),"Lot/cost incomplete",IF(AND(I155="Approved",OR(K155="",K155=J155)),"Independent review needed","OK")))))</x:f>
      </x:c>
    </x:row>
    <x:row r="156" ht="23" customHeight="1">
      <x:c r="A156" s="36"/>
      <x:c r="B156" s="40"/>
      <x:c r="C156" s="36"/>
      <x:c r="D156" s="36"/>
      <x:c r="E156" s="41"/>
      <x:c r="F156" s="41"/>
      <x:c r="G156" s="36"/>
      <x:c r="H156" s="36"/>
      <x:c r="I156" s="36"/>
      <x:c r="J156" s="36"/>
      <x:c r="K156" s="36"/>
      <x:c r="L156" s="42" t="str">
        <x:f>IF(A156="","",IF(COUNTIFS('Lots'!$A$6:$A$105,C156)=1,VLOOKUP(C156,'Lots'!$A$6:$O$105,2,FALSE),"Unknown lot"))</x:f>
      </x:c>
      <x:c r="M156" s="42" t="str">
        <x:f>IF(A156="","",IF(COUNTIFS('Lots'!$A$6:$A$105,C156)=1,VLOOKUP(C156,'Lots'!$A$6:$O$105,15,FALSE),"Unknown lot"))</x:f>
      </x:c>
      <x:c r="N156" s="37" t="str">
        <x:f>IF(A156="","",IF(COUNTIFS('Lots'!$A$6:$A$105,C156)=1,VLOOKUP(C156,'Lots'!$A$6:$O$105,10,FALSE),"Unknown lot"))</x:f>
      </x:c>
      <x:c r="O156" s="37" t="str">
        <x:f>IF(A156="","",IF(ISNUMBER(N156),E156*N156,"Cost missing"))</x:f>
      </x:c>
      <x:c r="P156" s="37" t="str">
        <x:f>IF(A156="","",IF(ISNUMBER(N156),F156*N156,"Cost missing"))</x:f>
      </x:c>
      <x:c r="Q156" s="42" t="str">
        <x:f>IF(A156="","",IF(COUNTIFS($A$6:$A$205,A156)&lt;&gt;1,"Duplicate ID",IF(OR(NOT(ISNUMBER(B156)),G156="",H156="",J156="",E156&lt;0,F156&lt;0,AND(E156&gt;0,F156&gt;0),E156+F156&lt;=0),"Check required inputs",IF(OR(L156="Unknown lot",NOT(ISNUMBER(N156))),"Lot/cost incomplete",IF(AND(I156="Approved",OR(K156="",K156=J156)),"Independent review needed","OK")))))</x:f>
      </x:c>
    </x:row>
    <x:row r="157" ht="23" customHeight="1">
      <x:c r="A157" s="36"/>
      <x:c r="B157" s="40"/>
      <x:c r="C157" s="36"/>
      <x:c r="D157" s="36"/>
      <x:c r="E157" s="41"/>
      <x:c r="F157" s="41"/>
      <x:c r="G157" s="36"/>
      <x:c r="H157" s="36"/>
      <x:c r="I157" s="36"/>
      <x:c r="J157" s="36"/>
      <x:c r="K157" s="36"/>
      <x:c r="L157" s="42" t="str">
        <x:f>IF(A157="","",IF(COUNTIFS('Lots'!$A$6:$A$105,C157)=1,VLOOKUP(C157,'Lots'!$A$6:$O$105,2,FALSE),"Unknown lot"))</x:f>
      </x:c>
      <x:c r="M157" s="42" t="str">
        <x:f>IF(A157="","",IF(COUNTIFS('Lots'!$A$6:$A$105,C157)=1,VLOOKUP(C157,'Lots'!$A$6:$O$105,15,FALSE),"Unknown lot"))</x:f>
      </x:c>
      <x:c r="N157" s="37" t="str">
        <x:f>IF(A157="","",IF(COUNTIFS('Lots'!$A$6:$A$105,C157)=1,VLOOKUP(C157,'Lots'!$A$6:$O$105,10,FALSE),"Unknown lot"))</x:f>
      </x:c>
      <x:c r="O157" s="37" t="str">
        <x:f>IF(A157="","",IF(ISNUMBER(N157),E157*N157,"Cost missing"))</x:f>
      </x:c>
      <x:c r="P157" s="37" t="str">
        <x:f>IF(A157="","",IF(ISNUMBER(N157),F157*N157,"Cost missing"))</x:f>
      </x:c>
      <x:c r="Q157" s="42" t="str">
        <x:f>IF(A157="","",IF(COUNTIFS($A$6:$A$205,A157)&lt;&gt;1,"Duplicate ID",IF(OR(NOT(ISNUMBER(B157)),G157="",H157="",J157="",E157&lt;0,F157&lt;0,AND(E157&gt;0,F157&gt;0),E157+F157&lt;=0),"Check required inputs",IF(OR(L157="Unknown lot",NOT(ISNUMBER(N157))),"Lot/cost incomplete",IF(AND(I157="Approved",OR(K157="",K157=J157)),"Independent review needed","OK")))))</x:f>
      </x:c>
    </x:row>
    <x:row r="158" ht="23" customHeight="1">
      <x:c r="A158" s="36"/>
      <x:c r="B158" s="40"/>
      <x:c r="C158" s="36"/>
      <x:c r="D158" s="36"/>
      <x:c r="E158" s="41"/>
      <x:c r="F158" s="41"/>
      <x:c r="G158" s="36"/>
      <x:c r="H158" s="36"/>
      <x:c r="I158" s="36"/>
      <x:c r="J158" s="36"/>
      <x:c r="K158" s="36"/>
      <x:c r="L158" s="42" t="str">
        <x:f>IF(A158="","",IF(COUNTIFS('Lots'!$A$6:$A$105,C158)=1,VLOOKUP(C158,'Lots'!$A$6:$O$105,2,FALSE),"Unknown lot"))</x:f>
      </x:c>
      <x:c r="M158" s="42" t="str">
        <x:f>IF(A158="","",IF(COUNTIFS('Lots'!$A$6:$A$105,C158)=1,VLOOKUP(C158,'Lots'!$A$6:$O$105,15,FALSE),"Unknown lot"))</x:f>
      </x:c>
      <x:c r="N158" s="37" t="str">
        <x:f>IF(A158="","",IF(COUNTIFS('Lots'!$A$6:$A$105,C158)=1,VLOOKUP(C158,'Lots'!$A$6:$O$105,10,FALSE),"Unknown lot"))</x:f>
      </x:c>
      <x:c r="O158" s="37" t="str">
        <x:f>IF(A158="","",IF(ISNUMBER(N158),E158*N158,"Cost missing"))</x:f>
      </x:c>
      <x:c r="P158" s="37" t="str">
        <x:f>IF(A158="","",IF(ISNUMBER(N158),F158*N158,"Cost missing"))</x:f>
      </x:c>
      <x:c r="Q158" s="42" t="str">
        <x:f>IF(A158="","",IF(COUNTIFS($A$6:$A$205,A158)&lt;&gt;1,"Duplicate ID",IF(OR(NOT(ISNUMBER(B158)),G158="",H158="",J158="",E158&lt;0,F158&lt;0,AND(E158&gt;0,F158&gt;0),E158+F158&lt;=0),"Check required inputs",IF(OR(L158="Unknown lot",NOT(ISNUMBER(N158))),"Lot/cost incomplete",IF(AND(I158="Approved",OR(K158="",K158=J158)),"Independent review needed","OK")))))</x:f>
      </x:c>
    </x:row>
    <x:row r="159" ht="23" customHeight="1">
      <x:c r="A159" s="36"/>
      <x:c r="B159" s="40"/>
      <x:c r="C159" s="36"/>
      <x:c r="D159" s="36"/>
      <x:c r="E159" s="41"/>
      <x:c r="F159" s="41"/>
      <x:c r="G159" s="36"/>
      <x:c r="H159" s="36"/>
      <x:c r="I159" s="36"/>
      <x:c r="J159" s="36"/>
      <x:c r="K159" s="36"/>
      <x:c r="L159" s="42" t="str">
        <x:f>IF(A159="","",IF(COUNTIFS('Lots'!$A$6:$A$105,C159)=1,VLOOKUP(C159,'Lots'!$A$6:$O$105,2,FALSE),"Unknown lot"))</x:f>
      </x:c>
      <x:c r="M159" s="42" t="str">
        <x:f>IF(A159="","",IF(COUNTIFS('Lots'!$A$6:$A$105,C159)=1,VLOOKUP(C159,'Lots'!$A$6:$O$105,15,FALSE),"Unknown lot"))</x:f>
      </x:c>
      <x:c r="N159" s="37" t="str">
        <x:f>IF(A159="","",IF(COUNTIFS('Lots'!$A$6:$A$105,C159)=1,VLOOKUP(C159,'Lots'!$A$6:$O$105,10,FALSE),"Unknown lot"))</x:f>
      </x:c>
      <x:c r="O159" s="37" t="str">
        <x:f>IF(A159="","",IF(ISNUMBER(N159),E159*N159,"Cost missing"))</x:f>
      </x:c>
      <x:c r="P159" s="37" t="str">
        <x:f>IF(A159="","",IF(ISNUMBER(N159),F159*N159,"Cost missing"))</x:f>
      </x:c>
      <x:c r="Q159" s="42" t="str">
        <x:f>IF(A159="","",IF(COUNTIFS($A$6:$A$205,A159)&lt;&gt;1,"Duplicate ID",IF(OR(NOT(ISNUMBER(B159)),G159="",H159="",J159="",E159&lt;0,F159&lt;0,AND(E159&gt;0,F159&gt;0),E159+F159&lt;=0),"Check required inputs",IF(OR(L159="Unknown lot",NOT(ISNUMBER(N159))),"Lot/cost incomplete",IF(AND(I159="Approved",OR(K159="",K159=J159)),"Independent review needed","OK")))))</x:f>
      </x:c>
    </x:row>
    <x:row r="160" ht="23" customHeight="1">
      <x:c r="A160" s="36"/>
      <x:c r="B160" s="40"/>
      <x:c r="C160" s="36"/>
      <x:c r="D160" s="36"/>
      <x:c r="E160" s="41"/>
      <x:c r="F160" s="41"/>
      <x:c r="G160" s="36"/>
      <x:c r="H160" s="36"/>
      <x:c r="I160" s="36"/>
      <x:c r="J160" s="36"/>
      <x:c r="K160" s="36"/>
      <x:c r="L160" s="42" t="str">
        <x:f>IF(A160="","",IF(COUNTIFS('Lots'!$A$6:$A$105,C160)=1,VLOOKUP(C160,'Lots'!$A$6:$O$105,2,FALSE),"Unknown lot"))</x:f>
      </x:c>
      <x:c r="M160" s="42" t="str">
        <x:f>IF(A160="","",IF(COUNTIFS('Lots'!$A$6:$A$105,C160)=1,VLOOKUP(C160,'Lots'!$A$6:$O$105,15,FALSE),"Unknown lot"))</x:f>
      </x:c>
      <x:c r="N160" s="37" t="str">
        <x:f>IF(A160="","",IF(COUNTIFS('Lots'!$A$6:$A$105,C160)=1,VLOOKUP(C160,'Lots'!$A$6:$O$105,10,FALSE),"Unknown lot"))</x:f>
      </x:c>
      <x:c r="O160" s="37" t="str">
        <x:f>IF(A160="","",IF(ISNUMBER(N160),E160*N160,"Cost missing"))</x:f>
      </x:c>
      <x:c r="P160" s="37" t="str">
        <x:f>IF(A160="","",IF(ISNUMBER(N160),F160*N160,"Cost missing"))</x:f>
      </x:c>
      <x:c r="Q160" s="42" t="str">
        <x:f>IF(A160="","",IF(COUNTIFS($A$6:$A$205,A160)&lt;&gt;1,"Duplicate ID",IF(OR(NOT(ISNUMBER(B160)),G160="",H160="",J160="",E160&lt;0,F160&lt;0,AND(E160&gt;0,F160&gt;0),E160+F160&lt;=0),"Check required inputs",IF(OR(L160="Unknown lot",NOT(ISNUMBER(N160))),"Lot/cost incomplete",IF(AND(I160="Approved",OR(K160="",K160=J160)),"Independent review needed","OK")))))</x:f>
      </x:c>
    </x:row>
    <x:row r="161" ht="23" customHeight="1">
      <x:c r="A161" s="36"/>
      <x:c r="B161" s="40"/>
      <x:c r="C161" s="36"/>
      <x:c r="D161" s="36"/>
      <x:c r="E161" s="41"/>
      <x:c r="F161" s="41"/>
      <x:c r="G161" s="36"/>
      <x:c r="H161" s="36"/>
      <x:c r="I161" s="36"/>
      <x:c r="J161" s="36"/>
      <x:c r="K161" s="36"/>
      <x:c r="L161" s="42" t="str">
        <x:f>IF(A161="","",IF(COUNTIFS('Lots'!$A$6:$A$105,C161)=1,VLOOKUP(C161,'Lots'!$A$6:$O$105,2,FALSE),"Unknown lot"))</x:f>
      </x:c>
      <x:c r="M161" s="42" t="str">
        <x:f>IF(A161="","",IF(COUNTIFS('Lots'!$A$6:$A$105,C161)=1,VLOOKUP(C161,'Lots'!$A$6:$O$105,15,FALSE),"Unknown lot"))</x:f>
      </x:c>
      <x:c r="N161" s="37" t="str">
        <x:f>IF(A161="","",IF(COUNTIFS('Lots'!$A$6:$A$105,C161)=1,VLOOKUP(C161,'Lots'!$A$6:$O$105,10,FALSE),"Unknown lot"))</x:f>
      </x:c>
      <x:c r="O161" s="37" t="str">
        <x:f>IF(A161="","",IF(ISNUMBER(N161),E161*N161,"Cost missing"))</x:f>
      </x:c>
      <x:c r="P161" s="37" t="str">
        <x:f>IF(A161="","",IF(ISNUMBER(N161),F161*N161,"Cost missing"))</x:f>
      </x:c>
      <x:c r="Q161" s="42" t="str">
        <x:f>IF(A161="","",IF(COUNTIFS($A$6:$A$205,A161)&lt;&gt;1,"Duplicate ID",IF(OR(NOT(ISNUMBER(B161)),G161="",H161="",J161="",E161&lt;0,F161&lt;0,AND(E161&gt;0,F161&gt;0),E161+F161&lt;=0),"Check required inputs",IF(OR(L161="Unknown lot",NOT(ISNUMBER(N161))),"Lot/cost incomplete",IF(AND(I161="Approved",OR(K161="",K161=J161)),"Independent review needed","OK")))))</x:f>
      </x:c>
    </x:row>
    <x:row r="162" ht="23" customHeight="1">
      <x:c r="A162" s="36"/>
      <x:c r="B162" s="40"/>
      <x:c r="C162" s="36"/>
      <x:c r="D162" s="36"/>
      <x:c r="E162" s="41"/>
      <x:c r="F162" s="41"/>
      <x:c r="G162" s="36"/>
      <x:c r="H162" s="36"/>
      <x:c r="I162" s="36"/>
      <x:c r="J162" s="36"/>
      <x:c r="K162" s="36"/>
      <x:c r="L162" s="42" t="str">
        <x:f>IF(A162="","",IF(COUNTIFS('Lots'!$A$6:$A$105,C162)=1,VLOOKUP(C162,'Lots'!$A$6:$O$105,2,FALSE),"Unknown lot"))</x:f>
      </x:c>
      <x:c r="M162" s="42" t="str">
        <x:f>IF(A162="","",IF(COUNTIFS('Lots'!$A$6:$A$105,C162)=1,VLOOKUP(C162,'Lots'!$A$6:$O$105,15,FALSE),"Unknown lot"))</x:f>
      </x:c>
      <x:c r="N162" s="37" t="str">
        <x:f>IF(A162="","",IF(COUNTIFS('Lots'!$A$6:$A$105,C162)=1,VLOOKUP(C162,'Lots'!$A$6:$O$105,10,FALSE),"Unknown lot"))</x:f>
      </x:c>
      <x:c r="O162" s="37" t="str">
        <x:f>IF(A162="","",IF(ISNUMBER(N162),E162*N162,"Cost missing"))</x:f>
      </x:c>
      <x:c r="P162" s="37" t="str">
        <x:f>IF(A162="","",IF(ISNUMBER(N162),F162*N162,"Cost missing"))</x:f>
      </x:c>
      <x:c r="Q162" s="42" t="str">
        <x:f>IF(A162="","",IF(COUNTIFS($A$6:$A$205,A162)&lt;&gt;1,"Duplicate ID",IF(OR(NOT(ISNUMBER(B162)),G162="",H162="",J162="",E162&lt;0,F162&lt;0,AND(E162&gt;0,F162&gt;0),E162+F162&lt;=0),"Check required inputs",IF(OR(L162="Unknown lot",NOT(ISNUMBER(N162))),"Lot/cost incomplete",IF(AND(I162="Approved",OR(K162="",K162=J162)),"Independent review needed","OK")))))</x:f>
      </x:c>
    </x:row>
    <x:row r="163" ht="23" customHeight="1">
      <x:c r="A163" s="36"/>
      <x:c r="B163" s="40"/>
      <x:c r="C163" s="36"/>
      <x:c r="D163" s="36"/>
      <x:c r="E163" s="41"/>
      <x:c r="F163" s="41"/>
      <x:c r="G163" s="36"/>
      <x:c r="H163" s="36"/>
      <x:c r="I163" s="36"/>
      <x:c r="J163" s="36"/>
      <x:c r="K163" s="36"/>
      <x:c r="L163" s="42" t="str">
        <x:f>IF(A163="","",IF(COUNTIFS('Lots'!$A$6:$A$105,C163)=1,VLOOKUP(C163,'Lots'!$A$6:$O$105,2,FALSE),"Unknown lot"))</x:f>
      </x:c>
      <x:c r="M163" s="42" t="str">
        <x:f>IF(A163="","",IF(COUNTIFS('Lots'!$A$6:$A$105,C163)=1,VLOOKUP(C163,'Lots'!$A$6:$O$105,15,FALSE),"Unknown lot"))</x:f>
      </x:c>
      <x:c r="N163" s="37" t="str">
        <x:f>IF(A163="","",IF(COUNTIFS('Lots'!$A$6:$A$105,C163)=1,VLOOKUP(C163,'Lots'!$A$6:$O$105,10,FALSE),"Unknown lot"))</x:f>
      </x:c>
      <x:c r="O163" s="37" t="str">
        <x:f>IF(A163="","",IF(ISNUMBER(N163),E163*N163,"Cost missing"))</x:f>
      </x:c>
      <x:c r="P163" s="37" t="str">
        <x:f>IF(A163="","",IF(ISNUMBER(N163),F163*N163,"Cost missing"))</x:f>
      </x:c>
      <x:c r="Q163" s="42" t="str">
        <x:f>IF(A163="","",IF(COUNTIFS($A$6:$A$205,A163)&lt;&gt;1,"Duplicate ID",IF(OR(NOT(ISNUMBER(B163)),G163="",H163="",J163="",E163&lt;0,F163&lt;0,AND(E163&gt;0,F163&gt;0),E163+F163&lt;=0),"Check required inputs",IF(OR(L163="Unknown lot",NOT(ISNUMBER(N163))),"Lot/cost incomplete",IF(AND(I163="Approved",OR(K163="",K163=J163)),"Independent review needed","OK")))))</x:f>
      </x:c>
    </x:row>
    <x:row r="164" ht="23" customHeight="1">
      <x:c r="A164" s="36"/>
      <x:c r="B164" s="40"/>
      <x:c r="C164" s="36"/>
      <x:c r="D164" s="36"/>
      <x:c r="E164" s="41"/>
      <x:c r="F164" s="41"/>
      <x:c r="G164" s="36"/>
      <x:c r="H164" s="36"/>
      <x:c r="I164" s="36"/>
      <x:c r="J164" s="36"/>
      <x:c r="K164" s="36"/>
      <x:c r="L164" s="42" t="str">
        <x:f>IF(A164="","",IF(COUNTIFS('Lots'!$A$6:$A$105,C164)=1,VLOOKUP(C164,'Lots'!$A$6:$O$105,2,FALSE),"Unknown lot"))</x:f>
      </x:c>
      <x:c r="M164" s="42" t="str">
        <x:f>IF(A164="","",IF(COUNTIFS('Lots'!$A$6:$A$105,C164)=1,VLOOKUP(C164,'Lots'!$A$6:$O$105,15,FALSE),"Unknown lot"))</x:f>
      </x:c>
      <x:c r="N164" s="37" t="str">
        <x:f>IF(A164="","",IF(COUNTIFS('Lots'!$A$6:$A$105,C164)=1,VLOOKUP(C164,'Lots'!$A$6:$O$105,10,FALSE),"Unknown lot"))</x:f>
      </x:c>
      <x:c r="O164" s="37" t="str">
        <x:f>IF(A164="","",IF(ISNUMBER(N164),E164*N164,"Cost missing"))</x:f>
      </x:c>
      <x:c r="P164" s="37" t="str">
        <x:f>IF(A164="","",IF(ISNUMBER(N164),F164*N164,"Cost missing"))</x:f>
      </x:c>
      <x:c r="Q164" s="42" t="str">
        <x:f>IF(A164="","",IF(COUNTIFS($A$6:$A$205,A164)&lt;&gt;1,"Duplicate ID",IF(OR(NOT(ISNUMBER(B164)),G164="",H164="",J164="",E164&lt;0,F164&lt;0,AND(E164&gt;0,F164&gt;0),E164+F164&lt;=0),"Check required inputs",IF(OR(L164="Unknown lot",NOT(ISNUMBER(N164))),"Lot/cost incomplete",IF(AND(I164="Approved",OR(K164="",K164=J164)),"Independent review needed","OK")))))</x:f>
      </x:c>
    </x:row>
    <x:row r="165" ht="23" customHeight="1">
      <x:c r="A165" s="36"/>
      <x:c r="B165" s="40"/>
      <x:c r="C165" s="36"/>
      <x:c r="D165" s="36"/>
      <x:c r="E165" s="41"/>
      <x:c r="F165" s="41"/>
      <x:c r="G165" s="36"/>
      <x:c r="H165" s="36"/>
      <x:c r="I165" s="36"/>
      <x:c r="J165" s="36"/>
      <x:c r="K165" s="36"/>
      <x:c r="L165" s="42" t="str">
        <x:f>IF(A165="","",IF(COUNTIFS('Lots'!$A$6:$A$105,C165)=1,VLOOKUP(C165,'Lots'!$A$6:$O$105,2,FALSE),"Unknown lot"))</x:f>
      </x:c>
      <x:c r="M165" s="42" t="str">
        <x:f>IF(A165="","",IF(COUNTIFS('Lots'!$A$6:$A$105,C165)=1,VLOOKUP(C165,'Lots'!$A$6:$O$105,15,FALSE),"Unknown lot"))</x:f>
      </x:c>
      <x:c r="N165" s="37" t="str">
        <x:f>IF(A165="","",IF(COUNTIFS('Lots'!$A$6:$A$105,C165)=1,VLOOKUP(C165,'Lots'!$A$6:$O$105,10,FALSE),"Unknown lot"))</x:f>
      </x:c>
      <x:c r="O165" s="37" t="str">
        <x:f>IF(A165="","",IF(ISNUMBER(N165),E165*N165,"Cost missing"))</x:f>
      </x:c>
      <x:c r="P165" s="37" t="str">
        <x:f>IF(A165="","",IF(ISNUMBER(N165),F165*N165,"Cost missing"))</x:f>
      </x:c>
      <x:c r="Q165" s="42" t="str">
        <x:f>IF(A165="","",IF(COUNTIFS($A$6:$A$205,A165)&lt;&gt;1,"Duplicate ID",IF(OR(NOT(ISNUMBER(B165)),G165="",H165="",J165="",E165&lt;0,F165&lt;0,AND(E165&gt;0,F165&gt;0),E165+F165&lt;=0),"Check required inputs",IF(OR(L165="Unknown lot",NOT(ISNUMBER(N165))),"Lot/cost incomplete",IF(AND(I165="Approved",OR(K165="",K165=J165)),"Independent review needed","OK")))))</x:f>
      </x:c>
    </x:row>
    <x:row r="166" ht="23" customHeight="1">
      <x:c r="A166" s="36"/>
      <x:c r="B166" s="40"/>
      <x:c r="C166" s="36"/>
      <x:c r="D166" s="36"/>
      <x:c r="E166" s="41"/>
      <x:c r="F166" s="41"/>
      <x:c r="G166" s="36"/>
      <x:c r="H166" s="36"/>
      <x:c r="I166" s="36"/>
      <x:c r="J166" s="36"/>
      <x:c r="K166" s="36"/>
      <x:c r="L166" s="42" t="str">
        <x:f>IF(A166="","",IF(COUNTIFS('Lots'!$A$6:$A$105,C166)=1,VLOOKUP(C166,'Lots'!$A$6:$O$105,2,FALSE),"Unknown lot"))</x:f>
      </x:c>
      <x:c r="M166" s="42" t="str">
        <x:f>IF(A166="","",IF(COUNTIFS('Lots'!$A$6:$A$105,C166)=1,VLOOKUP(C166,'Lots'!$A$6:$O$105,15,FALSE),"Unknown lot"))</x:f>
      </x:c>
      <x:c r="N166" s="37" t="str">
        <x:f>IF(A166="","",IF(COUNTIFS('Lots'!$A$6:$A$105,C166)=1,VLOOKUP(C166,'Lots'!$A$6:$O$105,10,FALSE),"Unknown lot"))</x:f>
      </x:c>
      <x:c r="O166" s="37" t="str">
        <x:f>IF(A166="","",IF(ISNUMBER(N166),E166*N166,"Cost missing"))</x:f>
      </x:c>
      <x:c r="P166" s="37" t="str">
        <x:f>IF(A166="","",IF(ISNUMBER(N166),F166*N166,"Cost missing"))</x:f>
      </x:c>
      <x:c r="Q166" s="42" t="str">
        <x:f>IF(A166="","",IF(COUNTIFS($A$6:$A$205,A166)&lt;&gt;1,"Duplicate ID",IF(OR(NOT(ISNUMBER(B166)),G166="",H166="",J166="",E166&lt;0,F166&lt;0,AND(E166&gt;0,F166&gt;0),E166+F166&lt;=0),"Check required inputs",IF(OR(L166="Unknown lot",NOT(ISNUMBER(N166))),"Lot/cost incomplete",IF(AND(I166="Approved",OR(K166="",K166=J166)),"Independent review needed","OK")))))</x:f>
      </x:c>
    </x:row>
    <x:row r="167" ht="23" customHeight="1">
      <x:c r="A167" s="36"/>
      <x:c r="B167" s="40"/>
      <x:c r="C167" s="36"/>
      <x:c r="D167" s="36"/>
      <x:c r="E167" s="41"/>
      <x:c r="F167" s="41"/>
      <x:c r="G167" s="36"/>
      <x:c r="H167" s="36"/>
      <x:c r="I167" s="36"/>
      <x:c r="J167" s="36"/>
      <x:c r="K167" s="36"/>
      <x:c r="L167" s="42" t="str">
        <x:f>IF(A167="","",IF(COUNTIFS('Lots'!$A$6:$A$105,C167)=1,VLOOKUP(C167,'Lots'!$A$6:$O$105,2,FALSE),"Unknown lot"))</x:f>
      </x:c>
      <x:c r="M167" s="42" t="str">
        <x:f>IF(A167="","",IF(COUNTIFS('Lots'!$A$6:$A$105,C167)=1,VLOOKUP(C167,'Lots'!$A$6:$O$105,15,FALSE),"Unknown lot"))</x:f>
      </x:c>
      <x:c r="N167" s="37" t="str">
        <x:f>IF(A167="","",IF(COUNTIFS('Lots'!$A$6:$A$105,C167)=1,VLOOKUP(C167,'Lots'!$A$6:$O$105,10,FALSE),"Unknown lot"))</x:f>
      </x:c>
      <x:c r="O167" s="37" t="str">
        <x:f>IF(A167="","",IF(ISNUMBER(N167),E167*N167,"Cost missing"))</x:f>
      </x:c>
      <x:c r="P167" s="37" t="str">
        <x:f>IF(A167="","",IF(ISNUMBER(N167),F167*N167,"Cost missing"))</x:f>
      </x:c>
      <x:c r="Q167" s="42" t="str">
        <x:f>IF(A167="","",IF(COUNTIFS($A$6:$A$205,A167)&lt;&gt;1,"Duplicate ID",IF(OR(NOT(ISNUMBER(B167)),G167="",H167="",J167="",E167&lt;0,F167&lt;0,AND(E167&gt;0,F167&gt;0),E167+F167&lt;=0),"Check required inputs",IF(OR(L167="Unknown lot",NOT(ISNUMBER(N167))),"Lot/cost incomplete",IF(AND(I167="Approved",OR(K167="",K167=J167)),"Independent review needed","OK")))))</x:f>
      </x:c>
    </x:row>
    <x:row r="168" ht="23" customHeight="1">
      <x:c r="A168" s="36"/>
      <x:c r="B168" s="40"/>
      <x:c r="C168" s="36"/>
      <x:c r="D168" s="36"/>
      <x:c r="E168" s="41"/>
      <x:c r="F168" s="41"/>
      <x:c r="G168" s="36"/>
      <x:c r="H168" s="36"/>
      <x:c r="I168" s="36"/>
      <x:c r="J168" s="36"/>
      <x:c r="K168" s="36"/>
      <x:c r="L168" s="42" t="str">
        <x:f>IF(A168="","",IF(COUNTIFS('Lots'!$A$6:$A$105,C168)=1,VLOOKUP(C168,'Lots'!$A$6:$O$105,2,FALSE),"Unknown lot"))</x:f>
      </x:c>
      <x:c r="M168" s="42" t="str">
        <x:f>IF(A168="","",IF(COUNTIFS('Lots'!$A$6:$A$105,C168)=1,VLOOKUP(C168,'Lots'!$A$6:$O$105,15,FALSE),"Unknown lot"))</x:f>
      </x:c>
      <x:c r="N168" s="37" t="str">
        <x:f>IF(A168="","",IF(COUNTIFS('Lots'!$A$6:$A$105,C168)=1,VLOOKUP(C168,'Lots'!$A$6:$O$105,10,FALSE),"Unknown lot"))</x:f>
      </x:c>
      <x:c r="O168" s="37" t="str">
        <x:f>IF(A168="","",IF(ISNUMBER(N168),E168*N168,"Cost missing"))</x:f>
      </x:c>
      <x:c r="P168" s="37" t="str">
        <x:f>IF(A168="","",IF(ISNUMBER(N168),F168*N168,"Cost missing"))</x:f>
      </x:c>
      <x:c r="Q168" s="42" t="str">
        <x:f>IF(A168="","",IF(COUNTIFS($A$6:$A$205,A168)&lt;&gt;1,"Duplicate ID",IF(OR(NOT(ISNUMBER(B168)),G168="",H168="",J168="",E168&lt;0,F168&lt;0,AND(E168&gt;0,F168&gt;0),E168+F168&lt;=0),"Check required inputs",IF(OR(L168="Unknown lot",NOT(ISNUMBER(N168))),"Lot/cost incomplete",IF(AND(I168="Approved",OR(K168="",K168=J168)),"Independent review needed","OK")))))</x:f>
      </x:c>
    </x:row>
    <x:row r="169" ht="23" customHeight="1">
      <x:c r="A169" s="36"/>
      <x:c r="B169" s="40"/>
      <x:c r="C169" s="36"/>
      <x:c r="D169" s="36"/>
      <x:c r="E169" s="41"/>
      <x:c r="F169" s="41"/>
      <x:c r="G169" s="36"/>
      <x:c r="H169" s="36"/>
      <x:c r="I169" s="36"/>
      <x:c r="J169" s="36"/>
      <x:c r="K169" s="36"/>
      <x:c r="L169" s="42" t="str">
        <x:f>IF(A169="","",IF(COUNTIFS('Lots'!$A$6:$A$105,C169)=1,VLOOKUP(C169,'Lots'!$A$6:$O$105,2,FALSE),"Unknown lot"))</x:f>
      </x:c>
      <x:c r="M169" s="42" t="str">
        <x:f>IF(A169="","",IF(COUNTIFS('Lots'!$A$6:$A$105,C169)=1,VLOOKUP(C169,'Lots'!$A$6:$O$105,15,FALSE),"Unknown lot"))</x:f>
      </x:c>
      <x:c r="N169" s="37" t="str">
        <x:f>IF(A169="","",IF(COUNTIFS('Lots'!$A$6:$A$105,C169)=1,VLOOKUP(C169,'Lots'!$A$6:$O$105,10,FALSE),"Unknown lot"))</x:f>
      </x:c>
      <x:c r="O169" s="37" t="str">
        <x:f>IF(A169="","",IF(ISNUMBER(N169),E169*N169,"Cost missing"))</x:f>
      </x:c>
      <x:c r="P169" s="37" t="str">
        <x:f>IF(A169="","",IF(ISNUMBER(N169),F169*N169,"Cost missing"))</x:f>
      </x:c>
      <x:c r="Q169" s="42" t="str">
        <x:f>IF(A169="","",IF(COUNTIFS($A$6:$A$205,A169)&lt;&gt;1,"Duplicate ID",IF(OR(NOT(ISNUMBER(B169)),G169="",H169="",J169="",E169&lt;0,F169&lt;0,AND(E169&gt;0,F169&gt;0),E169+F169&lt;=0),"Check required inputs",IF(OR(L169="Unknown lot",NOT(ISNUMBER(N169))),"Lot/cost incomplete",IF(AND(I169="Approved",OR(K169="",K169=J169)),"Independent review needed","OK")))))</x:f>
      </x:c>
    </x:row>
    <x:row r="170" ht="23" customHeight="1">
      <x:c r="A170" s="36"/>
      <x:c r="B170" s="40"/>
      <x:c r="C170" s="36"/>
      <x:c r="D170" s="36"/>
      <x:c r="E170" s="41"/>
      <x:c r="F170" s="41"/>
      <x:c r="G170" s="36"/>
      <x:c r="H170" s="36"/>
      <x:c r="I170" s="36"/>
      <x:c r="J170" s="36"/>
      <x:c r="K170" s="36"/>
      <x:c r="L170" s="42" t="str">
        <x:f>IF(A170="","",IF(COUNTIFS('Lots'!$A$6:$A$105,C170)=1,VLOOKUP(C170,'Lots'!$A$6:$O$105,2,FALSE),"Unknown lot"))</x:f>
      </x:c>
      <x:c r="M170" s="42" t="str">
        <x:f>IF(A170="","",IF(COUNTIFS('Lots'!$A$6:$A$105,C170)=1,VLOOKUP(C170,'Lots'!$A$6:$O$105,15,FALSE),"Unknown lot"))</x:f>
      </x:c>
      <x:c r="N170" s="37" t="str">
        <x:f>IF(A170="","",IF(COUNTIFS('Lots'!$A$6:$A$105,C170)=1,VLOOKUP(C170,'Lots'!$A$6:$O$105,10,FALSE),"Unknown lot"))</x:f>
      </x:c>
      <x:c r="O170" s="37" t="str">
        <x:f>IF(A170="","",IF(ISNUMBER(N170),E170*N170,"Cost missing"))</x:f>
      </x:c>
      <x:c r="P170" s="37" t="str">
        <x:f>IF(A170="","",IF(ISNUMBER(N170),F170*N170,"Cost missing"))</x:f>
      </x:c>
      <x:c r="Q170" s="42" t="str">
        <x:f>IF(A170="","",IF(COUNTIFS($A$6:$A$205,A170)&lt;&gt;1,"Duplicate ID",IF(OR(NOT(ISNUMBER(B170)),G170="",H170="",J170="",E170&lt;0,F170&lt;0,AND(E170&gt;0,F170&gt;0),E170+F170&lt;=0),"Check required inputs",IF(OR(L170="Unknown lot",NOT(ISNUMBER(N170))),"Lot/cost incomplete",IF(AND(I170="Approved",OR(K170="",K170=J170)),"Independent review needed","OK")))))</x:f>
      </x:c>
    </x:row>
    <x:row r="171" ht="23" customHeight="1">
      <x:c r="A171" s="36"/>
      <x:c r="B171" s="40"/>
      <x:c r="C171" s="36"/>
      <x:c r="D171" s="36"/>
      <x:c r="E171" s="41"/>
      <x:c r="F171" s="41"/>
      <x:c r="G171" s="36"/>
      <x:c r="H171" s="36"/>
      <x:c r="I171" s="36"/>
      <x:c r="J171" s="36"/>
      <x:c r="K171" s="36"/>
      <x:c r="L171" s="42" t="str">
        <x:f>IF(A171="","",IF(COUNTIFS('Lots'!$A$6:$A$105,C171)=1,VLOOKUP(C171,'Lots'!$A$6:$O$105,2,FALSE),"Unknown lot"))</x:f>
      </x:c>
      <x:c r="M171" s="42" t="str">
        <x:f>IF(A171="","",IF(COUNTIFS('Lots'!$A$6:$A$105,C171)=1,VLOOKUP(C171,'Lots'!$A$6:$O$105,15,FALSE),"Unknown lot"))</x:f>
      </x:c>
      <x:c r="N171" s="37" t="str">
        <x:f>IF(A171="","",IF(COUNTIFS('Lots'!$A$6:$A$105,C171)=1,VLOOKUP(C171,'Lots'!$A$6:$O$105,10,FALSE),"Unknown lot"))</x:f>
      </x:c>
      <x:c r="O171" s="37" t="str">
        <x:f>IF(A171="","",IF(ISNUMBER(N171),E171*N171,"Cost missing"))</x:f>
      </x:c>
      <x:c r="P171" s="37" t="str">
        <x:f>IF(A171="","",IF(ISNUMBER(N171),F171*N171,"Cost missing"))</x:f>
      </x:c>
      <x:c r="Q171" s="42" t="str">
        <x:f>IF(A171="","",IF(COUNTIFS($A$6:$A$205,A171)&lt;&gt;1,"Duplicate ID",IF(OR(NOT(ISNUMBER(B171)),G171="",H171="",J171="",E171&lt;0,F171&lt;0,AND(E171&gt;0,F171&gt;0),E171+F171&lt;=0),"Check required inputs",IF(OR(L171="Unknown lot",NOT(ISNUMBER(N171))),"Lot/cost incomplete",IF(AND(I171="Approved",OR(K171="",K171=J171)),"Independent review needed","OK")))))</x:f>
      </x:c>
    </x:row>
    <x:row r="172" ht="23" customHeight="1">
      <x:c r="A172" s="36"/>
      <x:c r="B172" s="40"/>
      <x:c r="C172" s="36"/>
      <x:c r="D172" s="36"/>
      <x:c r="E172" s="41"/>
      <x:c r="F172" s="41"/>
      <x:c r="G172" s="36"/>
      <x:c r="H172" s="36"/>
      <x:c r="I172" s="36"/>
      <x:c r="J172" s="36"/>
      <x:c r="K172" s="36"/>
      <x:c r="L172" s="42" t="str">
        <x:f>IF(A172="","",IF(COUNTIFS('Lots'!$A$6:$A$105,C172)=1,VLOOKUP(C172,'Lots'!$A$6:$O$105,2,FALSE),"Unknown lot"))</x:f>
      </x:c>
      <x:c r="M172" s="42" t="str">
        <x:f>IF(A172="","",IF(COUNTIFS('Lots'!$A$6:$A$105,C172)=1,VLOOKUP(C172,'Lots'!$A$6:$O$105,15,FALSE),"Unknown lot"))</x:f>
      </x:c>
      <x:c r="N172" s="37" t="str">
        <x:f>IF(A172="","",IF(COUNTIFS('Lots'!$A$6:$A$105,C172)=1,VLOOKUP(C172,'Lots'!$A$6:$O$105,10,FALSE),"Unknown lot"))</x:f>
      </x:c>
      <x:c r="O172" s="37" t="str">
        <x:f>IF(A172="","",IF(ISNUMBER(N172),E172*N172,"Cost missing"))</x:f>
      </x:c>
      <x:c r="P172" s="37" t="str">
        <x:f>IF(A172="","",IF(ISNUMBER(N172),F172*N172,"Cost missing"))</x:f>
      </x:c>
      <x:c r="Q172" s="42" t="str">
        <x:f>IF(A172="","",IF(COUNTIFS($A$6:$A$205,A172)&lt;&gt;1,"Duplicate ID",IF(OR(NOT(ISNUMBER(B172)),G172="",H172="",J172="",E172&lt;0,F172&lt;0,AND(E172&gt;0,F172&gt;0),E172+F172&lt;=0),"Check required inputs",IF(OR(L172="Unknown lot",NOT(ISNUMBER(N172))),"Lot/cost incomplete",IF(AND(I172="Approved",OR(K172="",K172=J172)),"Independent review needed","OK")))))</x:f>
      </x:c>
    </x:row>
    <x:row r="173" ht="23" customHeight="1">
      <x:c r="A173" s="36"/>
      <x:c r="B173" s="40"/>
      <x:c r="C173" s="36"/>
      <x:c r="D173" s="36"/>
      <x:c r="E173" s="41"/>
      <x:c r="F173" s="41"/>
      <x:c r="G173" s="36"/>
      <x:c r="H173" s="36"/>
      <x:c r="I173" s="36"/>
      <x:c r="J173" s="36"/>
      <x:c r="K173" s="36"/>
      <x:c r="L173" s="42" t="str">
        <x:f>IF(A173="","",IF(COUNTIFS('Lots'!$A$6:$A$105,C173)=1,VLOOKUP(C173,'Lots'!$A$6:$O$105,2,FALSE),"Unknown lot"))</x:f>
      </x:c>
      <x:c r="M173" s="42" t="str">
        <x:f>IF(A173="","",IF(COUNTIFS('Lots'!$A$6:$A$105,C173)=1,VLOOKUP(C173,'Lots'!$A$6:$O$105,15,FALSE),"Unknown lot"))</x:f>
      </x:c>
      <x:c r="N173" s="37" t="str">
        <x:f>IF(A173="","",IF(COUNTIFS('Lots'!$A$6:$A$105,C173)=1,VLOOKUP(C173,'Lots'!$A$6:$O$105,10,FALSE),"Unknown lot"))</x:f>
      </x:c>
      <x:c r="O173" s="37" t="str">
        <x:f>IF(A173="","",IF(ISNUMBER(N173),E173*N173,"Cost missing"))</x:f>
      </x:c>
      <x:c r="P173" s="37" t="str">
        <x:f>IF(A173="","",IF(ISNUMBER(N173),F173*N173,"Cost missing"))</x:f>
      </x:c>
      <x:c r="Q173" s="42" t="str">
        <x:f>IF(A173="","",IF(COUNTIFS($A$6:$A$205,A173)&lt;&gt;1,"Duplicate ID",IF(OR(NOT(ISNUMBER(B173)),G173="",H173="",J173="",E173&lt;0,F173&lt;0,AND(E173&gt;0,F173&gt;0),E173+F173&lt;=0),"Check required inputs",IF(OR(L173="Unknown lot",NOT(ISNUMBER(N173))),"Lot/cost incomplete",IF(AND(I173="Approved",OR(K173="",K173=J173)),"Independent review needed","OK")))))</x:f>
      </x:c>
    </x:row>
    <x:row r="174" ht="23" customHeight="1">
      <x:c r="A174" s="36"/>
      <x:c r="B174" s="40"/>
      <x:c r="C174" s="36"/>
      <x:c r="D174" s="36"/>
      <x:c r="E174" s="41"/>
      <x:c r="F174" s="41"/>
      <x:c r="G174" s="36"/>
      <x:c r="H174" s="36"/>
      <x:c r="I174" s="36"/>
      <x:c r="J174" s="36"/>
      <x:c r="K174" s="36"/>
      <x:c r="L174" s="42" t="str">
        <x:f>IF(A174="","",IF(COUNTIFS('Lots'!$A$6:$A$105,C174)=1,VLOOKUP(C174,'Lots'!$A$6:$O$105,2,FALSE),"Unknown lot"))</x:f>
      </x:c>
      <x:c r="M174" s="42" t="str">
        <x:f>IF(A174="","",IF(COUNTIFS('Lots'!$A$6:$A$105,C174)=1,VLOOKUP(C174,'Lots'!$A$6:$O$105,15,FALSE),"Unknown lot"))</x:f>
      </x:c>
      <x:c r="N174" s="37" t="str">
        <x:f>IF(A174="","",IF(COUNTIFS('Lots'!$A$6:$A$105,C174)=1,VLOOKUP(C174,'Lots'!$A$6:$O$105,10,FALSE),"Unknown lot"))</x:f>
      </x:c>
      <x:c r="O174" s="37" t="str">
        <x:f>IF(A174="","",IF(ISNUMBER(N174),E174*N174,"Cost missing"))</x:f>
      </x:c>
      <x:c r="P174" s="37" t="str">
        <x:f>IF(A174="","",IF(ISNUMBER(N174),F174*N174,"Cost missing"))</x:f>
      </x:c>
      <x:c r="Q174" s="42" t="str">
        <x:f>IF(A174="","",IF(COUNTIFS($A$6:$A$205,A174)&lt;&gt;1,"Duplicate ID",IF(OR(NOT(ISNUMBER(B174)),G174="",H174="",J174="",E174&lt;0,F174&lt;0,AND(E174&gt;0,F174&gt;0),E174+F174&lt;=0),"Check required inputs",IF(OR(L174="Unknown lot",NOT(ISNUMBER(N174))),"Lot/cost incomplete",IF(AND(I174="Approved",OR(K174="",K174=J174)),"Independent review needed","OK")))))</x:f>
      </x:c>
    </x:row>
    <x:row r="175" ht="23" customHeight="1">
      <x:c r="A175" s="36"/>
      <x:c r="B175" s="40"/>
      <x:c r="C175" s="36"/>
      <x:c r="D175" s="36"/>
      <x:c r="E175" s="41"/>
      <x:c r="F175" s="41"/>
      <x:c r="G175" s="36"/>
      <x:c r="H175" s="36"/>
      <x:c r="I175" s="36"/>
      <x:c r="J175" s="36"/>
      <x:c r="K175" s="36"/>
      <x:c r="L175" s="42" t="str">
        <x:f>IF(A175="","",IF(COUNTIFS('Lots'!$A$6:$A$105,C175)=1,VLOOKUP(C175,'Lots'!$A$6:$O$105,2,FALSE),"Unknown lot"))</x:f>
      </x:c>
      <x:c r="M175" s="42" t="str">
        <x:f>IF(A175="","",IF(COUNTIFS('Lots'!$A$6:$A$105,C175)=1,VLOOKUP(C175,'Lots'!$A$6:$O$105,15,FALSE),"Unknown lot"))</x:f>
      </x:c>
      <x:c r="N175" s="37" t="str">
        <x:f>IF(A175="","",IF(COUNTIFS('Lots'!$A$6:$A$105,C175)=1,VLOOKUP(C175,'Lots'!$A$6:$O$105,10,FALSE),"Unknown lot"))</x:f>
      </x:c>
      <x:c r="O175" s="37" t="str">
        <x:f>IF(A175="","",IF(ISNUMBER(N175),E175*N175,"Cost missing"))</x:f>
      </x:c>
      <x:c r="P175" s="37" t="str">
        <x:f>IF(A175="","",IF(ISNUMBER(N175),F175*N175,"Cost missing"))</x:f>
      </x:c>
      <x:c r="Q175" s="42" t="str">
        <x:f>IF(A175="","",IF(COUNTIFS($A$6:$A$205,A175)&lt;&gt;1,"Duplicate ID",IF(OR(NOT(ISNUMBER(B175)),G175="",H175="",J175="",E175&lt;0,F175&lt;0,AND(E175&gt;0,F175&gt;0),E175+F175&lt;=0),"Check required inputs",IF(OR(L175="Unknown lot",NOT(ISNUMBER(N175))),"Lot/cost incomplete",IF(AND(I175="Approved",OR(K175="",K175=J175)),"Independent review needed","OK")))))</x:f>
      </x:c>
    </x:row>
    <x:row r="176" ht="23" customHeight="1">
      <x:c r="A176" s="36"/>
      <x:c r="B176" s="40"/>
      <x:c r="C176" s="36"/>
      <x:c r="D176" s="36"/>
      <x:c r="E176" s="41"/>
      <x:c r="F176" s="41"/>
      <x:c r="G176" s="36"/>
      <x:c r="H176" s="36"/>
      <x:c r="I176" s="36"/>
      <x:c r="J176" s="36"/>
      <x:c r="K176" s="36"/>
      <x:c r="L176" s="42" t="str">
        <x:f>IF(A176="","",IF(COUNTIFS('Lots'!$A$6:$A$105,C176)=1,VLOOKUP(C176,'Lots'!$A$6:$O$105,2,FALSE),"Unknown lot"))</x:f>
      </x:c>
      <x:c r="M176" s="42" t="str">
        <x:f>IF(A176="","",IF(COUNTIFS('Lots'!$A$6:$A$105,C176)=1,VLOOKUP(C176,'Lots'!$A$6:$O$105,15,FALSE),"Unknown lot"))</x:f>
      </x:c>
      <x:c r="N176" s="37" t="str">
        <x:f>IF(A176="","",IF(COUNTIFS('Lots'!$A$6:$A$105,C176)=1,VLOOKUP(C176,'Lots'!$A$6:$O$105,10,FALSE),"Unknown lot"))</x:f>
      </x:c>
      <x:c r="O176" s="37" t="str">
        <x:f>IF(A176="","",IF(ISNUMBER(N176),E176*N176,"Cost missing"))</x:f>
      </x:c>
      <x:c r="P176" s="37" t="str">
        <x:f>IF(A176="","",IF(ISNUMBER(N176),F176*N176,"Cost missing"))</x:f>
      </x:c>
      <x:c r="Q176" s="42" t="str">
        <x:f>IF(A176="","",IF(COUNTIFS($A$6:$A$205,A176)&lt;&gt;1,"Duplicate ID",IF(OR(NOT(ISNUMBER(B176)),G176="",H176="",J176="",E176&lt;0,F176&lt;0,AND(E176&gt;0,F176&gt;0),E176+F176&lt;=0),"Check required inputs",IF(OR(L176="Unknown lot",NOT(ISNUMBER(N176))),"Lot/cost incomplete",IF(AND(I176="Approved",OR(K176="",K176=J176)),"Independent review needed","OK")))))</x:f>
      </x:c>
    </x:row>
    <x:row r="177" ht="23" customHeight="1">
      <x:c r="A177" s="36"/>
      <x:c r="B177" s="40"/>
      <x:c r="C177" s="36"/>
      <x:c r="D177" s="36"/>
      <x:c r="E177" s="41"/>
      <x:c r="F177" s="41"/>
      <x:c r="G177" s="36"/>
      <x:c r="H177" s="36"/>
      <x:c r="I177" s="36"/>
      <x:c r="J177" s="36"/>
      <x:c r="K177" s="36"/>
      <x:c r="L177" s="42" t="str">
        <x:f>IF(A177="","",IF(COUNTIFS('Lots'!$A$6:$A$105,C177)=1,VLOOKUP(C177,'Lots'!$A$6:$O$105,2,FALSE),"Unknown lot"))</x:f>
      </x:c>
      <x:c r="M177" s="42" t="str">
        <x:f>IF(A177="","",IF(COUNTIFS('Lots'!$A$6:$A$105,C177)=1,VLOOKUP(C177,'Lots'!$A$6:$O$105,15,FALSE),"Unknown lot"))</x:f>
      </x:c>
      <x:c r="N177" s="37" t="str">
        <x:f>IF(A177="","",IF(COUNTIFS('Lots'!$A$6:$A$105,C177)=1,VLOOKUP(C177,'Lots'!$A$6:$O$105,10,FALSE),"Unknown lot"))</x:f>
      </x:c>
      <x:c r="O177" s="37" t="str">
        <x:f>IF(A177="","",IF(ISNUMBER(N177),E177*N177,"Cost missing"))</x:f>
      </x:c>
      <x:c r="P177" s="37" t="str">
        <x:f>IF(A177="","",IF(ISNUMBER(N177),F177*N177,"Cost missing"))</x:f>
      </x:c>
      <x:c r="Q177" s="42" t="str">
        <x:f>IF(A177="","",IF(COUNTIFS($A$6:$A$205,A177)&lt;&gt;1,"Duplicate ID",IF(OR(NOT(ISNUMBER(B177)),G177="",H177="",J177="",E177&lt;0,F177&lt;0,AND(E177&gt;0,F177&gt;0),E177+F177&lt;=0),"Check required inputs",IF(OR(L177="Unknown lot",NOT(ISNUMBER(N177))),"Lot/cost incomplete",IF(AND(I177="Approved",OR(K177="",K177=J177)),"Independent review needed","OK")))))</x:f>
      </x:c>
    </x:row>
    <x:row r="178" ht="23" customHeight="1">
      <x:c r="A178" s="36"/>
      <x:c r="B178" s="40"/>
      <x:c r="C178" s="36"/>
      <x:c r="D178" s="36"/>
      <x:c r="E178" s="41"/>
      <x:c r="F178" s="41"/>
      <x:c r="G178" s="36"/>
      <x:c r="H178" s="36"/>
      <x:c r="I178" s="36"/>
      <x:c r="J178" s="36"/>
      <x:c r="K178" s="36"/>
      <x:c r="L178" s="42" t="str">
        <x:f>IF(A178="","",IF(COUNTIFS('Lots'!$A$6:$A$105,C178)=1,VLOOKUP(C178,'Lots'!$A$6:$O$105,2,FALSE),"Unknown lot"))</x:f>
      </x:c>
      <x:c r="M178" s="42" t="str">
        <x:f>IF(A178="","",IF(COUNTIFS('Lots'!$A$6:$A$105,C178)=1,VLOOKUP(C178,'Lots'!$A$6:$O$105,15,FALSE),"Unknown lot"))</x:f>
      </x:c>
      <x:c r="N178" s="37" t="str">
        <x:f>IF(A178="","",IF(COUNTIFS('Lots'!$A$6:$A$105,C178)=1,VLOOKUP(C178,'Lots'!$A$6:$O$105,10,FALSE),"Unknown lot"))</x:f>
      </x:c>
      <x:c r="O178" s="37" t="str">
        <x:f>IF(A178="","",IF(ISNUMBER(N178),E178*N178,"Cost missing"))</x:f>
      </x:c>
      <x:c r="P178" s="37" t="str">
        <x:f>IF(A178="","",IF(ISNUMBER(N178),F178*N178,"Cost missing"))</x:f>
      </x:c>
      <x:c r="Q178" s="42" t="str">
        <x:f>IF(A178="","",IF(COUNTIFS($A$6:$A$205,A178)&lt;&gt;1,"Duplicate ID",IF(OR(NOT(ISNUMBER(B178)),G178="",H178="",J178="",E178&lt;0,F178&lt;0,AND(E178&gt;0,F178&gt;0),E178+F178&lt;=0),"Check required inputs",IF(OR(L178="Unknown lot",NOT(ISNUMBER(N178))),"Lot/cost incomplete",IF(AND(I178="Approved",OR(K178="",K178=J178)),"Independent review needed","OK")))))</x:f>
      </x:c>
    </x:row>
    <x:row r="179" ht="23" customHeight="1">
      <x:c r="A179" s="36"/>
      <x:c r="B179" s="40"/>
      <x:c r="C179" s="36"/>
      <x:c r="D179" s="36"/>
      <x:c r="E179" s="41"/>
      <x:c r="F179" s="41"/>
      <x:c r="G179" s="36"/>
      <x:c r="H179" s="36"/>
      <x:c r="I179" s="36"/>
      <x:c r="J179" s="36"/>
      <x:c r="K179" s="36"/>
      <x:c r="L179" s="42" t="str">
        <x:f>IF(A179="","",IF(COUNTIFS('Lots'!$A$6:$A$105,C179)=1,VLOOKUP(C179,'Lots'!$A$6:$O$105,2,FALSE),"Unknown lot"))</x:f>
      </x:c>
      <x:c r="M179" s="42" t="str">
        <x:f>IF(A179="","",IF(COUNTIFS('Lots'!$A$6:$A$105,C179)=1,VLOOKUP(C179,'Lots'!$A$6:$O$105,15,FALSE),"Unknown lot"))</x:f>
      </x:c>
      <x:c r="N179" s="37" t="str">
        <x:f>IF(A179="","",IF(COUNTIFS('Lots'!$A$6:$A$105,C179)=1,VLOOKUP(C179,'Lots'!$A$6:$O$105,10,FALSE),"Unknown lot"))</x:f>
      </x:c>
      <x:c r="O179" s="37" t="str">
        <x:f>IF(A179="","",IF(ISNUMBER(N179),E179*N179,"Cost missing"))</x:f>
      </x:c>
      <x:c r="P179" s="37" t="str">
        <x:f>IF(A179="","",IF(ISNUMBER(N179),F179*N179,"Cost missing"))</x:f>
      </x:c>
      <x:c r="Q179" s="42" t="str">
        <x:f>IF(A179="","",IF(COUNTIFS($A$6:$A$205,A179)&lt;&gt;1,"Duplicate ID",IF(OR(NOT(ISNUMBER(B179)),G179="",H179="",J179="",E179&lt;0,F179&lt;0,AND(E179&gt;0,F179&gt;0),E179+F179&lt;=0),"Check required inputs",IF(OR(L179="Unknown lot",NOT(ISNUMBER(N179))),"Lot/cost incomplete",IF(AND(I179="Approved",OR(K179="",K179=J179)),"Independent review needed","OK")))))</x:f>
      </x:c>
    </x:row>
    <x:row r="180" ht="23" customHeight="1">
      <x:c r="A180" s="36"/>
      <x:c r="B180" s="40"/>
      <x:c r="C180" s="36"/>
      <x:c r="D180" s="36"/>
      <x:c r="E180" s="41"/>
      <x:c r="F180" s="41"/>
      <x:c r="G180" s="36"/>
      <x:c r="H180" s="36"/>
      <x:c r="I180" s="36"/>
      <x:c r="J180" s="36"/>
      <x:c r="K180" s="36"/>
      <x:c r="L180" s="42" t="str">
        <x:f>IF(A180="","",IF(COUNTIFS('Lots'!$A$6:$A$105,C180)=1,VLOOKUP(C180,'Lots'!$A$6:$O$105,2,FALSE),"Unknown lot"))</x:f>
      </x:c>
      <x:c r="M180" s="42" t="str">
        <x:f>IF(A180="","",IF(COUNTIFS('Lots'!$A$6:$A$105,C180)=1,VLOOKUP(C180,'Lots'!$A$6:$O$105,15,FALSE),"Unknown lot"))</x:f>
      </x:c>
      <x:c r="N180" s="37" t="str">
        <x:f>IF(A180="","",IF(COUNTIFS('Lots'!$A$6:$A$105,C180)=1,VLOOKUP(C180,'Lots'!$A$6:$O$105,10,FALSE),"Unknown lot"))</x:f>
      </x:c>
      <x:c r="O180" s="37" t="str">
        <x:f>IF(A180="","",IF(ISNUMBER(N180),E180*N180,"Cost missing"))</x:f>
      </x:c>
      <x:c r="P180" s="37" t="str">
        <x:f>IF(A180="","",IF(ISNUMBER(N180),F180*N180,"Cost missing"))</x:f>
      </x:c>
      <x:c r="Q180" s="42" t="str">
        <x:f>IF(A180="","",IF(COUNTIFS($A$6:$A$205,A180)&lt;&gt;1,"Duplicate ID",IF(OR(NOT(ISNUMBER(B180)),G180="",H180="",J180="",E180&lt;0,F180&lt;0,AND(E180&gt;0,F180&gt;0),E180+F180&lt;=0),"Check required inputs",IF(OR(L180="Unknown lot",NOT(ISNUMBER(N180))),"Lot/cost incomplete",IF(AND(I180="Approved",OR(K180="",K180=J180)),"Independent review needed","OK")))))</x:f>
      </x:c>
    </x:row>
    <x:row r="181" ht="23" customHeight="1">
      <x:c r="A181" s="36"/>
      <x:c r="B181" s="40"/>
      <x:c r="C181" s="36"/>
      <x:c r="D181" s="36"/>
      <x:c r="E181" s="41"/>
      <x:c r="F181" s="41"/>
      <x:c r="G181" s="36"/>
      <x:c r="H181" s="36"/>
      <x:c r="I181" s="36"/>
      <x:c r="J181" s="36"/>
      <x:c r="K181" s="36"/>
      <x:c r="L181" s="42" t="str">
        <x:f>IF(A181="","",IF(COUNTIFS('Lots'!$A$6:$A$105,C181)=1,VLOOKUP(C181,'Lots'!$A$6:$O$105,2,FALSE),"Unknown lot"))</x:f>
      </x:c>
      <x:c r="M181" s="42" t="str">
        <x:f>IF(A181="","",IF(COUNTIFS('Lots'!$A$6:$A$105,C181)=1,VLOOKUP(C181,'Lots'!$A$6:$O$105,15,FALSE),"Unknown lot"))</x:f>
      </x:c>
      <x:c r="N181" s="37" t="str">
        <x:f>IF(A181="","",IF(COUNTIFS('Lots'!$A$6:$A$105,C181)=1,VLOOKUP(C181,'Lots'!$A$6:$O$105,10,FALSE),"Unknown lot"))</x:f>
      </x:c>
      <x:c r="O181" s="37" t="str">
        <x:f>IF(A181="","",IF(ISNUMBER(N181),E181*N181,"Cost missing"))</x:f>
      </x:c>
      <x:c r="P181" s="37" t="str">
        <x:f>IF(A181="","",IF(ISNUMBER(N181),F181*N181,"Cost missing"))</x:f>
      </x:c>
      <x:c r="Q181" s="42" t="str">
        <x:f>IF(A181="","",IF(COUNTIFS($A$6:$A$205,A181)&lt;&gt;1,"Duplicate ID",IF(OR(NOT(ISNUMBER(B181)),G181="",H181="",J181="",E181&lt;0,F181&lt;0,AND(E181&gt;0,F181&gt;0),E181+F181&lt;=0),"Check required inputs",IF(OR(L181="Unknown lot",NOT(ISNUMBER(N181))),"Lot/cost incomplete",IF(AND(I181="Approved",OR(K181="",K181=J181)),"Independent review needed","OK")))))</x:f>
      </x:c>
    </x:row>
    <x:row r="182" ht="23" customHeight="1">
      <x:c r="A182" s="36"/>
      <x:c r="B182" s="40"/>
      <x:c r="C182" s="36"/>
      <x:c r="D182" s="36"/>
      <x:c r="E182" s="41"/>
      <x:c r="F182" s="41"/>
      <x:c r="G182" s="36"/>
      <x:c r="H182" s="36"/>
      <x:c r="I182" s="36"/>
      <x:c r="J182" s="36"/>
      <x:c r="K182" s="36"/>
      <x:c r="L182" s="42" t="str">
        <x:f>IF(A182="","",IF(COUNTIFS('Lots'!$A$6:$A$105,C182)=1,VLOOKUP(C182,'Lots'!$A$6:$O$105,2,FALSE),"Unknown lot"))</x:f>
      </x:c>
      <x:c r="M182" s="42" t="str">
        <x:f>IF(A182="","",IF(COUNTIFS('Lots'!$A$6:$A$105,C182)=1,VLOOKUP(C182,'Lots'!$A$6:$O$105,15,FALSE),"Unknown lot"))</x:f>
      </x:c>
      <x:c r="N182" s="37" t="str">
        <x:f>IF(A182="","",IF(COUNTIFS('Lots'!$A$6:$A$105,C182)=1,VLOOKUP(C182,'Lots'!$A$6:$O$105,10,FALSE),"Unknown lot"))</x:f>
      </x:c>
      <x:c r="O182" s="37" t="str">
        <x:f>IF(A182="","",IF(ISNUMBER(N182),E182*N182,"Cost missing"))</x:f>
      </x:c>
      <x:c r="P182" s="37" t="str">
        <x:f>IF(A182="","",IF(ISNUMBER(N182),F182*N182,"Cost missing"))</x:f>
      </x:c>
      <x:c r="Q182" s="42" t="str">
        <x:f>IF(A182="","",IF(COUNTIFS($A$6:$A$205,A182)&lt;&gt;1,"Duplicate ID",IF(OR(NOT(ISNUMBER(B182)),G182="",H182="",J182="",E182&lt;0,F182&lt;0,AND(E182&gt;0,F182&gt;0),E182+F182&lt;=0),"Check required inputs",IF(OR(L182="Unknown lot",NOT(ISNUMBER(N182))),"Lot/cost incomplete",IF(AND(I182="Approved",OR(K182="",K182=J182)),"Independent review needed","OK")))))</x:f>
      </x:c>
    </x:row>
    <x:row r="183" ht="23" customHeight="1">
      <x:c r="A183" s="36"/>
      <x:c r="B183" s="40"/>
      <x:c r="C183" s="36"/>
      <x:c r="D183" s="36"/>
      <x:c r="E183" s="41"/>
      <x:c r="F183" s="41"/>
      <x:c r="G183" s="36"/>
      <x:c r="H183" s="36"/>
      <x:c r="I183" s="36"/>
      <x:c r="J183" s="36"/>
      <x:c r="K183" s="36"/>
      <x:c r="L183" s="42" t="str">
        <x:f>IF(A183="","",IF(COUNTIFS('Lots'!$A$6:$A$105,C183)=1,VLOOKUP(C183,'Lots'!$A$6:$O$105,2,FALSE),"Unknown lot"))</x:f>
      </x:c>
      <x:c r="M183" s="42" t="str">
        <x:f>IF(A183="","",IF(COUNTIFS('Lots'!$A$6:$A$105,C183)=1,VLOOKUP(C183,'Lots'!$A$6:$O$105,15,FALSE),"Unknown lot"))</x:f>
      </x:c>
      <x:c r="N183" s="37" t="str">
        <x:f>IF(A183="","",IF(COUNTIFS('Lots'!$A$6:$A$105,C183)=1,VLOOKUP(C183,'Lots'!$A$6:$O$105,10,FALSE),"Unknown lot"))</x:f>
      </x:c>
      <x:c r="O183" s="37" t="str">
        <x:f>IF(A183="","",IF(ISNUMBER(N183),E183*N183,"Cost missing"))</x:f>
      </x:c>
      <x:c r="P183" s="37" t="str">
        <x:f>IF(A183="","",IF(ISNUMBER(N183),F183*N183,"Cost missing"))</x:f>
      </x:c>
      <x:c r="Q183" s="42" t="str">
        <x:f>IF(A183="","",IF(COUNTIFS($A$6:$A$205,A183)&lt;&gt;1,"Duplicate ID",IF(OR(NOT(ISNUMBER(B183)),G183="",H183="",J183="",E183&lt;0,F183&lt;0,AND(E183&gt;0,F183&gt;0),E183+F183&lt;=0),"Check required inputs",IF(OR(L183="Unknown lot",NOT(ISNUMBER(N183))),"Lot/cost incomplete",IF(AND(I183="Approved",OR(K183="",K183=J183)),"Independent review needed","OK")))))</x:f>
      </x:c>
    </x:row>
    <x:row r="184" ht="23" customHeight="1">
      <x:c r="A184" s="36"/>
      <x:c r="B184" s="40"/>
      <x:c r="C184" s="36"/>
      <x:c r="D184" s="36"/>
      <x:c r="E184" s="41"/>
      <x:c r="F184" s="41"/>
      <x:c r="G184" s="36"/>
      <x:c r="H184" s="36"/>
      <x:c r="I184" s="36"/>
      <x:c r="J184" s="36"/>
      <x:c r="K184" s="36"/>
      <x:c r="L184" s="42" t="str">
        <x:f>IF(A184="","",IF(COUNTIFS('Lots'!$A$6:$A$105,C184)=1,VLOOKUP(C184,'Lots'!$A$6:$O$105,2,FALSE),"Unknown lot"))</x:f>
      </x:c>
      <x:c r="M184" s="42" t="str">
        <x:f>IF(A184="","",IF(COUNTIFS('Lots'!$A$6:$A$105,C184)=1,VLOOKUP(C184,'Lots'!$A$6:$O$105,15,FALSE),"Unknown lot"))</x:f>
      </x:c>
      <x:c r="N184" s="37" t="str">
        <x:f>IF(A184="","",IF(COUNTIFS('Lots'!$A$6:$A$105,C184)=1,VLOOKUP(C184,'Lots'!$A$6:$O$105,10,FALSE),"Unknown lot"))</x:f>
      </x:c>
      <x:c r="O184" s="37" t="str">
        <x:f>IF(A184="","",IF(ISNUMBER(N184),E184*N184,"Cost missing"))</x:f>
      </x:c>
      <x:c r="P184" s="37" t="str">
        <x:f>IF(A184="","",IF(ISNUMBER(N184),F184*N184,"Cost missing"))</x:f>
      </x:c>
      <x:c r="Q184" s="42" t="str">
        <x:f>IF(A184="","",IF(COUNTIFS($A$6:$A$205,A184)&lt;&gt;1,"Duplicate ID",IF(OR(NOT(ISNUMBER(B184)),G184="",H184="",J184="",E184&lt;0,F184&lt;0,AND(E184&gt;0,F184&gt;0),E184+F184&lt;=0),"Check required inputs",IF(OR(L184="Unknown lot",NOT(ISNUMBER(N184))),"Lot/cost incomplete",IF(AND(I184="Approved",OR(K184="",K184=J184)),"Independent review needed","OK")))))</x:f>
      </x:c>
    </x:row>
    <x:row r="185" ht="23" customHeight="1">
      <x:c r="A185" s="36"/>
      <x:c r="B185" s="40"/>
      <x:c r="C185" s="36"/>
      <x:c r="D185" s="36"/>
      <x:c r="E185" s="41"/>
      <x:c r="F185" s="41"/>
      <x:c r="G185" s="36"/>
      <x:c r="H185" s="36"/>
      <x:c r="I185" s="36"/>
      <x:c r="J185" s="36"/>
      <x:c r="K185" s="36"/>
      <x:c r="L185" s="42" t="str">
        <x:f>IF(A185="","",IF(COUNTIFS('Lots'!$A$6:$A$105,C185)=1,VLOOKUP(C185,'Lots'!$A$6:$O$105,2,FALSE),"Unknown lot"))</x:f>
      </x:c>
      <x:c r="M185" s="42" t="str">
        <x:f>IF(A185="","",IF(COUNTIFS('Lots'!$A$6:$A$105,C185)=1,VLOOKUP(C185,'Lots'!$A$6:$O$105,15,FALSE),"Unknown lot"))</x:f>
      </x:c>
      <x:c r="N185" s="37" t="str">
        <x:f>IF(A185="","",IF(COUNTIFS('Lots'!$A$6:$A$105,C185)=1,VLOOKUP(C185,'Lots'!$A$6:$O$105,10,FALSE),"Unknown lot"))</x:f>
      </x:c>
      <x:c r="O185" s="37" t="str">
        <x:f>IF(A185="","",IF(ISNUMBER(N185),E185*N185,"Cost missing"))</x:f>
      </x:c>
      <x:c r="P185" s="37" t="str">
        <x:f>IF(A185="","",IF(ISNUMBER(N185),F185*N185,"Cost missing"))</x:f>
      </x:c>
      <x:c r="Q185" s="42" t="str">
        <x:f>IF(A185="","",IF(COUNTIFS($A$6:$A$205,A185)&lt;&gt;1,"Duplicate ID",IF(OR(NOT(ISNUMBER(B185)),G185="",H185="",J185="",E185&lt;0,F185&lt;0,AND(E185&gt;0,F185&gt;0),E185+F185&lt;=0),"Check required inputs",IF(OR(L185="Unknown lot",NOT(ISNUMBER(N185))),"Lot/cost incomplete",IF(AND(I185="Approved",OR(K185="",K185=J185)),"Independent review needed","OK")))))</x:f>
      </x:c>
    </x:row>
    <x:row r="186" ht="23" customHeight="1">
      <x:c r="A186" s="36"/>
      <x:c r="B186" s="40"/>
      <x:c r="C186" s="36"/>
      <x:c r="D186" s="36"/>
      <x:c r="E186" s="41"/>
      <x:c r="F186" s="41"/>
      <x:c r="G186" s="36"/>
      <x:c r="H186" s="36"/>
      <x:c r="I186" s="36"/>
      <x:c r="J186" s="36"/>
      <x:c r="K186" s="36"/>
      <x:c r="L186" s="42" t="str">
        <x:f>IF(A186="","",IF(COUNTIFS('Lots'!$A$6:$A$105,C186)=1,VLOOKUP(C186,'Lots'!$A$6:$O$105,2,FALSE),"Unknown lot"))</x:f>
      </x:c>
      <x:c r="M186" s="42" t="str">
        <x:f>IF(A186="","",IF(COUNTIFS('Lots'!$A$6:$A$105,C186)=1,VLOOKUP(C186,'Lots'!$A$6:$O$105,15,FALSE),"Unknown lot"))</x:f>
      </x:c>
      <x:c r="N186" s="37" t="str">
        <x:f>IF(A186="","",IF(COUNTIFS('Lots'!$A$6:$A$105,C186)=1,VLOOKUP(C186,'Lots'!$A$6:$O$105,10,FALSE),"Unknown lot"))</x:f>
      </x:c>
      <x:c r="O186" s="37" t="str">
        <x:f>IF(A186="","",IF(ISNUMBER(N186),E186*N186,"Cost missing"))</x:f>
      </x:c>
      <x:c r="P186" s="37" t="str">
        <x:f>IF(A186="","",IF(ISNUMBER(N186),F186*N186,"Cost missing"))</x:f>
      </x:c>
      <x:c r="Q186" s="42" t="str">
        <x:f>IF(A186="","",IF(COUNTIFS($A$6:$A$205,A186)&lt;&gt;1,"Duplicate ID",IF(OR(NOT(ISNUMBER(B186)),G186="",H186="",J186="",E186&lt;0,F186&lt;0,AND(E186&gt;0,F186&gt;0),E186+F186&lt;=0),"Check required inputs",IF(OR(L186="Unknown lot",NOT(ISNUMBER(N186))),"Lot/cost incomplete",IF(AND(I186="Approved",OR(K186="",K186=J186)),"Independent review needed","OK")))))</x:f>
      </x:c>
    </x:row>
    <x:row r="187" ht="23" customHeight="1">
      <x:c r="A187" s="36"/>
      <x:c r="B187" s="40"/>
      <x:c r="C187" s="36"/>
      <x:c r="D187" s="36"/>
      <x:c r="E187" s="41"/>
      <x:c r="F187" s="41"/>
      <x:c r="G187" s="36"/>
      <x:c r="H187" s="36"/>
      <x:c r="I187" s="36"/>
      <x:c r="J187" s="36"/>
      <x:c r="K187" s="36"/>
      <x:c r="L187" s="42" t="str">
        <x:f>IF(A187="","",IF(COUNTIFS('Lots'!$A$6:$A$105,C187)=1,VLOOKUP(C187,'Lots'!$A$6:$O$105,2,FALSE),"Unknown lot"))</x:f>
      </x:c>
      <x:c r="M187" s="42" t="str">
        <x:f>IF(A187="","",IF(COUNTIFS('Lots'!$A$6:$A$105,C187)=1,VLOOKUP(C187,'Lots'!$A$6:$O$105,15,FALSE),"Unknown lot"))</x:f>
      </x:c>
      <x:c r="N187" s="37" t="str">
        <x:f>IF(A187="","",IF(COUNTIFS('Lots'!$A$6:$A$105,C187)=1,VLOOKUP(C187,'Lots'!$A$6:$O$105,10,FALSE),"Unknown lot"))</x:f>
      </x:c>
      <x:c r="O187" s="37" t="str">
        <x:f>IF(A187="","",IF(ISNUMBER(N187),E187*N187,"Cost missing"))</x:f>
      </x:c>
      <x:c r="P187" s="37" t="str">
        <x:f>IF(A187="","",IF(ISNUMBER(N187),F187*N187,"Cost missing"))</x:f>
      </x:c>
      <x:c r="Q187" s="42" t="str">
        <x:f>IF(A187="","",IF(COUNTIFS($A$6:$A$205,A187)&lt;&gt;1,"Duplicate ID",IF(OR(NOT(ISNUMBER(B187)),G187="",H187="",J187="",E187&lt;0,F187&lt;0,AND(E187&gt;0,F187&gt;0),E187+F187&lt;=0),"Check required inputs",IF(OR(L187="Unknown lot",NOT(ISNUMBER(N187))),"Lot/cost incomplete",IF(AND(I187="Approved",OR(K187="",K187=J187)),"Independent review needed","OK")))))</x:f>
      </x:c>
    </x:row>
    <x:row r="188" ht="23" customHeight="1">
      <x:c r="A188" s="36"/>
      <x:c r="B188" s="40"/>
      <x:c r="C188" s="36"/>
      <x:c r="D188" s="36"/>
      <x:c r="E188" s="41"/>
      <x:c r="F188" s="41"/>
      <x:c r="G188" s="36"/>
      <x:c r="H188" s="36"/>
      <x:c r="I188" s="36"/>
      <x:c r="J188" s="36"/>
      <x:c r="K188" s="36"/>
      <x:c r="L188" s="42" t="str">
        <x:f>IF(A188="","",IF(COUNTIFS('Lots'!$A$6:$A$105,C188)=1,VLOOKUP(C188,'Lots'!$A$6:$O$105,2,FALSE),"Unknown lot"))</x:f>
      </x:c>
      <x:c r="M188" s="42" t="str">
        <x:f>IF(A188="","",IF(COUNTIFS('Lots'!$A$6:$A$105,C188)=1,VLOOKUP(C188,'Lots'!$A$6:$O$105,15,FALSE),"Unknown lot"))</x:f>
      </x:c>
      <x:c r="N188" s="37" t="str">
        <x:f>IF(A188="","",IF(COUNTIFS('Lots'!$A$6:$A$105,C188)=1,VLOOKUP(C188,'Lots'!$A$6:$O$105,10,FALSE),"Unknown lot"))</x:f>
      </x:c>
      <x:c r="O188" s="37" t="str">
        <x:f>IF(A188="","",IF(ISNUMBER(N188),E188*N188,"Cost missing"))</x:f>
      </x:c>
      <x:c r="P188" s="37" t="str">
        <x:f>IF(A188="","",IF(ISNUMBER(N188),F188*N188,"Cost missing"))</x:f>
      </x:c>
      <x:c r="Q188" s="42" t="str">
        <x:f>IF(A188="","",IF(COUNTIFS($A$6:$A$205,A188)&lt;&gt;1,"Duplicate ID",IF(OR(NOT(ISNUMBER(B188)),G188="",H188="",J188="",E188&lt;0,F188&lt;0,AND(E188&gt;0,F188&gt;0),E188+F188&lt;=0),"Check required inputs",IF(OR(L188="Unknown lot",NOT(ISNUMBER(N188))),"Lot/cost incomplete",IF(AND(I188="Approved",OR(K188="",K188=J188)),"Independent review needed","OK")))))</x:f>
      </x:c>
    </x:row>
    <x:row r="189" ht="23" customHeight="1">
      <x:c r="A189" s="36"/>
      <x:c r="B189" s="40"/>
      <x:c r="C189" s="36"/>
      <x:c r="D189" s="36"/>
      <x:c r="E189" s="41"/>
      <x:c r="F189" s="41"/>
      <x:c r="G189" s="36"/>
      <x:c r="H189" s="36"/>
      <x:c r="I189" s="36"/>
      <x:c r="J189" s="36"/>
      <x:c r="K189" s="36"/>
      <x:c r="L189" s="42" t="str">
        <x:f>IF(A189="","",IF(COUNTIFS('Lots'!$A$6:$A$105,C189)=1,VLOOKUP(C189,'Lots'!$A$6:$O$105,2,FALSE),"Unknown lot"))</x:f>
      </x:c>
      <x:c r="M189" s="42" t="str">
        <x:f>IF(A189="","",IF(COUNTIFS('Lots'!$A$6:$A$105,C189)=1,VLOOKUP(C189,'Lots'!$A$6:$O$105,15,FALSE),"Unknown lot"))</x:f>
      </x:c>
      <x:c r="N189" s="37" t="str">
        <x:f>IF(A189="","",IF(COUNTIFS('Lots'!$A$6:$A$105,C189)=1,VLOOKUP(C189,'Lots'!$A$6:$O$105,10,FALSE),"Unknown lot"))</x:f>
      </x:c>
      <x:c r="O189" s="37" t="str">
        <x:f>IF(A189="","",IF(ISNUMBER(N189),E189*N189,"Cost missing"))</x:f>
      </x:c>
      <x:c r="P189" s="37" t="str">
        <x:f>IF(A189="","",IF(ISNUMBER(N189),F189*N189,"Cost missing"))</x:f>
      </x:c>
      <x:c r="Q189" s="42" t="str">
        <x:f>IF(A189="","",IF(COUNTIFS($A$6:$A$205,A189)&lt;&gt;1,"Duplicate ID",IF(OR(NOT(ISNUMBER(B189)),G189="",H189="",J189="",E189&lt;0,F189&lt;0,AND(E189&gt;0,F189&gt;0),E189+F189&lt;=0),"Check required inputs",IF(OR(L189="Unknown lot",NOT(ISNUMBER(N189))),"Lot/cost incomplete",IF(AND(I189="Approved",OR(K189="",K189=J189)),"Independent review needed","OK")))))</x:f>
      </x:c>
    </x:row>
    <x:row r="190" ht="23" customHeight="1">
      <x:c r="A190" s="36"/>
      <x:c r="B190" s="40"/>
      <x:c r="C190" s="36"/>
      <x:c r="D190" s="36"/>
      <x:c r="E190" s="41"/>
      <x:c r="F190" s="41"/>
      <x:c r="G190" s="36"/>
      <x:c r="H190" s="36"/>
      <x:c r="I190" s="36"/>
      <x:c r="J190" s="36"/>
      <x:c r="K190" s="36"/>
      <x:c r="L190" s="42" t="str">
        <x:f>IF(A190="","",IF(COUNTIFS('Lots'!$A$6:$A$105,C190)=1,VLOOKUP(C190,'Lots'!$A$6:$O$105,2,FALSE),"Unknown lot"))</x:f>
      </x:c>
      <x:c r="M190" s="42" t="str">
        <x:f>IF(A190="","",IF(COUNTIFS('Lots'!$A$6:$A$105,C190)=1,VLOOKUP(C190,'Lots'!$A$6:$O$105,15,FALSE),"Unknown lot"))</x:f>
      </x:c>
      <x:c r="N190" s="37" t="str">
        <x:f>IF(A190="","",IF(COUNTIFS('Lots'!$A$6:$A$105,C190)=1,VLOOKUP(C190,'Lots'!$A$6:$O$105,10,FALSE),"Unknown lot"))</x:f>
      </x:c>
      <x:c r="O190" s="37" t="str">
        <x:f>IF(A190="","",IF(ISNUMBER(N190),E190*N190,"Cost missing"))</x:f>
      </x:c>
      <x:c r="P190" s="37" t="str">
        <x:f>IF(A190="","",IF(ISNUMBER(N190),F190*N190,"Cost missing"))</x:f>
      </x:c>
      <x:c r="Q190" s="42" t="str">
        <x:f>IF(A190="","",IF(COUNTIFS($A$6:$A$205,A190)&lt;&gt;1,"Duplicate ID",IF(OR(NOT(ISNUMBER(B190)),G190="",H190="",J190="",E190&lt;0,F190&lt;0,AND(E190&gt;0,F190&gt;0),E190+F190&lt;=0),"Check required inputs",IF(OR(L190="Unknown lot",NOT(ISNUMBER(N190))),"Lot/cost incomplete",IF(AND(I190="Approved",OR(K190="",K190=J190)),"Independent review needed","OK")))))</x:f>
      </x:c>
    </x:row>
    <x:row r="191" ht="23" customHeight="1">
      <x:c r="A191" s="36"/>
      <x:c r="B191" s="40"/>
      <x:c r="C191" s="36"/>
      <x:c r="D191" s="36"/>
      <x:c r="E191" s="41"/>
      <x:c r="F191" s="41"/>
      <x:c r="G191" s="36"/>
      <x:c r="H191" s="36"/>
      <x:c r="I191" s="36"/>
      <x:c r="J191" s="36"/>
      <x:c r="K191" s="36"/>
      <x:c r="L191" s="42" t="str">
        <x:f>IF(A191="","",IF(COUNTIFS('Lots'!$A$6:$A$105,C191)=1,VLOOKUP(C191,'Lots'!$A$6:$O$105,2,FALSE),"Unknown lot"))</x:f>
      </x:c>
      <x:c r="M191" s="42" t="str">
        <x:f>IF(A191="","",IF(COUNTIFS('Lots'!$A$6:$A$105,C191)=1,VLOOKUP(C191,'Lots'!$A$6:$O$105,15,FALSE),"Unknown lot"))</x:f>
      </x:c>
      <x:c r="N191" s="37" t="str">
        <x:f>IF(A191="","",IF(COUNTIFS('Lots'!$A$6:$A$105,C191)=1,VLOOKUP(C191,'Lots'!$A$6:$O$105,10,FALSE),"Unknown lot"))</x:f>
      </x:c>
      <x:c r="O191" s="37" t="str">
        <x:f>IF(A191="","",IF(ISNUMBER(N191),E191*N191,"Cost missing"))</x:f>
      </x:c>
      <x:c r="P191" s="37" t="str">
        <x:f>IF(A191="","",IF(ISNUMBER(N191),F191*N191,"Cost missing"))</x:f>
      </x:c>
      <x:c r="Q191" s="42" t="str">
        <x:f>IF(A191="","",IF(COUNTIFS($A$6:$A$205,A191)&lt;&gt;1,"Duplicate ID",IF(OR(NOT(ISNUMBER(B191)),G191="",H191="",J191="",E191&lt;0,F191&lt;0,AND(E191&gt;0,F191&gt;0),E191+F191&lt;=0),"Check required inputs",IF(OR(L191="Unknown lot",NOT(ISNUMBER(N191))),"Lot/cost incomplete",IF(AND(I191="Approved",OR(K191="",K191=J191)),"Independent review needed","OK")))))</x:f>
      </x:c>
    </x:row>
    <x:row r="192" ht="23" customHeight="1">
      <x:c r="A192" s="36"/>
      <x:c r="B192" s="40"/>
      <x:c r="C192" s="36"/>
      <x:c r="D192" s="36"/>
      <x:c r="E192" s="41"/>
      <x:c r="F192" s="41"/>
      <x:c r="G192" s="36"/>
      <x:c r="H192" s="36"/>
      <x:c r="I192" s="36"/>
      <x:c r="J192" s="36"/>
      <x:c r="K192" s="36"/>
      <x:c r="L192" s="42" t="str">
        <x:f>IF(A192="","",IF(COUNTIFS('Lots'!$A$6:$A$105,C192)=1,VLOOKUP(C192,'Lots'!$A$6:$O$105,2,FALSE),"Unknown lot"))</x:f>
      </x:c>
      <x:c r="M192" s="42" t="str">
        <x:f>IF(A192="","",IF(COUNTIFS('Lots'!$A$6:$A$105,C192)=1,VLOOKUP(C192,'Lots'!$A$6:$O$105,15,FALSE),"Unknown lot"))</x:f>
      </x:c>
      <x:c r="N192" s="37" t="str">
        <x:f>IF(A192="","",IF(COUNTIFS('Lots'!$A$6:$A$105,C192)=1,VLOOKUP(C192,'Lots'!$A$6:$O$105,10,FALSE),"Unknown lot"))</x:f>
      </x:c>
      <x:c r="O192" s="37" t="str">
        <x:f>IF(A192="","",IF(ISNUMBER(N192),E192*N192,"Cost missing"))</x:f>
      </x:c>
      <x:c r="P192" s="37" t="str">
        <x:f>IF(A192="","",IF(ISNUMBER(N192),F192*N192,"Cost missing"))</x:f>
      </x:c>
      <x:c r="Q192" s="42" t="str">
        <x:f>IF(A192="","",IF(COUNTIFS($A$6:$A$205,A192)&lt;&gt;1,"Duplicate ID",IF(OR(NOT(ISNUMBER(B192)),G192="",H192="",J192="",E192&lt;0,F192&lt;0,AND(E192&gt;0,F192&gt;0),E192+F192&lt;=0),"Check required inputs",IF(OR(L192="Unknown lot",NOT(ISNUMBER(N192))),"Lot/cost incomplete",IF(AND(I192="Approved",OR(K192="",K192=J192)),"Independent review needed","OK")))))</x:f>
      </x:c>
    </x:row>
    <x:row r="193" ht="23" customHeight="1">
      <x:c r="A193" s="36"/>
      <x:c r="B193" s="40"/>
      <x:c r="C193" s="36"/>
      <x:c r="D193" s="36"/>
      <x:c r="E193" s="41"/>
      <x:c r="F193" s="41"/>
      <x:c r="G193" s="36"/>
      <x:c r="H193" s="36"/>
      <x:c r="I193" s="36"/>
      <x:c r="J193" s="36"/>
      <x:c r="K193" s="36"/>
      <x:c r="L193" s="42" t="str">
        <x:f>IF(A193="","",IF(COUNTIFS('Lots'!$A$6:$A$105,C193)=1,VLOOKUP(C193,'Lots'!$A$6:$O$105,2,FALSE),"Unknown lot"))</x:f>
      </x:c>
      <x:c r="M193" s="42" t="str">
        <x:f>IF(A193="","",IF(COUNTIFS('Lots'!$A$6:$A$105,C193)=1,VLOOKUP(C193,'Lots'!$A$6:$O$105,15,FALSE),"Unknown lot"))</x:f>
      </x:c>
      <x:c r="N193" s="37" t="str">
        <x:f>IF(A193="","",IF(COUNTIFS('Lots'!$A$6:$A$105,C193)=1,VLOOKUP(C193,'Lots'!$A$6:$O$105,10,FALSE),"Unknown lot"))</x:f>
      </x:c>
      <x:c r="O193" s="37" t="str">
        <x:f>IF(A193="","",IF(ISNUMBER(N193),E193*N193,"Cost missing"))</x:f>
      </x:c>
      <x:c r="P193" s="37" t="str">
        <x:f>IF(A193="","",IF(ISNUMBER(N193),F193*N193,"Cost missing"))</x:f>
      </x:c>
      <x:c r="Q193" s="42" t="str">
        <x:f>IF(A193="","",IF(COUNTIFS($A$6:$A$205,A193)&lt;&gt;1,"Duplicate ID",IF(OR(NOT(ISNUMBER(B193)),G193="",H193="",J193="",E193&lt;0,F193&lt;0,AND(E193&gt;0,F193&gt;0),E193+F193&lt;=0),"Check required inputs",IF(OR(L193="Unknown lot",NOT(ISNUMBER(N193))),"Lot/cost incomplete",IF(AND(I193="Approved",OR(K193="",K193=J193)),"Independent review needed","OK")))))</x:f>
      </x:c>
    </x:row>
    <x:row r="194" ht="23" customHeight="1">
      <x:c r="A194" s="36"/>
      <x:c r="B194" s="40"/>
      <x:c r="C194" s="36"/>
      <x:c r="D194" s="36"/>
      <x:c r="E194" s="41"/>
      <x:c r="F194" s="41"/>
      <x:c r="G194" s="36"/>
      <x:c r="H194" s="36"/>
      <x:c r="I194" s="36"/>
      <x:c r="J194" s="36"/>
      <x:c r="K194" s="36"/>
      <x:c r="L194" s="42" t="str">
        <x:f>IF(A194="","",IF(COUNTIFS('Lots'!$A$6:$A$105,C194)=1,VLOOKUP(C194,'Lots'!$A$6:$O$105,2,FALSE),"Unknown lot"))</x:f>
      </x:c>
      <x:c r="M194" s="42" t="str">
        <x:f>IF(A194="","",IF(COUNTIFS('Lots'!$A$6:$A$105,C194)=1,VLOOKUP(C194,'Lots'!$A$6:$O$105,15,FALSE),"Unknown lot"))</x:f>
      </x:c>
      <x:c r="N194" s="37" t="str">
        <x:f>IF(A194="","",IF(COUNTIFS('Lots'!$A$6:$A$105,C194)=1,VLOOKUP(C194,'Lots'!$A$6:$O$105,10,FALSE),"Unknown lot"))</x:f>
      </x:c>
      <x:c r="O194" s="37" t="str">
        <x:f>IF(A194="","",IF(ISNUMBER(N194),E194*N194,"Cost missing"))</x:f>
      </x:c>
      <x:c r="P194" s="37" t="str">
        <x:f>IF(A194="","",IF(ISNUMBER(N194),F194*N194,"Cost missing"))</x:f>
      </x:c>
      <x:c r="Q194" s="42" t="str">
        <x:f>IF(A194="","",IF(COUNTIFS($A$6:$A$205,A194)&lt;&gt;1,"Duplicate ID",IF(OR(NOT(ISNUMBER(B194)),G194="",H194="",J194="",E194&lt;0,F194&lt;0,AND(E194&gt;0,F194&gt;0),E194+F194&lt;=0),"Check required inputs",IF(OR(L194="Unknown lot",NOT(ISNUMBER(N194))),"Lot/cost incomplete",IF(AND(I194="Approved",OR(K194="",K194=J194)),"Independent review needed","OK")))))</x:f>
      </x:c>
    </x:row>
    <x:row r="195" ht="23" customHeight="1">
      <x:c r="A195" s="36"/>
      <x:c r="B195" s="40"/>
      <x:c r="C195" s="36"/>
      <x:c r="D195" s="36"/>
      <x:c r="E195" s="41"/>
      <x:c r="F195" s="41"/>
      <x:c r="G195" s="36"/>
      <x:c r="H195" s="36"/>
      <x:c r="I195" s="36"/>
      <x:c r="J195" s="36"/>
      <x:c r="K195" s="36"/>
      <x:c r="L195" s="42" t="str">
        <x:f>IF(A195="","",IF(COUNTIFS('Lots'!$A$6:$A$105,C195)=1,VLOOKUP(C195,'Lots'!$A$6:$O$105,2,FALSE),"Unknown lot"))</x:f>
      </x:c>
      <x:c r="M195" s="42" t="str">
        <x:f>IF(A195="","",IF(COUNTIFS('Lots'!$A$6:$A$105,C195)=1,VLOOKUP(C195,'Lots'!$A$6:$O$105,15,FALSE),"Unknown lot"))</x:f>
      </x:c>
      <x:c r="N195" s="37" t="str">
        <x:f>IF(A195="","",IF(COUNTIFS('Lots'!$A$6:$A$105,C195)=1,VLOOKUP(C195,'Lots'!$A$6:$O$105,10,FALSE),"Unknown lot"))</x:f>
      </x:c>
      <x:c r="O195" s="37" t="str">
        <x:f>IF(A195="","",IF(ISNUMBER(N195),E195*N195,"Cost missing"))</x:f>
      </x:c>
      <x:c r="P195" s="37" t="str">
        <x:f>IF(A195="","",IF(ISNUMBER(N195),F195*N195,"Cost missing"))</x:f>
      </x:c>
      <x:c r="Q195" s="42" t="str">
        <x:f>IF(A195="","",IF(COUNTIFS($A$6:$A$205,A195)&lt;&gt;1,"Duplicate ID",IF(OR(NOT(ISNUMBER(B195)),G195="",H195="",J195="",E195&lt;0,F195&lt;0,AND(E195&gt;0,F195&gt;0),E195+F195&lt;=0),"Check required inputs",IF(OR(L195="Unknown lot",NOT(ISNUMBER(N195))),"Lot/cost incomplete",IF(AND(I195="Approved",OR(K195="",K195=J195)),"Independent review needed","OK")))))</x:f>
      </x:c>
    </x:row>
    <x:row r="196" ht="23" customHeight="1">
      <x:c r="A196" s="36"/>
      <x:c r="B196" s="40"/>
      <x:c r="C196" s="36"/>
      <x:c r="D196" s="36"/>
      <x:c r="E196" s="41"/>
      <x:c r="F196" s="41"/>
      <x:c r="G196" s="36"/>
      <x:c r="H196" s="36"/>
      <x:c r="I196" s="36"/>
      <x:c r="J196" s="36"/>
      <x:c r="K196" s="36"/>
      <x:c r="L196" s="42" t="str">
        <x:f>IF(A196="","",IF(COUNTIFS('Lots'!$A$6:$A$105,C196)=1,VLOOKUP(C196,'Lots'!$A$6:$O$105,2,FALSE),"Unknown lot"))</x:f>
      </x:c>
      <x:c r="M196" s="42" t="str">
        <x:f>IF(A196="","",IF(COUNTIFS('Lots'!$A$6:$A$105,C196)=1,VLOOKUP(C196,'Lots'!$A$6:$O$105,15,FALSE),"Unknown lot"))</x:f>
      </x:c>
      <x:c r="N196" s="37" t="str">
        <x:f>IF(A196="","",IF(COUNTIFS('Lots'!$A$6:$A$105,C196)=1,VLOOKUP(C196,'Lots'!$A$6:$O$105,10,FALSE),"Unknown lot"))</x:f>
      </x:c>
      <x:c r="O196" s="37" t="str">
        <x:f>IF(A196="","",IF(ISNUMBER(N196),E196*N196,"Cost missing"))</x:f>
      </x:c>
      <x:c r="P196" s="37" t="str">
        <x:f>IF(A196="","",IF(ISNUMBER(N196),F196*N196,"Cost missing"))</x:f>
      </x:c>
      <x:c r="Q196" s="42" t="str">
        <x:f>IF(A196="","",IF(COUNTIFS($A$6:$A$205,A196)&lt;&gt;1,"Duplicate ID",IF(OR(NOT(ISNUMBER(B196)),G196="",H196="",J196="",E196&lt;0,F196&lt;0,AND(E196&gt;0,F196&gt;0),E196+F196&lt;=0),"Check required inputs",IF(OR(L196="Unknown lot",NOT(ISNUMBER(N196))),"Lot/cost incomplete",IF(AND(I196="Approved",OR(K196="",K196=J196)),"Independent review needed","OK")))))</x:f>
      </x:c>
    </x:row>
    <x:row r="197" ht="23" customHeight="1">
      <x:c r="A197" s="36"/>
      <x:c r="B197" s="40"/>
      <x:c r="C197" s="36"/>
      <x:c r="D197" s="36"/>
      <x:c r="E197" s="41"/>
      <x:c r="F197" s="41"/>
      <x:c r="G197" s="36"/>
      <x:c r="H197" s="36"/>
      <x:c r="I197" s="36"/>
      <x:c r="J197" s="36"/>
      <x:c r="K197" s="36"/>
      <x:c r="L197" s="42" t="str">
        <x:f>IF(A197="","",IF(COUNTIFS('Lots'!$A$6:$A$105,C197)=1,VLOOKUP(C197,'Lots'!$A$6:$O$105,2,FALSE),"Unknown lot"))</x:f>
      </x:c>
      <x:c r="M197" s="42" t="str">
        <x:f>IF(A197="","",IF(COUNTIFS('Lots'!$A$6:$A$105,C197)=1,VLOOKUP(C197,'Lots'!$A$6:$O$105,15,FALSE),"Unknown lot"))</x:f>
      </x:c>
      <x:c r="N197" s="37" t="str">
        <x:f>IF(A197="","",IF(COUNTIFS('Lots'!$A$6:$A$105,C197)=1,VLOOKUP(C197,'Lots'!$A$6:$O$105,10,FALSE),"Unknown lot"))</x:f>
      </x:c>
      <x:c r="O197" s="37" t="str">
        <x:f>IF(A197="","",IF(ISNUMBER(N197),E197*N197,"Cost missing"))</x:f>
      </x:c>
      <x:c r="P197" s="37" t="str">
        <x:f>IF(A197="","",IF(ISNUMBER(N197),F197*N197,"Cost missing"))</x:f>
      </x:c>
      <x:c r="Q197" s="42" t="str">
        <x:f>IF(A197="","",IF(COUNTIFS($A$6:$A$205,A197)&lt;&gt;1,"Duplicate ID",IF(OR(NOT(ISNUMBER(B197)),G197="",H197="",J197="",E197&lt;0,F197&lt;0,AND(E197&gt;0,F197&gt;0),E197+F197&lt;=0),"Check required inputs",IF(OR(L197="Unknown lot",NOT(ISNUMBER(N197))),"Lot/cost incomplete",IF(AND(I197="Approved",OR(K197="",K197=J197)),"Independent review needed","OK")))))</x:f>
      </x:c>
    </x:row>
    <x:row r="198" ht="23" customHeight="1">
      <x:c r="A198" s="36"/>
      <x:c r="B198" s="40"/>
      <x:c r="C198" s="36"/>
      <x:c r="D198" s="36"/>
      <x:c r="E198" s="41"/>
      <x:c r="F198" s="41"/>
      <x:c r="G198" s="36"/>
      <x:c r="H198" s="36"/>
      <x:c r="I198" s="36"/>
      <x:c r="J198" s="36"/>
      <x:c r="K198" s="36"/>
      <x:c r="L198" s="42" t="str">
        <x:f>IF(A198="","",IF(COUNTIFS('Lots'!$A$6:$A$105,C198)=1,VLOOKUP(C198,'Lots'!$A$6:$O$105,2,FALSE),"Unknown lot"))</x:f>
      </x:c>
      <x:c r="M198" s="42" t="str">
        <x:f>IF(A198="","",IF(COUNTIFS('Lots'!$A$6:$A$105,C198)=1,VLOOKUP(C198,'Lots'!$A$6:$O$105,15,FALSE),"Unknown lot"))</x:f>
      </x:c>
      <x:c r="N198" s="37" t="str">
        <x:f>IF(A198="","",IF(COUNTIFS('Lots'!$A$6:$A$105,C198)=1,VLOOKUP(C198,'Lots'!$A$6:$O$105,10,FALSE),"Unknown lot"))</x:f>
      </x:c>
      <x:c r="O198" s="37" t="str">
        <x:f>IF(A198="","",IF(ISNUMBER(N198),E198*N198,"Cost missing"))</x:f>
      </x:c>
      <x:c r="P198" s="37" t="str">
        <x:f>IF(A198="","",IF(ISNUMBER(N198),F198*N198,"Cost missing"))</x:f>
      </x:c>
      <x:c r="Q198" s="42" t="str">
        <x:f>IF(A198="","",IF(COUNTIFS($A$6:$A$205,A198)&lt;&gt;1,"Duplicate ID",IF(OR(NOT(ISNUMBER(B198)),G198="",H198="",J198="",E198&lt;0,F198&lt;0,AND(E198&gt;0,F198&gt;0),E198+F198&lt;=0),"Check required inputs",IF(OR(L198="Unknown lot",NOT(ISNUMBER(N198))),"Lot/cost incomplete",IF(AND(I198="Approved",OR(K198="",K198=J198)),"Independent review needed","OK")))))</x:f>
      </x:c>
    </x:row>
    <x:row r="199" ht="23" customHeight="1">
      <x:c r="A199" s="36"/>
      <x:c r="B199" s="40"/>
      <x:c r="C199" s="36"/>
      <x:c r="D199" s="36"/>
      <x:c r="E199" s="41"/>
      <x:c r="F199" s="41"/>
      <x:c r="G199" s="36"/>
      <x:c r="H199" s="36"/>
      <x:c r="I199" s="36"/>
      <x:c r="J199" s="36"/>
      <x:c r="K199" s="36"/>
      <x:c r="L199" s="42" t="str">
        <x:f>IF(A199="","",IF(COUNTIFS('Lots'!$A$6:$A$105,C199)=1,VLOOKUP(C199,'Lots'!$A$6:$O$105,2,FALSE),"Unknown lot"))</x:f>
      </x:c>
      <x:c r="M199" s="42" t="str">
        <x:f>IF(A199="","",IF(COUNTIFS('Lots'!$A$6:$A$105,C199)=1,VLOOKUP(C199,'Lots'!$A$6:$O$105,15,FALSE),"Unknown lot"))</x:f>
      </x:c>
      <x:c r="N199" s="37" t="str">
        <x:f>IF(A199="","",IF(COUNTIFS('Lots'!$A$6:$A$105,C199)=1,VLOOKUP(C199,'Lots'!$A$6:$O$105,10,FALSE),"Unknown lot"))</x:f>
      </x:c>
      <x:c r="O199" s="37" t="str">
        <x:f>IF(A199="","",IF(ISNUMBER(N199),E199*N199,"Cost missing"))</x:f>
      </x:c>
      <x:c r="P199" s="37" t="str">
        <x:f>IF(A199="","",IF(ISNUMBER(N199),F199*N199,"Cost missing"))</x:f>
      </x:c>
      <x:c r="Q199" s="42" t="str">
        <x:f>IF(A199="","",IF(COUNTIFS($A$6:$A$205,A199)&lt;&gt;1,"Duplicate ID",IF(OR(NOT(ISNUMBER(B199)),G199="",H199="",J199="",E199&lt;0,F199&lt;0,AND(E199&gt;0,F199&gt;0),E199+F199&lt;=0),"Check required inputs",IF(OR(L199="Unknown lot",NOT(ISNUMBER(N199))),"Lot/cost incomplete",IF(AND(I199="Approved",OR(K199="",K199=J199)),"Independent review needed","OK")))))</x:f>
      </x:c>
    </x:row>
    <x:row r="200" ht="23" customHeight="1">
      <x:c r="A200" s="36"/>
      <x:c r="B200" s="40"/>
      <x:c r="C200" s="36"/>
      <x:c r="D200" s="36"/>
      <x:c r="E200" s="41"/>
      <x:c r="F200" s="41"/>
      <x:c r="G200" s="36"/>
      <x:c r="H200" s="36"/>
      <x:c r="I200" s="36"/>
      <x:c r="J200" s="36"/>
      <x:c r="K200" s="36"/>
      <x:c r="L200" s="42" t="str">
        <x:f>IF(A200="","",IF(COUNTIFS('Lots'!$A$6:$A$105,C200)=1,VLOOKUP(C200,'Lots'!$A$6:$O$105,2,FALSE),"Unknown lot"))</x:f>
      </x:c>
      <x:c r="M200" s="42" t="str">
        <x:f>IF(A200="","",IF(COUNTIFS('Lots'!$A$6:$A$105,C200)=1,VLOOKUP(C200,'Lots'!$A$6:$O$105,15,FALSE),"Unknown lot"))</x:f>
      </x:c>
      <x:c r="N200" s="37" t="str">
        <x:f>IF(A200="","",IF(COUNTIFS('Lots'!$A$6:$A$105,C200)=1,VLOOKUP(C200,'Lots'!$A$6:$O$105,10,FALSE),"Unknown lot"))</x:f>
      </x:c>
      <x:c r="O200" s="37" t="str">
        <x:f>IF(A200="","",IF(ISNUMBER(N200),E200*N200,"Cost missing"))</x:f>
      </x:c>
      <x:c r="P200" s="37" t="str">
        <x:f>IF(A200="","",IF(ISNUMBER(N200),F200*N200,"Cost missing"))</x:f>
      </x:c>
      <x:c r="Q200" s="42" t="str">
        <x:f>IF(A200="","",IF(COUNTIFS($A$6:$A$205,A200)&lt;&gt;1,"Duplicate ID",IF(OR(NOT(ISNUMBER(B200)),G200="",H200="",J200="",E200&lt;0,F200&lt;0,AND(E200&gt;0,F200&gt;0),E200+F200&lt;=0),"Check required inputs",IF(OR(L200="Unknown lot",NOT(ISNUMBER(N200))),"Lot/cost incomplete",IF(AND(I200="Approved",OR(K200="",K200=J200)),"Independent review needed","OK")))))</x:f>
      </x:c>
    </x:row>
    <x:row r="201" ht="23" customHeight="1">
      <x:c r="A201" s="36"/>
      <x:c r="B201" s="40"/>
      <x:c r="C201" s="36"/>
      <x:c r="D201" s="36"/>
      <x:c r="E201" s="41"/>
      <x:c r="F201" s="41"/>
      <x:c r="G201" s="36"/>
      <x:c r="H201" s="36"/>
      <x:c r="I201" s="36"/>
      <x:c r="J201" s="36"/>
      <x:c r="K201" s="36"/>
      <x:c r="L201" s="42" t="str">
        <x:f>IF(A201="","",IF(COUNTIFS('Lots'!$A$6:$A$105,C201)=1,VLOOKUP(C201,'Lots'!$A$6:$O$105,2,FALSE),"Unknown lot"))</x:f>
      </x:c>
      <x:c r="M201" s="42" t="str">
        <x:f>IF(A201="","",IF(COUNTIFS('Lots'!$A$6:$A$105,C201)=1,VLOOKUP(C201,'Lots'!$A$6:$O$105,15,FALSE),"Unknown lot"))</x:f>
      </x:c>
      <x:c r="N201" s="37" t="str">
        <x:f>IF(A201="","",IF(COUNTIFS('Lots'!$A$6:$A$105,C201)=1,VLOOKUP(C201,'Lots'!$A$6:$O$105,10,FALSE),"Unknown lot"))</x:f>
      </x:c>
      <x:c r="O201" s="37" t="str">
        <x:f>IF(A201="","",IF(ISNUMBER(N201),E201*N201,"Cost missing"))</x:f>
      </x:c>
      <x:c r="P201" s="37" t="str">
        <x:f>IF(A201="","",IF(ISNUMBER(N201),F201*N201,"Cost missing"))</x:f>
      </x:c>
      <x:c r="Q201" s="42" t="str">
        <x:f>IF(A201="","",IF(COUNTIFS($A$6:$A$205,A201)&lt;&gt;1,"Duplicate ID",IF(OR(NOT(ISNUMBER(B201)),G201="",H201="",J201="",E201&lt;0,F201&lt;0,AND(E201&gt;0,F201&gt;0),E201+F201&lt;=0),"Check required inputs",IF(OR(L201="Unknown lot",NOT(ISNUMBER(N201))),"Lot/cost incomplete",IF(AND(I201="Approved",OR(K201="",K201=J201)),"Independent review needed","OK")))))</x:f>
      </x:c>
    </x:row>
    <x:row r="202" ht="23" customHeight="1">
      <x:c r="A202" s="36"/>
      <x:c r="B202" s="40"/>
      <x:c r="C202" s="36"/>
      <x:c r="D202" s="36"/>
      <x:c r="E202" s="41"/>
      <x:c r="F202" s="41"/>
      <x:c r="G202" s="36"/>
      <x:c r="H202" s="36"/>
      <x:c r="I202" s="36"/>
      <x:c r="J202" s="36"/>
      <x:c r="K202" s="36"/>
      <x:c r="L202" s="42" t="str">
        <x:f>IF(A202="","",IF(COUNTIFS('Lots'!$A$6:$A$105,C202)=1,VLOOKUP(C202,'Lots'!$A$6:$O$105,2,FALSE),"Unknown lot"))</x:f>
      </x:c>
      <x:c r="M202" s="42" t="str">
        <x:f>IF(A202="","",IF(COUNTIFS('Lots'!$A$6:$A$105,C202)=1,VLOOKUP(C202,'Lots'!$A$6:$O$105,15,FALSE),"Unknown lot"))</x:f>
      </x:c>
      <x:c r="N202" s="37" t="str">
        <x:f>IF(A202="","",IF(COUNTIFS('Lots'!$A$6:$A$105,C202)=1,VLOOKUP(C202,'Lots'!$A$6:$O$105,10,FALSE),"Unknown lot"))</x:f>
      </x:c>
      <x:c r="O202" s="37" t="str">
        <x:f>IF(A202="","",IF(ISNUMBER(N202),E202*N202,"Cost missing"))</x:f>
      </x:c>
      <x:c r="P202" s="37" t="str">
        <x:f>IF(A202="","",IF(ISNUMBER(N202),F202*N202,"Cost missing"))</x:f>
      </x:c>
      <x:c r="Q202" s="42" t="str">
        <x:f>IF(A202="","",IF(COUNTIFS($A$6:$A$205,A202)&lt;&gt;1,"Duplicate ID",IF(OR(NOT(ISNUMBER(B202)),G202="",H202="",J202="",E202&lt;0,F202&lt;0,AND(E202&gt;0,F202&gt;0),E202+F202&lt;=0),"Check required inputs",IF(OR(L202="Unknown lot",NOT(ISNUMBER(N202))),"Lot/cost incomplete",IF(AND(I202="Approved",OR(K202="",K202=J202)),"Independent review needed","OK")))))</x:f>
      </x:c>
    </x:row>
    <x:row r="203" ht="23" customHeight="1">
      <x:c r="A203" s="36"/>
      <x:c r="B203" s="40"/>
      <x:c r="C203" s="36"/>
      <x:c r="D203" s="36"/>
      <x:c r="E203" s="41"/>
      <x:c r="F203" s="41"/>
      <x:c r="G203" s="36"/>
      <x:c r="H203" s="36"/>
      <x:c r="I203" s="36"/>
      <x:c r="J203" s="36"/>
      <x:c r="K203" s="36"/>
      <x:c r="L203" s="42" t="str">
        <x:f>IF(A203="","",IF(COUNTIFS('Lots'!$A$6:$A$105,C203)=1,VLOOKUP(C203,'Lots'!$A$6:$O$105,2,FALSE),"Unknown lot"))</x:f>
      </x:c>
      <x:c r="M203" s="42" t="str">
        <x:f>IF(A203="","",IF(COUNTIFS('Lots'!$A$6:$A$105,C203)=1,VLOOKUP(C203,'Lots'!$A$6:$O$105,15,FALSE),"Unknown lot"))</x:f>
      </x:c>
      <x:c r="N203" s="37" t="str">
        <x:f>IF(A203="","",IF(COUNTIFS('Lots'!$A$6:$A$105,C203)=1,VLOOKUP(C203,'Lots'!$A$6:$O$105,10,FALSE),"Unknown lot"))</x:f>
      </x:c>
      <x:c r="O203" s="37" t="str">
        <x:f>IF(A203="","",IF(ISNUMBER(N203),E203*N203,"Cost missing"))</x:f>
      </x:c>
      <x:c r="P203" s="37" t="str">
        <x:f>IF(A203="","",IF(ISNUMBER(N203),F203*N203,"Cost missing"))</x:f>
      </x:c>
      <x:c r="Q203" s="42" t="str">
        <x:f>IF(A203="","",IF(COUNTIFS($A$6:$A$205,A203)&lt;&gt;1,"Duplicate ID",IF(OR(NOT(ISNUMBER(B203)),G203="",H203="",J203="",E203&lt;0,F203&lt;0,AND(E203&gt;0,F203&gt;0),E203+F203&lt;=0),"Check required inputs",IF(OR(L203="Unknown lot",NOT(ISNUMBER(N203))),"Lot/cost incomplete",IF(AND(I203="Approved",OR(K203="",K203=J203)),"Independent review needed","OK")))))</x:f>
      </x:c>
    </x:row>
    <x:row r="204" ht="23" customHeight="1">
      <x:c r="A204" s="36"/>
      <x:c r="B204" s="40"/>
      <x:c r="C204" s="36"/>
      <x:c r="D204" s="36"/>
      <x:c r="E204" s="41"/>
      <x:c r="F204" s="41"/>
      <x:c r="G204" s="36"/>
      <x:c r="H204" s="36"/>
      <x:c r="I204" s="36"/>
      <x:c r="J204" s="36"/>
      <x:c r="K204" s="36"/>
      <x:c r="L204" s="42" t="str">
        <x:f>IF(A204="","",IF(COUNTIFS('Lots'!$A$6:$A$105,C204)=1,VLOOKUP(C204,'Lots'!$A$6:$O$105,2,FALSE),"Unknown lot"))</x:f>
      </x:c>
      <x:c r="M204" s="42" t="str">
        <x:f>IF(A204="","",IF(COUNTIFS('Lots'!$A$6:$A$105,C204)=1,VLOOKUP(C204,'Lots'!$A$6:$O$105,15,FALSE),"Unknown lot"))</x:f>
      </x:c>
      <x:c r="N204" s="37" t="str">
        <x:f>IF(A204="","",IF(COUNTIFS('Lots'!$A$6:$A$105,C204)=1,VLOOKUP(C204,'Lots'!$A$6:$O$105,10,FALSE),"Unknown lot"))</x:f>
      </x:c>
      <x:c r="O204" s="37" t="str">
        <x:f>IF(A204="","",IF(ISNUMBER(N204),E204*N204,"Cost missing"))</x:f>
      </x:c>
      <x:c r="P204" s="37" t="str">
        <x:f>IF(A204="","",IF(ISNUMBER(N204),F204*N204,"Cost missing"))</x:f>
      </x:c>
      <x:c r="Q204" s="42" t="str">
        <x:f>IF(A204="","",IF(COUNTIFS($A$6:$A$205,A204)&lt;&gt;1,"Duplicate ID",IF(OR(NOT(ISNUMBER(B204)),G204="",H204="",J204="",E204&lt;0,F204&lt;0,AND(E204&gt;0,F204&gt;0),E204+F204&lt;=0),"Check required inputs",IF(OR(L204="Unknown lot",NOT(ISNUMBER(N204))),"Lot/cost incomplete",IF(AND(I204="Approved",OR(K204="",K204=J204)),"Independent review needed","OK")))))</x:f>
      </x:c>
    </x:row>
    <x:row r="205" ht="23" customHeight="1">
      <x:c r="A205" s="36"/>
      <x:c r="B205" s="40"/>
      <x:c r="C205" s="36"/>
      <x:c r="D205" s="36"/>
      <x:c r="E205" s="41"/>
      <x:c r="F205" s="41"/>
      <x:c r="G205" s="36"/>
      <x:c r="H205" s="36"/>
      <x:c r="I205" s="36"/>
      <x:c r="J205" s="36"/>
      <x:c r="K205" s="36"/>
      <x:c r="L205" s="42" t="str">
        <x:f>IF(A205="","",IF(COUNTIFS('Lots'!$A$6:$A$105,C205)=1,VLOOKUP(C205,'Lots'!$A$6:$O$105,2,FALSE),"Unknown lot"))</x:f>
      </x:c>
      <x:c r="M205" s="42" t="str">
        <x:f>IF(A205="","",IF(COUNTIFS('Lots'!$A$6:$A$105,C205)=1,VLOOKUP(C205,'Lots'!$A$6:$O$105,15,FALSE),"Unknown lot"))</x:f>
      </x:c>
      <x:c r="N205" s="37" t="str">
        <x:f>IF(A205="","",IF(COUNTIFS('Lots'!$A$6:$A$105,C205)=1,VLOOKUP(C205,'Lots'!$A$6:$O$105,10,FALSE),"Unknown lot"))</x:f>
      </x:c>
      <x:c r="O205" s="37" t="str">
        <x:f>IF(A205="","",IF(ISNUMBER(N205),E205*N205,"Cost missing"))</x:f>
      </x:c>
      <x:c r="P205" s="37" t="str">
        <x:f>IF(A205="","",IF(ISNUMBER(N205),F205*N205,"Cost missing"))</x:f>
      </x:c>
      <x:c r="Q205" s="42" t="str">
        <x:f>IF(A205="","",IF(COUNTIFS($A$6:$A$205,A205)&lt;&gt;1,"Duplicate ID",IF(OR(NOT(ISNUMBER(B205)),G205="",H205="",J205="",E205&lt;0,F205&lt;0,AND(E205&gt;0,F205&gt;0),E205+F205&lt;=0),"Check required inputs",IF(OR(L205="Unknown lot",NOT(ISNUMBER(N205))),"Lot/cost incomplete",IF(AND(I205="Approved",OR(K205="",K205=J205)),"Independent review needed","OK")))))</x:f>
      </x:c>
    </x:row>
  </x:sheetData>
  <x:conditionalFormatting sqref="Q6:Q205">
    <x:cfRule type="expression" dxfId="2" priority="1">
      <x:formula>AND(Q6&lt;&gt;"",Q6&lt;&gt;"OK")</x:formula>
    </x:cfRule>
  </x:conditionalFormatting>
  <x:dataValidations count="5">
    <x:dataValidation type="list" sqref="C6:C205">
      <x:formula1>'Lots'!$A$6:$A$105</x:formula1>
    </x:dataValidation>
    <x:dataValidation type="list" sqref="D6:D205">
      <x:formula1>"Receipt,Issue to production,Customer sale,Saleable return,Damage,Supplier return,Transfer in,Transfer out,Count correction"</x:formula1>
    </x:dataValidation>
    <x:dataValidation type="list" sqref="I6:I205">
      <x:formula1>"Draft,Approved,Void"</x:formula1>
    </x:dataValidation>
    <x:dataValidation type="list" sqref="J6:J205">
      <x:formula1>'Partners'!$A$6:$A$15</x:formula1>
    </x:dataValidation>
    <x:dataValidation type="list" sqref="K6:K205">
      <x:formula1>'Partners'!$A$6:$A$15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33600f268c48f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</x:row>
    <x:row r="2" ht="23" customHeight="1">
      <x:c r="A2" s="32" t="str">
        <x:v>AFK THEORY / Production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</x:row>
    <x:row r="5" ht="34" customHeight="1">
      <x:c r="A5" s="38" t="str">
        <x:v>Production ID</x:v>
      </x:c>
      <x:c r="B5" s="38" t="str">
        <x:v>Factory contact ID</x:v>
      </x:c>
      <x:c r="C5" s="38" t="str">
        <x:v>Start date</x:v>
      </x:c>
      <x:c r="D5" s="38" t="str">
        <x:v>Due date</x:v>
      </x:c>
      <x:c r="E5" s="38" t="str">
        <x:v>Design / drop</x:v>
      </x:c>
      <x:c r="F5" s="38" t="str">
        <x:v>Units planned</x:v>
      </x:c>
      <x:c r="G5" s="38" t="str">
        <x:v>Good units received</x:v>
      </x:c>
      <x:c r="H5" s="38" t="str">
        <x:v>Defect units</x:v>
      </x:c>
      <x:c r="I5" s="38" t="str">
        <x:v>Materials used BDT</x:v>
      </x:c>
      <x:c r="J5" s="38" t="str">
        <x:v>Direct costs BDT</x:v>
      </x:c>
      <x:c r="K5" s="38" t="str">
        <x:v>Batch cost BDT</x:v>
      </x:c>
      <x:c r="L5" s="38" t="str">
        <x:v>Unit cost BDT</x:v>
      </x:c>
      <x:c r="M5" s="38" t="str">
        <x:v>Status</x:v>
      </x:c>
      <x:c r="N5" s="38" t="str">
        <x:v>Completion date</x:v>
      </x:c>
      <x:c r="O5" s="38" t="str">
        <x:v>Evidence URL</x:v>
      </x:c>
      <x:c r="P5" s="38" t="str">
        <x:v>Notes</x:v>
      </x:c>
    </x:row>
    <x:row r="6" ht="23" customHeight="1">
      <x:c r="A6" s="36"/>
      <x:c r="B6" s="36"/>
      <x:c r="C6" s="40"/>
      <x:c r="D6" s="40"/>
      <x:c r="E6" s="36"/>
      <x:c r="F6" s="41"/>
      <x:c r="G6" s="41"/>
      <x:c r="H6" s="41"/>
      <x:c r="I6" s="37" t="str">
        <x:f>IF(A6="","",SUMIFS('Entries'!$S$6:$S$505,'Entries'!$I$6:$I$505,A6,'Entries'!$Q$6:$Q$505,"Work in progress",'Entries'!$R$6:$R$505,"Materials inventory")-SUMIFS('Entries'!$S$6:$S$505,'Entries'!$I$6:$I$505,A6,'Entries'!$R$6:$R$505,"Work in progress",'Entries'!$Q$6:$Q$505,"Materials inventory"))</x:f>
      </x:c>
      <x:c r="J6" s="37" t="str">
        <x:f>IF(A6="","",SUMIFS('Entries'!$S$6:$S$505,'Entries'!$I$6:$I$505,A6,'Entries'!$C$6:$C$505,"Production cost"))</x:f>
      </x:c>
      <x:c r="K6" s="37" t="str">
        <x:f>IF(A6="","",SUM(I6:J6))</x:f>
      </x:c>
      <x:c r="L6" s="37" t="str">
        <x:f>IF(A6="","",IF(G6&gt;0,K6/G6,"No good units"))</x:f>
      </x:c>
      <x:c r="M6" s="36"/>
      <x:c r="N6" s="40"/>
      <x:c r="O6" s="36"/>
      <x:c r="P6" s="36"/>
    </x:row>
    <x:row r="7" ht="23" customHeight="1">
      <x:c r="A7" s="36"/>
      <x:c r="B7" s="36"/>
      <x:c r="C7" s="40"/>
      <x:c r="D7" s="40"/>
      <x:c r="E7" s="36"/>
      <x:c r="F7" s="41"/>
      <x:c r="G7" s="41"/>
      <x:c r="H7" s="41"/>
      <x:c r="I7" s="37" t="str">
        <x:f>IF(A7="","",SUMIFS('Entries'!$S$6:$S$505,'Entries'!$I$6:$I$505,A7,'Entries'!$Q$6:$Q$505,"Work in progress",'Entries'!$R$6:$R$505,"Materials inventory")-SUMIFS('Entries'!$S$6:$S$505,'Entries'!$I$6:$I$505,A7,'Entries'!$R$6:$R$505,"Work in progress",'Entries'!$Q$6:$Q$505,"Materials inventory"))</x:f>
      </x:c>
      <x:c r="J7" s="37" t="str">
        <x:f>IF(A7="","",SUMIFS('Entries'!$S$6:$S$505,'Entries'!$I$6:$I$505,A7,'Entries'!$C$6:$C$505,"Production cost"))</x:f>
      </x:c>
      <x:c r="K7" s="37" t="str">
        <x:f>IF(A7="","",SUM(I7:J7))</x:f>
      </x:c>
      <x:c r="L7" s="37" t="str">
        <x:f>IF(A7="","",IF(G7&gt;0,K7/G7,"No good units"))</x:f>
      </x:c>
      <x:c r="M7" s="36"/>
      <x:c r="N7" s="40"/>
      <x:c r="O7" s="36"/>
      <x:c r="P7" s="36"/>
    </x:row>
    <x:row r="8" ht="23" customHeight="1">
      <x:c r="A8" s="36"/>
      <x:c r="B8" s="36"/>
      <x:c r="C8" s="40"/>
      <x:c r="D8" s="40"/>
      <x:c r="E8" s="36"/>
      <x:c r="F8" s="41"/>
      <x:c r="G8" s="41"/>
      <x:c r="H8" s="41"/>
      <x:c r="I8" s="37" t="str">
        <x:f>IF(A8="","",SUMIFS('Entries'!$S$6:$S$505,'Entries'!$I$6:$I$505,A8,'Entries'!$Q$6:$Q$505,"Work in progress",'Entries'!$R$6:$R$505,"Materials inventory")-SUMIFS('Entries'!$S$6:$S$505,'Entries'!$I$6:$I$505,A8,'Entries'!$R$6:$R$505,"Work in progress",'Entries'!$Q$6:$Q$505,"Materials inventory"))</x:f>
      </x:c>
      <x:c r="J8" s="37" t="str">
        <x:f>IF(A8="","",SUMIFS('Entries'!$S$6:$S$505,'Entries'!$I$6:$I$505,A8,'Entries'!$C$6:$C$505,"Production cost"))</x:f>
      </x:c>
      <x:c r="K8" s="37" t="str">
        <x:f>IF(A8="","",SUM(I8:J8))</x:f>
      </x:c>
      <x:c r="L8" s="37" t="str">
        <x:f>IF(A8="","",IF(G8&gt;0,K8/G8,"No good units"))</x:f>
      </x:c>
      <x:c r="M8" s="36"/>
      <x:c r="N8" s="40"/>
      <x:c r="O8" s="36"/>
      <x:c r="P8" s="36"/>
    </x:row>
    <x:row r="9" ht="23" customHeight="1">
      <x:c r="A9" s="36"/>
      <x:c r="B9" s="36"/>
      <x:c r="C9" s="40"/>
      <x:c r="D9" s="40"/>
      <x:c r="E9" s="36"/>
      <x:c r="F9" s="41"/>
      <x:c r="G9" s="41"/>
      <x:c r="H9" s="41"/>
      <x:c r="I9" s="37" t="str">
        <x:f>IF(A9="","",SUMIFS('Entries'!$S$6:$S$505,'Entries'!$I$6:$I$505,A9,'Entries'!$Q$6:$Q$505,"Work in progress",'Entries'!$R$6:$R$505,"Materials inventory")-SUMIFS('Entries'!$S$6:$S$505,'Entries'!$I$6:$I$505,A9,'Entries'!$R$6:$R$505,"Work in progress",'Entries'!$Q$6:$Q$505,"Materials inventory"))</x:f>
      </x:c>
      <x:c r="J9" s="37" t="str">
        <x:f>IF(A9="","",SUMIFS('Entries'!$S$6:$S$505,'Entries'!$I$6:$I$505,A9,'Entries'!$C$6:$C$505,"Production cost"))</x:f>
      </x:c>
      <x:c r="K9" s="37" t="str">
        <x:f>IF(A9="","",SUM(I9:J9))</x:f>
      </x:c>
      <x:c r="L9" s="37" t="str">
        <x:f>IF(A9="","",IF(G9&gt;0,K9/G9,"No good units"))</x:f>
      </x:c>
      <x:c r="M9" s="36"/>
      <x:c r="N9" s="40"/>
      <x:c r="O9" s="36"/>
      <x:c r="P9" s="36"/>
    </x:row>
    <x:row r="10" ht="23" customHeight="1">
      <x:c r="A10" s="36"/>
      <x:c r="B10" s="36"/>
      <x:c r="C10" s="40"/>
      <x:c r="D10" s="40"/>
      <x:c r="E10" s="36"/>
      <x:c r="F10" s="41"/>
      <x:c r="G10" s="41"/>
      <x:c r="H10" s="41"/>
      <x:c r="I10" s="37" t="str">
        <x:f>IF(A10="","",SUMIFS('Entries'!$S$6:$S$505,'Entries'!$I$6:$I$505,A10,'Entries'!$Q$6:$Q$505,"Work in progress",'Entries'!$R$6:$R$505,"Materials inventory")-SUMIFS('Entries'!$S$6:$S$505,'Entries'!$I$6:$I$505,A10,'Entries'!$R$6:$R$505,"Work in progress",'Entries'!$Q$6:$Q$505,"Materials inventory"))</x:f>
      </x:c>
      <x:c r="J10" s="37" t="str">
        <x:f>IF(A10="","",SUMIFS('Entries'!$S$6:$S$505,'Entries'!$I$6:$I$505,A10,'Entries'!$C$6:$C$505,"Production cost"))</x:f>
      </x:c>
      <x:c r="K10" s="37" t="str">
        <x:f>IF(A10="","",SUM(I10:J10))</x:f>
      </x:c>
      <x:c r="L10" s="37" t="str">
        <x:f>IF(A10="","",IF(G10&gt;0,K10/G10,"No good units"))</x:f>
      </x:c>
      <x:c r="M10" s="36"/>
      <x:c r="N10" s="40"/>
      <x:c r="O10" s="36"/>
      <x:c r="P10" s="36"/>
    </x:row>
    <x:row r="11" ht="23" customHeight="1">
      <x:c r="A11" s="36"/>
      <x:c r="B11" s="36"/>
      <x:c r="C11" s="40"/>
      <x:c r="D11" s="40"/>
      <x:c r="E11" s="36"/>
      <x:c r="F11" s="41"/>
      <x:c r="G11" s="41"/>
      <x:c r="H11" s="41"/>
      <x:c r="I11" s="37" t="str">
        <x:f>IF(A11="","",SUMIFS('Entries'!$S$6:$S$505,'Entries'!$I$6:$I$505,A11,'Entries'!$Q$6:$Q$505,"Work in progress",'Entries'!$R$6:$R$505,"Materials inventory")-SUMIFS('Entries'!$S$6:$S$505,'Entries'!$I$6:$I$505,A11,'Entries'!$R$6:$R$505,"Work in progress",'Entries'!$Q$6:$Q$505,"Materials inventory"))</x:f>
      </x:c>
      <x:c r="J11" s="37" t="str">
        <x:f>IF(A11="","",SUMIFS('Entries'!$S$6:$S$505,'Entries'!$I$6:$I$505,A11,'Entries'!$C$6:$C$505,"Production cost"))</x:f>
      </x:c>
      <x:c r="K11" s="37" t="str">
        <x:f>IF(A11="","",SUM(I11:J11))</x:f>
      </x:c>
      <x:c r="L11" s="37" t="str">
        <x:f>IF(A11="","",IF(G11&gt;0,K11/G11,"No good units"))</x:f>
      </x:c>
      <x:c r="M11" s="36"/>
      <x:c r="N11" s="40"/>
      <x:c r="O11" s="36"/>
      <x:c r="P11" s="36"/>
    </x:row>
    <x:row r="12" ht="23" customHeight="1">
      <x:c r="A12" s="36"/>
      <x:c r="B12" s="36"/>
      <x:c r="C12" s="40"/>
      <x:c r="D12" s="40"/>
      <x:c r="E12" s="36"/>
      <x:c r="F12" s="41"/>
      <x:c r="G12" s="41"/>
      <x:c r="H12" s="41"/>
      <x:c r="I12" s="37" t="str">
        <x:f>IF(A12="","",SUMIFS('Entries'!$S$6:$S$505,'Entries'!$I$6:$I$505,A12,'Entries'!$Q$6:$Q$505,"Work in progress",'Entries'!$R$6:$R$505,"Materials inventory")-SUMIFS('Entries'!$S$6:$S$505,'Entries'!$I$6:$I$505,A12,'Entries'!$R$6:$R$505,"Work in progress",'Entries'!$Q$6:$Q$505,"Materials inventory"))</x:f>
      </x:c>
      <x:c r="J12" s="37" t="str">
        <x:f>IF(A12="","",SUMIFS('Entries'!$S$6:$S$505,'Entries'!$I$6:$I$505,A12,'Entries'!$C$6:$C$505,"Production cost"))</x:f>
      </x:c>
      <x:c r="K12" s="37" t="str">
        <x:f>IF(A12="","",SUM(I12:J12))</x:f>
      </x:c>
      <x:c r="L12" s="37" t="str">
        <x:f>IF(A12="","",IF(G12&gt;0,K12/G12,"No good units"))</x:f>
      </x:c>
      <x:c r="M12" s="36"/>
      <x:c r="N12" s="40"/>
      <x:c r="O12" s="36"/>
      <x:c r="P12" s="36"/>
    </x:row>
    <x:row r="13" ht="23" customHeight="1">
      <x:c r="A13" s="36"/>
      <x:c r="B13" s="36"/>
      <x:c r="C13" s="40"/>
      <x:c r="D13" s="40"/>
      <x:c r="E13" s="36"/>
      <x:c r="F13" s="41"/>
      <x:c r="G13" s="41"/>
      <x:c r="H13" s="41"/>
      <x:c r="I13" s="37" t="str">
        <x:f>IF(A13="","",SUMIFS('Entries'!$S$6:$S$505,'Entries'!$I$6:$I$505,A13,'Entries'!$Q$6:$Q$505,"Work in progress",'Entries'!$R$6:$R$505,"Materials inventory")-SUMIFS('Entries'!$S$6:$S$505,'Entries'!$I$6:$I$505,A13,'Entries'!$R$6:$R$505,"Work in progress",'Entries'!$Q$6:$Q$505,"Materials inventory"))</x:f>
      </x:c>
      <x:c r="J13" s="37" t="str">
        <x:f>IF(A13="","",SUMIFS('Entries'!$S$6:$S$505,'Entries'!$I$6:$I$505,A13,'Entries'!$C$6:$C$505,"Production cost"))</x:f>
      </x:c>
      <x:c r="K13" s="37" t="str">
        <x:f>IF(A13="","",SUM(I13:J13))</x:f>
      </x:c>
      <x:c r="L13" s="37" t="str">
        <x:f>IF(A13="","",IF(G13&gt;0,K13/G13,"No good units"))</x:f>
      </x:c>
      <x:c r="M13" s="36"/>
      <x:c r="N13" s="40"/>
      <x:c r="O13" s="36"/>
      <x:c r="P13" s="36"/>
    </x:row>
    <x:row r="14" ht="23" customHeight="1">
      <x:c r="A14" s="36"/>
      <x:c r="B14" s="36"/>
      <x:c r="C14" s="40"/>
      <x:c r="D14" s="40"/>
      <x:c r="E14" s="36"/>
      <x:c r="F14" s="41"/>
      <x:c r="G14" s="41"/>
      <x:c r="H14" s="41"/>
      <x:c r="I14" s="37" t="str">
        <x:f>IF(A14="","",SUMIFS('Entries'!$S$6:$S$505,'Entries'!$I$6:$I$505,A14,'Entries'!$Q$6:$Q$505,"Work in progress",'Entries'!$R$6:$R$505,"Materials inventory")-SUMIFS('Entries'!$S$6:$S$505,'Entries'!$I$6:$I$505,A14,'Entries'!$R$6:$R$505,"Work in progress",'Entries'!$Q$6:$Q$505,"Materials inventory"))</x:f>
      </x:c>
      <x:c r="J14" s="37" t="str">
        <x:f>IF(A14="","",SUMIFS('Entries'!$S$6:$S$505,'Entries'!$I$6:$I$505,A14,'Entries'!$C$6:$C$505,"Production cost"))</x:f>
      </x:c>
      <x:c r="K14" s="37" t="str">
        <x:f>IF(A14="","",SUM(I14:J14))</x:f>
      </x:c>
      <x:c r="L14" s="37" t="str">
        <x:f>IF(A14="","",IF(G14&gt;0,K14/G14,"No good units"))</x:f>
      </x:c>
      <x:c r="M14" s="36"/>
      <x:c r="N14" s="40"/>
      <x:c r="O14" s="36"/>
      <x:c r="P14" s="36"/>
    </x:row>
    <x:row r="15" ht="23" customHeight="1">
      <x:c r="A15" s="36"/>
      <x:c r="B15" s="36"/>
      <x:c r="C15" s="40"/>
      <x:c r="D15" s="40"/>
      <x:c r="E15" s="36"/>
      <x:c r="F15" s="41"/>
      <x:c r="G15" s="41"/>
      <x:c r="H15" s="41"/>
      <x:c r="I15" s="37" t="str">
        <x:f>IF(A15="","",SUMIFS('Entries'!$S$6:$S$505,'Entries'!$I$6:$I$505,A15,'Entries'!$Q$6:$Q$505,"Work in progress",'Entries'!$R$6:$R$505,"Materials inventory")-SUMIFS('Entries'!$S$6:$S$505,'Entries'!$I$6:$I$505,A15,'Entries'!$R$6:$R$505,"Work in progress",'Entries'!$Q$6:$Q$505,"Materials inventory"))</x:f>
      </x:c>
      <x:c r="J15" s="37" t="str">
        <x:f>IF(A15="","",SUMIFS('Entries'!$S$6:$S$505,'Entries'!$I$6:$I$505,A15,'Entries'!$C$6:$C$505,"Production cost"))</x:f>
      </x:c>
      <x:c r="K15" s="37" t="str">
        <x:f>IF(A15="","",SUM(I15:J15))</x:f>
      </x:c>
      <x:c r="L15" s="37" t="str">
        <x:f>IF(A15="","",IF(G15&gt;0,K15/G15,"No good units"))</x:f>
      </x:c>
      <x:c r="M15" s="36"/>
      <x:c r="N15" s="40"/>
      <x:c r="O15" s="36"/>
      <x:c r="P15" s="36"/>
    </x:row>
    <x:row r="16" ht="23" customHeight="1">
      <x:c r="A16" s="36"/>
      <x:c r="B16" s="36"/>
      <x:c r="C16" s="40"/>
      <x:c r="D16" s="40"/>
      <x:c r="E16" s="36"/>
      <x:c r="F16" s="41"/>
      <x:c r="G16" s="41"/>
      <x:c r="H16" s="41"/>
      <x:c r="I16" s="37" t="str">
        <x:f>IF(A16="","",SUMIFS('Entries'!$S$6:$S$505,'Entries'!$I$6:$I$505,A16,'Entries'!$Q$6:$Q$505,"Work in progress",'Entries'!$R$6:$R$505,"Materials inventory")-SUMIFS('Entries'!$S$6:$S$505,'Entries'!$I$6:$I$505,A16,'Entries'!$R$6:$R$505,"Work in progress",'Entries'!$Q$6:$Q$505,"Materials inventory"))</x:f>
      </x:c>
      <x:c r="J16" s="37" t="str">
        <x:f>IF(A16="","",SUMIFS('Entries'!$S$6:$S$505,'Entries'!$I$6:$I$505,A16,'Entries'!$C$6:$C$505,"Production cost"))</x:f>
      </x:c>
      <x:c r="K16" s="37" t="str">
        <x:f>IF(A16="","",SUM(I16:J16))</x:f>
      </x:c>
      <x:c r="L16" s="37" t="str">
        <x:f>IF(A16="","",IF(G16&gt;0,K16/G16,"No good units"))</x:f>
      </x:c>
      <x:c r="M16" s="36"/>
      <x:c r="N16" s="40"/>
      <x:c r="O16" s="36"/>
      <x:c r="P16" s="36"/>
    </x:row>
    <x:row r="17" ht="23" customHeight="1">
      <x:c r="A17" s="36"/>
      <x:c r="B17" s="36"/>
      <x:c r="C17" s="40"/>
      <x:c r="D17" s="40"/>
      <x:c r="E17" s="36"/>
      <x:c r="F17" s="41"/>
      <x:c r="G17" s="41"/>
      <x:c r="H17" s="41"/>
      <x:c r="I17" s="37" t="str">
        <x:f>IF(A17="","",SUMIFS('Entries'!$S$6:$S$505,'Entries'!$I$6:$I$505,A17,'Entries'!$Q$6:$Q$505,"Work in progress",'Entries'!$R$6:$R$505,"Materials inventory")-SUMIFS('Entries'!$S$6:$S$505,'Entries'!$I$6:$I$505,A17,'Entries'!$R$6:$R$505,"Work in progress",'Entries'!$Q$6:$Q$505,"Materials inventory"))</x:f>
      </x:c>
      <x:c r="J17" s="37" t="str">
        <x:f>IF(A17="","",SUMIFS('Entries'!$S$6:$S$505,'Entries'!$I$6:$I$505,A17,'Entries'!$C$6:$C$505,"Production cost"))</x:f>
      </x:c>
      <x:c r="K17" s="37" t="str">
        <x:f>IF(A17="","",SUM(I17:J17))</x:f>
      </x:c>
      <x:c r="L17" s="37" t="str">
        <x:f>IF(A17="","",IF(G17&gt;0,K17/G17,"No good units"))</x:f>
      </x:c>
      <x:c r="M17" s="36"/>
      <x:c r="N17" s="40"/>
      <x:c r="O17" s="36"/>
      <x:c r="P17" s="36"/>
    </x:row>
    <x:row r="18" ht="23" customHeight="1">
      <x:c r="A18" s="36"/>
      <x:c r="B18" s="36"/>
      <x:c r="C18" s="40"/>
      <x:c r="D18" s="40"/>
      <x:c r="E18" s="36"/>
      <x:c r="F18" s="41"/>
      <x:c r="G18" s="41"/>
      <x:c r="H18" s="41"/>
      <x:c r="I18" s="37" t="str">
        <x:f>IF(A18="","",SUMIFS('Entries'!$S$6:$S$505,'Entries'!$I$6:$I$505,A18,'Entries'!$Q$6:$Q$505,"Work in progress",'Entries'!$R$6:$R$505,"Materials inventory")-SUMIFS('Entries'!$S$6:$S$505,'Entries'!$I$6:$I$505,A18,'Entries'!$R$6:$R$505,"Work in progress",'Entries'!$Q$6:$Q$505,"Materials inventory"))</x:f>
      </x:c>
      <x:c r="J18" s="37" t="str">
        <x:f>IF(A18="","",SUMIFS('Entries'!$S$6:$S$505,'Entries'!$I$6:$I$505,A18,'Entries'!$C$6:$C$505,"Production cost"))</x:f>
      </x:c>
      <x:c r="K18" s="37" t="str">
        <x:f>IF(A18="","",SUM(I18:J18))</x:f>
      </x:c>
      <x:c r="L18" s="37" t="str">
        <x:f>IF(A18="","",IF(G18&gt;0,K18/G18,"No good units"))</x:f>
      </x:c>
      <x:c r="M18" s="36"/>
      <x:c r="N18" s="40"/>
      <x:c r="O18" s="36"/>
      <x:c r="P18" s="36"/>
    </x:row>
    <x:row r="19" ht="23" customHeight="1">
      <x:c r="A19" s="36"/>
      <x:c r="B19" s="36"/>
      <x:c r="C19" s="40"/>
      <x:c r="D19" s="40"/>
      <x:c r="E19" s="36"/>
      <x:c r="F19" s="41"/>
      <x:c r="G19" s="41"/>
      <x:c r="H19" s="41"/>
      <x:c r="I19" s="37" t="str">
        <x:f>IF(A19="","",SUMIFS('Entries'!$S$6:$S$505,'Entries'!$I$6:$I$505,A19,'Entries'!$Q$6:$Q$505,"Work in progress",'Entries'!$R$6:$R$505,"Materials inventory")-SUMIFS('Entries'!$S$6:$S$505,'Entries'!$I$6:$I$505,A19,'Entries'!$R$6:$R$505,"Work in progress",'Entries'!$Q$6:$Q$505,"Materials inventory"))</x:f>
      </x:c>
      <x:c r="J19" s="37" t="str">
        <x:f>IF(A19="","",SUMIFS('Entries'!$S$6:$S$505,'Entries'!$I$6:$I$505,A19,'Entries'!$C$6:$C$505,"Production cost"))</x:f>
      </x:c>
      <x:c r="K19" s="37" t="str">
        <x:f>IF(A19="","",SUM(I19:J19))</x:f>
      </x:c>
      <x:c r="L19" s="37" t="str">
        <x:f>IF(A19="","",IF(G19&gt;0,K19/G19,"No good units"))</x:f>
      </x:c>
      <x:c r="M19" s="36"/>
      <x:c r="N19" s="40"/>
      <x:c r="O19" s="36"/>
      <x:c r="P19" s="36"/>
    </x:row>
    <x:row r="20" ht="23" customHeight="1">
      <x:c r="A20" s="36"/>
      <x:c r="B20" s="36"/>
      <x:c r="C20" s="40"/>
      <x:c r="D20" s="40"/>
      <x:c r="E20" s="36"/>
      <x:c r="F20" s="41"/>
      <x:c r="G20" s="41"/>
      <x:c r="H20" s="41"/>
      <x:c r="I20" s="37" t="str">
        <x:f>IF(A20="","",SUMIFS('Entries'!$S$6:$S$505,'Entries'!$I$6:$I$505,A20,'Entries'!$Q$6:$Q$505,"Work in progress",'Entries'!$R$6:$R$505,"Materials inventory")-SUMIFS('Entries'!$S$6:$S$505,'Entries'!$I$6:$I$505,A20,'Entries'!$R$6:$R$505,"Work in progress",'Entries'!$Q$6:$Q$505,"Materials inventory"))</x:f>
      </x:c>
      <x:c r="J20" s="37" t="str">
        <x:f>IF(A20="","",SUMIFS('Entries'!$S$6:$S$505,'Entries'!$I$6:$I$505,A20,'Entries'!$C$6:$C$505,"Production cost"))</x:f>
      </x:c>
      <x:c r="K20" s="37" t="str">
        <x:f>IF(A20="","",SUM(I20:J20))</x:f>
      </x:c>
      <x:c r="L20" s="37" t="str">
        <x:f>IF(A20="","",IF(G20&gt;0,K20/G20,"No good units"))</x:f>
      </x:c>
      <x:c r="M20" s="36"/>
      <x:c r="N20" s="40"/>
      <x:c r="O20" s="36"/>
      <x:c r="P20" s="36"/>
    </x:row>
    <x:row r="21" ht="23" customHeight="1">
      <x:c r="A21" s="36"/>
      <x:c r="B21" s="36"/>
      <x:c r="C21" s="40"/>
      <x:c r="D21" s="40"/>
      <x:c r="E21" s="36"/>
      <x:c r="F21" s="41"/>
      <x:c r="G21" s="41"/>
      <x:c r="H21" s="41"/>
      <x:c r="I21" s="37" t="str">
        <x:f>IF(A21="","",SUMIFS('Entries'!$S$6:$S$505,'Entries'!$I$6:$I$505,A21,'Entries'!$Q$6:$Q$505,"Work in progress",'Entries'!$R$6:$R$505,"Materials inventory")-SUMIFS('Entries'!$S$6:$S$505,'Entries'!$I$6:$I$505,A21,'Entries'!$R$6:$R$505,"Work in progress",'Entries'!$Q$6:$Q$505,"Materials inventory"))</x:f>
      </x:c>
      <x:c r="J21" s="37" t="str">
        <x:f>IF(A21="","",SUMIFS('Entries'!$S$6:$S$505,'Entries'!$I$6:$I$505,A21,'Entries'!$C$6:$C$505,"Production cost"))</x:f>
      </x:c>
      <x:c r="K21" s="37" t="str">
        <x:f>IF(A21="","",SUM(I21:J21))</x:f>
      </x:c>
      <x:c r="L21" s="37" t="str">
        <x:f>IF(A21="","",IF(G21&gt;0,K21/G21,"No good units"))</x:f>
      </x:c>
      <x:c r="M21" s="36"/>
      <x:c r="N21" s="40"/>
      <x:c r="O21" s="36"/>
      <x:c r="P21" s="36"/>
    </x:row>
    <x:row r="22" ht="23" customHeight="1">
      <x:c r="A22" s="36"/>
      <x:c r="B22" s="36"/>
      <x:c r="C22" s="40"/>
      <x:c r="D22" s="40"/>
      <x:c r="E22" s="36"/>
      <x:c r="F22" s="41"/>
      <x:c r="G22" s="41"/>
      <x:c r="H22" s="41"/>
      <x:c r="I22" s="37" t="str">
        <x:f>IF(A22="","",SUMIFS('Entries'!$S$6:$S$505,'Entries'!$I$6:$I$505,A22,'Entries'!$Q$6:$Q$505,"Work in progress",'Entries'!$R$6:$R$505,"Materials inventory")-SUMIFS('Entries'!$S$6:$S$505,'Entries'!$I$6:$I$505,A22,'Entries'!$R$6:$R$505,"Work in progress",'Entries'!$Q$6:$Q$505,"Materials inventory"))</x:f>
      </x:c>
      <x:c r="J22" s="37" t="str">
        <x:f>IF(A22="","",SUMIFS('Entries'!$S$6:$S$505,'Entries'!$I$6:$I$505,A22,'Entries'!$C$6:$C$505,"Production cost"))</x:f>
      </x:c>
      <x:c r="K22" s="37" t="str">
        <x:f>IF(A22="","",SUM(I22:J22))</x:f>
      </x:c>
      <x:c r="L22" s="37" t="str">
        <x:f>IF(A22="","",IF(G22&gt;0,K22/G22,"No good units"))</x:f>
      </x:c>
      <x:c r="M22" s="36"/>
      <x:c r="N22" s="40"/>
      <x:c r="O22" s="36"/>
      <x:c r="P22" s="36"/>
    </x:row>
    <x:row r="23" ht="23" customHeight="1">
      <x:c r="A23" s="36"/>
      <x:c r="B23" s="36"/>
      <x:c r="C23" s="40"/>
      <x:c r="D23" s="40"/>
      <x:c r="E23" s="36"/>
      <x:c r="F23" s="41"/>
      <x:c r="G23" s="41"/>
      <x:c r="H23" s="41"/>
      <x:c r="I23" s="37" t="str">
        <x:f>IF(A23="","",SUMIFS('Entries'!$S$6:$S$505,'Entries'!$I$6:$I$505,A23,'Entries'!$Q$6:$Q$505,"Work in progress",'Entries'!$R$6:$R$505,"Materials inventory")-SUMIFS('Entries'!$S$6:$S$505,'Entries'!$I$6:$I$505,A23,'Entries'!$R$6:$R$505,"Work in progress",'Entries'!$Q$6:$Q$505,"Materials inventory"))</x:f>
      </x:c>
      <x:c r="J23" s="37" t="str">
        <x:f>IF(A23="","",SUMIFS('Entries'!$S$6:$S$505,'Entries'!$I$6:$I$505,A23,'Entries'!$C$6:$C$505,"Production cost"))</x:f>
      </x:c>
      <x:c r="K23" s="37" t="str">
        <x:f>IF(A23="","",SUM(I23:J23))</x:f>
      </x:c>
      <x:c r="L23" s="37" t="str">
        <x:f>IF(A23="","",IF(G23&gt;0,K23/G23,"No good units"))</x:f>
      </x:c>
      <x:c r="M23" s="36"/>
      <x:c r="N23" s="40"/>
      <x:c r="O23" s="36"/>
      <x:c r="P23" s="36"/>
    </x:row>
    <x:row r="24" ht="23" customHeight="1">
      <x:c r="A24" s="36"/>
      <x:c r="B24" s="36"/>
      <x:c r="C24" s="40"/>
      <x:c r="D24" s="40"/>
      <x:c r="E24" s="36"/>
      <x:c r="F24" s="41"/>
      <x:c r="G24" s="41"/>
      <x:c r="H24" s="41"/>
      <x:c r="I24" s="37" t="str">
        <x:f>IF(A24="","",SUMIFS('Entries'!$S$6:$S$505,'Entries'!$I$6:$I$505,A24,'Entries'!$Q$6:$Q$505,"Work in progress",'Entries'!$R$6:$R$505,"Materials inventory")-SUMIFS('Entries'!$S$6:$S$505,'Entries'!$I$6:$I$505,A24,'Entries'!$R$6:$R$505,"Work in progress",'Entries'!$Q$6:$Q$505,"Materials inventory"))</x:f>
      </x:c>
      <x:c r="J24" s="37" t="str">
        <x:f>IF(A24="","",SUMIFS('Entries'!$S$6:$S$505,'Entries'!$I$6:$I$505,A24,'Entries'!$C$6:$C$505,"Production cost"))</x:f>
      </x:c>
      <x:c r="K24" s="37" t="str">
        <x:f>IF(A24="","",SUM(I24:J24))</x:f>
      </x:c>
      <x:c r="L24" s="37" t="str">
        <x:f>IF(A24="","",IF(G24&gt;0,K24/G24,"No good units"))</x:f>
      </x:c>
      <x:c r="M24" s="36"/>
      <x:c r="N24" s="40"/>
      <x:c r="O24" s="36"/>
      <x:c r="P24" s="36"/>
    </x:row>
    <x:row r="25" ht="23" customHeight="1">
      <x:c r="A25" s="36"/>
      <x:c r="B25" s="36"/>
      <x:c r="C25" s="40"/>
      <x:c r="D25" s="40"/>
      <x:c r="E25" s="36"/>
      <x:c r="F25" s="41"/>
      <x:c r="G25" s="41"/>
      <x:c r="H25" s="41"/>
      <x:c r="I25" s="37" t="str">
        <x:f>IF(A25="","",SUMIFS('Entries'!$S$6:$S$505,'Entries'!$I$6:$I$505,A25,'Entries'!$Q$6:$Q$505,"Work in progress",'Entries'!$R$6:$R$505,"Materials inventory")-SUMIFS('Entries'!$S$6:$S$505,'Entries'!$I$6:$I$505,A25,'Entries'!$R$6:$R$505,"Work in progress",'Entries'!$Q$6:$Q$505,"Materials inventory"))</x:f>
      </x:c>
      <x:c r="J25" s="37" t="str">
        <x:f>IF(A25="","",SUMIFS('Entries'!$S$6:$S$505,'Entries'!$I$6:$I$505,A25,'Entries'!$C$6:$C$505,"Production cost"))</x:f>
      </x:c>
      <x:c r="K25" s="37" t="str">
        <x:f>IF(A25="","",SUM(I25:J25))</x:f>
      </x:c>
      <x:c r="L25" s="37" t="str">
        <x:f>IF(A25="","",IF(G25&gt;0,K25/G25,"No good units"))</x:f>
      </x:c>
      <x:c r="M25" s="36"/>
      <x:c r="N25" s="40"/>
      <x:c r="O25" s="36"/>
      <x:c r="P25" s="36"/>
    </x:row>
    <x:row r="26" ht="23" customHeight="1">
      <x:c r="A26" s="36"/>
      <x:c r="B26" s="36"/>
      <x:c r="C26" s="40"/>
      <x:c r="D26" s="40"/>
      <x:c r="E26" s="36"/>
      <x:c r="F26" s="41"/>
      <x:c r="G26" s="41"/>
      <x:c r="H26" s="41"/>
      <x:c r="I26" s="37" t="str">
        <x:f>IF(A26="","",SUMIFS('Entries'!$S$6:$S$505,'Entries'!$I$6:$I$505,A26,'Entries'!$Q$6:$Q$505,"Work in progress",'Entries'!$R$6:$R$505,"Materials inventory")-SUMIFS('Entries'!$S$6:$S$505,'Entries'!$I$6:$I$505,A26,'Entries'!$R$6:$R$505,"Work in progress",'Entries'!$Q$6:$Q$505,"Materials inventory"))</x:f>
      </x:c>
      <x:c r="J26" s="37" t="str">
        <x:f>IF(A26="","",SUMIFS('Entries'!$S$6:$S$505,'Entries'!$I$6:$I$505,A26,'Entries'!$C$6:$C$505,"Production cost"))</x:f>
      </x:c>
      <x:c r="K26" s="37" t="str">
        <x:f>IF(A26="","",SUM(I26:J26))</x:f>
      </x:c>
      <x:c r="L26" s="37" t="str">
        <x:f>IF(A26="","",IF(G26&gt;0,K26/G26,"No good units"))</x:f>
      </x:c>
      <x:c r="M26" s="36"/>
      <x:c r="N26" s="40"/>
      <x:c r="O26" s="36"/>
      <x:c r="P26" s="36"/>
    </x:row>
    <x:row r="27" ht="23" customHeight="1">
      <x:c r="A27" s="36"/>
      <x:c r="B27" s="36"/>
      <x:c r="C27" s="40"/>
      <x:c r="D27" s="40"/>
      <x:c r="E27" s="36"/>
      <x:c r="F27" s="41"/>
      <x:c r="G27" s="41"/>
      <x:c r="H27" s="41"/>
      <x:c r="I27" s="37" t="str">
        <x:f>IF(A27="","",SUMIFS('Entries'!$S$6:$S$505,'Entries'!$I$6:$I$505,A27,'Entries'!$Q$6:$Q$505,"Work in progress",'Entries'!$R$6:$R$505,"Materials inventory")-SUMIFS('Entries'!$S$6:$S$505,'Entries'!$I$6:$I$505,A27,'Entries'!$R$6:$R$505,"Work in progress",'Entries'!$Q$6:$Q$505,"Materials inventory"))</x:f>
      </x:c>
      <x:c r="J27" s="37" t="str">
        <x:f>IF(A27="","",SUMIFS('Entries'!$S$6:$S$505,'Entries'!$I$6:$I$505,A27,'Entries'!$C$6:$C$505,"Production cost"))</x:f>
      </x:c>
      <x:c r="K27" s="37" t="str">
        <x:f>IF(A27="","",SUM(I27:J27))</x:f>
      </x:c>
      <x:c r="L27" s="37" t="str">
        <x:f>IF(A27="","",IF(G27&gt;0,K27/G27,"No good units"))</x:f>
      </x:c>
      <x:c r="M27" s="36"/>
      <x:c r="N27" s="40"/>
      <x:c r="O27" s="36"/>
      <x:c r="P27" s="36"/>
    </x:row>
    <x:row r="28" ht="23" customHeight="1">
      <x:c r="A28" s="36"/>
      <x:c r="B28" s="36"/>
      <x:c r="C28" s="40"/>
      <x:c r="D28" s="40"/>
      <x:c r="E28" s="36"/>
      <x:c r="F28" s="41"/>
      <x:c r="G28" s="41"/>
      <x:c r="H28" s="41"/>
      <x:c r="I28" s="37" t="str">
        <x:f>IF(A28="","",SUMIFS('Entries'!$S$6:$S$505,'Entries'!$I$6:$I$505,A28,'Entries'!$Q$6:$Q$505,"Work in progress",'Entries'!$R$6:$R$505,"Materials inventory")-SUMIFS('Entries'!$S$6:$S$505,'Entries'!$I$6:$I$505,A28,'Entries'!$R$6:$R$505,"Work in progress",'Entries'!$Q$6:$Q$505,"Materials inventory"))</x:f>
      </x:c>
      <x:c r="J28" s="37" t="str">
        <x:f>IF(A28="","",SUMIFS('Entries'!$S$6:$S$505,'Entries'!$I$6:$I$505,A28,'Entries'!$C$6:$C$505,"Production cost"))</x:f>
      </x:c>
      <x:c r="K28" s="37" t="str">
        <x:f>IF(A28="","",SUM(I28:J28))</x:f>
      </x:c>
      <x:c r="L28" s="37" t="str">
        <x:f>IF(A28="","",IF(G28&gt;0,K28/G28,"No good units"))</x:f>
      </x:c>
      <x:c r="M28" s="36"/>
      <x:c r="N28" s="40"/>
      <x:c r="O28" s="36"/>
      <x:c r="P28" s="36"/>
    </x:row>
    <x:row r="29" ht="23" customHeight="1">
      <x:c r="A29" s="36"/>
      <x:c r="B29" s="36"/>
      <x:c r="C29" s="40"/>
      <x:c r="D29" s="40"/>
      <x:c r="E29" s="36"/>
      <x:c r="F29" s="41"/>
      <x:c r="G29" s="41"/>
      <x:c r="H29" s="41"/>
      <x:c r="I29" s="37" t="str">
        <x:f>IF(A29="","",SUMIFS('Entries'!$S$6:$S$505,'Entries'!$I$6:$I$505,A29,'Entries'!$Q$6:$Q$505,"Work in progress",'Entries'!$R$6:$R$505,"Materials inventory")-SUMIFS('Entries'!$S$6:$S$505,'Entries'!$I$6:$I$505,A29,'Entries'!$R$6:$R$505,"Work in progress",'Entries'!$Q$6:$Q$505,"Materials inventory"))</x:f>
      </x:c>
      <x:c r="J29" s="37" t="str">
        <x:f>IF(A29="","",SUMIFS('Entries'!$S$6:$S$505,'Entries'!$I$6:$I$505,A29,'Entries'!$C$6:$C$505,"Production cost"))</x:f>
      </x:c>
      <x:c r="K29" s="37" t="str">
        <x:f>IF(A29="","",SUM(I29:J29))</x:f>
      </x:c>
      <x:c r="L29" s="37" t="str">
        <x:f>IF(A29="","",IF(G29&gt;0,K29/G29,"No good units"))</x:f>
      </x:c>
      <x:c r="M29" s="36"/>
      <x:c r="N29" s="40"/>
      <x:c r="O29" s="36"/>
      <x:c r="P29" s="36"/>
    </x:row>
    <x:row r="30" ht="23" customHeight="1">
      <x:c r="A30" s="36"/>
      <x:c r="B30" s="36"/>
      <x:c r="C30" s="40"/>
      <x:c r="D30" s="40"/>
      <x:c r="E30" s="36"/>
      <x:c r="F30" s="41"/>
      <x:c r="G30" s="41"/>
      <x:c r="H30" s="41"/>
      <x:c r="I30" s="37" t="str">
        <x:f>IF(A30="","",SUMIFS('Entries'!$S$6:$S$505,'Entries'!$I$6:$I$505,A30,'Entries'!$Q$6:$Q$505,"Work in progress",'Entries'!$R$6:$R$505,"Materials inventory")-SUMIFS('Entries'!$S$6:$S$505,'Entries'!$I$6:$I$505,A30,'Entries'!$R$6:$R$505,"Work in progress",'Entries'!$Q$6:$Q$505,"Materials inventory"))</x:f>
      </x:c>
      <x:c r="J30" s="37" t="str">
        <x:f>IF(A30="","",SUMIFS('Entries'!$S$6:$S$505,'Entries'!$I$6:$I$505,A30,'Entries'!$C$6:$C$505,"Production cost"))</x:f>
      </x:c>
      <x:c r="K30" s="37" t="str">
        <x:f>IF(A30="","",SUM(I30:J30))</x:f>
      </x:c>
      <x:c r="L30" s="37" t="str">
        <x:f>IF(A30="","",IF(G30&gt;0,K30/G30,"No good units"))</x:f>
      </x:c>
      <x:c r="M30" s="36"/>
      <x:c r="N30" s="40"/>
      <x:c r="O30" s="36"/>
      <x:c r="P30" s="36"/>
    </x:row>
    <x:row r="31" ht="23" customHeight="1">
      <x:c r="A31" s="36"/>
      <x:c r="B31" s="36"/>
      <x:c r="C31" s="40"/>
      <x:c r="D31" s="40"/>
      <x:c r="E31" s="36"/>
      <x:c r="F31" s="41"/>
      <x:c r="G31" s="41"/>
      <x:c r="H31" s="41"/>
      <x:c r="I31" s="37" t="str">
        <x:f>IF(A31="","",SUMIFS('Entries'!$S$6:$S$505,'Entries'!$I$6:$I$505,A31,'Entries'!$Q$6:$Q$505,"Work in progress",'Entries'!$R$6:$R$505,"Materials inventory")-SUMIFS('Entries'!$S$6:$S$505,'Entries'!$I$6:$I$505,A31,'Entries'!$R$6:$R$505,"Work in progress",'Entries'!$Q$6:$Q$505,"Materials inventory"))</x:f>
      </x:c>
      <x:c r="J31" s="37" t="str">
        <x:f>IF(A31="","",SUMIFS('Entries'!$S$6:$S$505,'Entries'!$I$6:$I$505,A31,'Entries'!$C$6:$C$505,"Production cost"))</x:f>
      </x:c>
      <x:c r="K31" s="37" t="str">
        <x:f>IF(A31="","",SUM(I31:J31))</x:f>
      </x:c>
      <x:c r="L31" s="37" t="str">
        <x:f>IF(A31="","",IF(G31&gt;0,K31/G31,"No good units"))</x:f>
      </x:c>
      <x:c r="M31" s="36"/>
      <x:c r="N31" s="40"/>
      <x:c r="O31" s="36"/>
      <x:c r="P31" s="36"/>
    </x:row>
    <x:row r="32" ht="23" customHeight="1">
      <x:c r="A32" s="36"/>
      <x:c r="B32" s="36"/>
      <x:c r="C32" s="40"/>
      <x:c r="D32" s="40"/>
      <x:c r="E32" s="36"/>
      <x:c r="F32" s="41"/>
      <x:c r="G32" s="41"/>
      <x:c r="H32" s="41"/>
      <x:c r="I32" s="37" t="str">
        <x:f>IF(A32="","",SUMIFS('Entries'!$S$6:$S$505,'Entries'!$I$6:$I$505,A32,'Entries'!$Q$6:$Q$505,"Work in progress",'Entries'!$R$6:$R$505,"Materials inventory")-SUMIFS('Entries'!$S$6:$S$505,'Entries'!$I$6:$I$505,A32,'Entries'!$R$6:$R$505,"Work in progress",'Entries'!$Q$6:$Q$505,"Materials inventory"))</x:f>
      </x:c>
      <x:c r="J32" s="37" t="str">
        <x:f>IF(A32="","",SUMIFS('Entries'!$S$6:$S$505,'Entries'!$I$6:$I$505,A32,'Entries'!$C$6:$C$505,"Production cost"))</x:f>
      </x:c>
      <x:c r="K32" s="37" t="str">
        <x:f>IF(A32="","",SUM(I32:J32))</x:f>
      </x:c>
      <x:c r="L32" s="37" t="str">
        <x:f>IF(A32="","",IF(G32&gt;0,K32/G32,"No good units"))</x:f>
      </x:c>
      <x:c r="M32" s="36"/>
      <x:c r="N32" s="40"/>
      <x:c r="O32" s="36"/>
      <x:c r="P32" s="36"/>
    </x:row>
    <x:row r="33" ht="23" customHeight="1">
      <x:c r="A33" s="36"/>
      <x:c r="B33" s="36"/>
      <x:c r="C33" s="40"/>
      <x:c r="D33" s="40"/>
      <x:c r="E33" s="36"/>
      <x:c r="F33" s="41"/>
      <x:c r="G33" s="41"/>
      <x:c r="H33" s="41"/>
      <x:c r="I33" s="37" t="str">
        <x:f>IF(A33="","",SUMIFS('Entries'!$S$6:$S$505,'Entries'!$I$6:$I$505,A33,'Entries'!$Q$6:$Q$505,"Work in progress",'Entries'!$R$6:$R$505,"Materials inventory")-SUMIFS('Entries'!$S$6:$S$505,'Entries'!$I$6:$I$505,A33,'Entries'!$R$6:$R$505,"Work in progress",'Entries'!$Q$6:$Q$505,"Materials inventory"))</x:f>
      </x:c>
      <x:c r="J33" s="37" t="str">
        <x:f>IF(A33="","",SUMIFS('Entries'!$S$6:$S$505,'Entries'!$I$6:$I$505,A33,'Entries'!$C$6:$C$505,"Production cost"))</x:f>
      </x:c>
      <x:c r="K33" s="37" t="str">
        <x:f>IF(A33="","",SUM(I33:J33))</x:f>
      </x:c>
      <x:c r="L33" s="37" t="str">
        <x:f>IF(A33="","",IF(G33&gt;0,K33/G33,"No good units"))</x:f>
      </x:c>
      <x:c r="M33" s="36"/>
      <x:c r="N33" s="40"/>
      <x:c r="O33" s="36"/>
      <x:c r="P33" s="36"/>
    </x:row>
    <x:row r="34" ht="23" customHeight="1">
      <x:c r="A34" s="36"/>
      <x:c r="B34" s="36"/>
      <x:c r="C34" s="40"/>
      <x:c r="D34" s="40"/>
      <x:c r="E34" s="36"/>
      <x:c r="F34" s="41"/>
      <x:c r="G34" s="41"/>
      <x:c r="H34" s="41"/>
      <x:c r="I34" s="37" t="str">
        <x:f>IF(A34="","",SUMIFS('Entries'!$S$6:$S$505,'Entries'!$I$6:$I$505,A34,'Entries'!$Q$6:$Q$505,"Work in progress",'Entries'!$R$6:$R$505,"Materials inventory")-SUMIFS('Entries'!$S$6:$S$505,'Entries'!$I$6:$I$505,A34,'Entries'!$R$6:$R$505,"Work in progress",'Entries'!$Q$6:$Q$505,"Materials inventory"))</x:f>
      </x:c>
      <x:c r="J34" s="37" t="str">
        <x:f>IF(A34="","",SUMIFS('Entries'!$S$6:$S$505,'Entries'!$I$6:$I$505,A34,'Entries'!$C$6:$C$505,"Production cost"))</x:f>
      </x:c>
      <x:c r="K34" s="37" t="str">
        <x:f>IF(A34="","",SUM(I34:J34))</x:f>
      </x:c>
      <x:c r="L34" s="37" t="str">
        <x:f>IF(A34="","",IF(G34&gt;0,K34/G34,"No good units"))</x:f>
      </x:c>
      <x:c r="M34" s="36"/>
      <x:c r="N34" s="40"/>
      <x:c r="O34" s="36"/>
      <x:c r="P34" s="36"/>
    </x:row>
    <x:row r="35" ht="23" customHeight="1">
      <x:c r="A35" s="36"/>
      <x:c r="B35" s="36"/>
      <x:c r="C35" s="40"/>
      <x:c r="D35" s="40"/>
      <x:c r="E35" s="36"/>
      <x:c r="F35" s="41"/>
      <x:c r="G35" s="41"/>
      <x:c r="H35" s="41"/>
      <x:c r="I35" s="37" t="str">
        <x:f>IF(A35="","",SUMIFS('Entries'!$S$6:$S$505,'Entries'!$I$6:$I$505,A35,'Entries'!$Q$6:$Q$505,"Work in progress",'Entries'!$R$6:$R$505,"Materials inventory")-SUMIFS('Entries'!$S$6:$S$505,'Entries'!$I$6:$I$505,A35,'Entries'!$R$6:$R$505,"Work in progress",'Entries'!$Q$6:$Q$505,"Materials inventory"))</x:f>
      </x:c>
      <x:c r="J35" s="37" t="str">
        <x:f>IF(A35="","",SUMIFS('Entries'!$S$6:$S$505,'Entries'!$I$6:$I$505,A35,'Entries'!$C$6:$C$505,"Production cost"))</x:f>
      </x:c>
      <x:c r="K35" s="37" t="str">
        <x:f>IF(A35="","",SUM(I35:J35))</x:f>
      </x:c>
      <x:c r="L35" s="37" t="str">
        <x:f>IF(A35="","",IF(G35&gt;0,K35/G35,"No good units"))</x:f>
      </x:c>
      <x:c r="M35" s="36"/>
      <x:c r="N35" s="40"/>
      <x:c r="O35" s="36"/>
      <x:c r="P35" s="36"/>
    </x:row>
    <x:row r="36" ht="23" customHeight="1">
      <x:c r="A36" s="36"/>
      <x:c r="B36" s="36"/>
      <x:c r="C36" s="40"/>
      <x:c r="D36" s="40"/>
      <x:c r="E36" s="36"/>
      <x:c r="F36" s="41"/>
      <x:c r="G36" s="41"/>
      <x:c r="H36" s="41"/>
      <x:c r="I36" s="37" t="str">
        <x:f>IF(A36="","",SUMIFS('Entries'!$S$6:$S$505,'Entries'!$I$6:$I$505,A36,'Entries'!$Q$6:$Q$505,"Work in progress",'Entries'!$R$6:$R$505,"Materials inventory")-SUMIFS('Entries'!$S$6:$S$505,'Entries'!$I$6:$I$505,A36,'Entries'!$R$6:$R$505,"Work in progress",'Entries'!$Q$6:$Q$505,"Materials inventory"))</x:f>
      </x:c>
      <x:c r="J36" s="37" t="str">
        <x:f>IF(A36="","",SUMIFS('Entries'!$S$6:$S$505,'Entries'!$I$6:$I$505,A36,'Entries'!$C$6:$C$505,"Production cost"))</x:f>
      </x:c>
      <x:c r="K36" s="37" t="str">
        <x:f>IF(A36="","",SUM(I36:J36))</x:f>
      </x:c>
      <x:c r="L36" s="37" t="str">
        <x:f>IF(A36="","",IF(G36&gt;0,K36/G36,"No good units"))</x:f>
      </x:c>
      <x:c r="M36" s="36"/>
      <x:c r="N36" s="40"/>
      <x:c r="O36" s="36"/>
      <x:c r="P36" s="36"/>
    </x:row>
    <x:row r="37" ht="23" customHeight="1">
      <x:c r="A37" s="36"/>
      <x:c r="B37" s="36"/>
      <x:c r="C37" s="40"/>
      <x:c r="D37" s="40"/>
      <x:c r="E37" s="36"/>
      <x:c r="F37" s="41"/>
      <x:c r="G37" s="41"/>
      <x:c r="H37" s="41"/>
      <x:c r="I37" s="37" t="str">
        <x:f>IF(A37="","",SUMIFS('Entries'!$S$6:$S$505,'Entries'!$I$6:$I$505,A37,'Entries'!$Q$6:$Q$505,"Work in progress",'Entries'!$R$6:$R$505,"Materials inventory")-SUMIFS('Entries'!$S$6:$S$505,'Entries'!$I$6:$I$505,A37,'Entries'!$R$6:$R$505,"Work in progress",'Entries'!$Q$6:$Q$505,"Materials inventory"))</x:f>
      </x:c>
      <x:c r="J37" s="37" t="str">
        <x:f>IF(A37="","",SUMIFS('Entries'!$S$6:$S$505,'Entries'!$I$6:$I$505,A37,'Entries'!$C$6:$C$505,"Production cost"))</x:f>
      </x:c>
      <x:c r="K37" s="37" t="str">
        <x:f>IF(A37="","",SUM(I37:J37))</x:f>
      </x:c>
      <x:c r="L37" s="37" t="str">
        <x:f>IF(A37="","",IF(G37&gt;0,K37/G37,"No good units"))</x:f>
      </x:c>
      <x:c r="M37" s="36"/>
      <x:c r="N37" s="40"/>
      <x:c r="O37" s="36"/>
      <x:c r="P37" s="36"/>
    </x:row>
    <x:row r="38" ht="23" customHeight="1">
      <x:c r="A38" s="36"/>
      <x:c r="B38" s="36"/>
      <x:c r="C38" s="40"/>
      <x:c r="D38" s="40"/>
      <x:c r="E38" s="36"/>
      <x:c r="F38" s="41"/>
      <x:c r="G38" s="41"/>
      <x:c r="H38" s="41"/>
      <x:c r="I38" s="37" t="str">
        <x:f>IF(A38="","",SUMIFS('Entries'!$S$6:$S$505,'Entries'!$I$6:$I$505,A38,'Entries'!$Q$6:$Q$505,"Work in progress",'Entries'!$R$6:$R$505,"Materials inventory")-SUMIFS('Entries'!$S$6:$S$505,'Entries'!$I$6:$I$505,A38,'Entries'!$R$6:$R$505,"Work in progress",'Entries'!$Q$6:$Q$505,"Materials inventory"))</x:f>
      </x:c>
      <x:c r="J38" s="37" t="str">
        <x:f>IF(A38="","",SUMIFS('Entries'!$S$6:$S$505,'Entries'!$I$6:$I$505,A38,'Entries'!$C$6:$C$505,"Production cost"))</x:f>
      </x:c>
      <x:c r="K38" s="37" t="str">
        <x:f>IF(A38="","",SUM(I38:J38))</x:f>
      </x:c>
      <x:c r="L38" s="37" t="str">
        <x:f>IF(A38="","",IF(G38&gt;0,K38/G38,"No good units"))</x:f>
      </x:c>
      <x:c r="M38" s="36"/>
      <x:c r="N38" s="40"/>
      <x:c r="O38" s="36"/>
      <x:c r="P38" s="36"/>
    </x:row>
    <x:row r="39" ht="23" customHeight="1">
      <x:c r="A39" s="36"/>
      <x:c r="B39" s="36"/>
      <x:c r="C39" s="40"/>
      <x:c r="D39" s="40"/>
      <x:c r="E39" s="36"/>
      <x:c r="F39" s="41"/>
      <x:c r="G39" s="41"/>
      <x:c r="H39" s="41"/>
      <x:c r="I39" s="37" t="str">
        <x:f>IF(A39="","",SUMIFS('Entries'!$S$6:$S$505,'Entries'!$I$6:$I$505,A39,'Entries'!$Q$6:$Q$505,"Work in progress",'Entries'!$R$6:$R$505,"Materials inventory")-SUMIFS('Entries'!$S$6:$S$505,'Entries'!$I$6:$I$505,A39,'Entries'!$R$6:$R$505,"Work in progress",'Entries'!$Q$6:$Q$505,"Materials inventory"))</x:f>
      </x:c>
      <x:c r="J39" s="37" t="str">
        <x:f>IF(A39="","",SUMIFS('Entries'!$S$6:$S$505,'Entries'!$I$6:$I$505,A39,'Entries'!$C$6:$C$505,"Production cost"))</x:f>
      </x:c>
      <x:c r="K39" s="37" t="str">
        <x:f>IF(A39="","",SUM(I39:J39))</x:f>
      </x:c>
      <x:c r="L39" s="37" t="str">
        <x:f>IF(A39="","",IF(G39&gt;0,K39/G39,"No good units"))</x:f>
      </x:c>
      <x:c r="M39" s="36"/>
      <x:c r="N39" s="40"/>
      <x:c r="O39" s="36"/>
      <x:c r="P39" s="36"/>
    </x:row>
    <x:row r="40" ht="23" customHeight="1">
      <x:c r="A40" s="36"/>
      <x:c r="B40" s="36"/>
      <x:c r="C40" s="40"/>
      <x:c r="D40" s="40"/>
      <x:c r="E40" s="36"/>
      <x:c r="F40" s="41"/>
      <x:c r="G40" s="41"/>
      <x:c r="H40" s="41"/>
      <x:c r="I40" s="37" t="str">
        <x:f>IF(A40="","",SUMIFS('Entries'!$S$6:$S$505,'Entries'!$I$6:$I$505,A40,'Entries'!$Q$6:$Q$505,"Work in progress",'Entries'!$R$6:$R$505,"Materials inventory")-SUMIFS('Entries'!$S$6:$S$505,'Entries'!$I$6:$I$505,A40,'Entries'!$R$6:$R$505,"Work in progress",'Entries'!$Q$6:$Q$505,"Materials inventory"))</x:f>
      </x:c>
      <x:c r="J40" s="37" t="str">
        <x:f>IF(A40="","",SUMIFS('Entries'!$S$6:$S$505,'Entries'!$I$6:$I$505,A40,'Entries'!$C$6:$C$505,"Production cost"))</x:f>
      </x:c>
      <x:c r="K40" s="37" t="str">
        <x:f>IF(A40="","",SUM(I40:J40))</x:f>
      </x:c>
      <x:c r="L40" s="37" t="str">
        <x:f>IF(A40="","",IF(G40&gt;0,K40/G40,"No good units"))</x:f>
      </x:c>
      <x:c r="M40" s="36"/>
      <x:c r="N40" s="40"/>
      <x:c r="O40" s="36"/>
      <x:c r="P40" s="36"/>
    </x:row>
    <x:row r="41" ht="23" customHeight="1">
      <x:c r="A41" s="36"/>
      <x:c r="B41" s="36"/>
      <x:c r="C41" s="40"/>
      <x:c r="D41" s="40"/>
      <x:c r="E41" s="36"/>
      <x:c r="F41" s="41"/>
      <x:c r="G41" s="41"/>
      <x:c r="H41" s="41"/>
      <x:c r="I41" s="37" t="str">
        <x:f>IF(A41="","",SUMIFS('Entries'!$S$6:$S$505,'Entries'!$I$6:$I$505,A41,'Entries'!$Q$6:$Q$505,"Work in progress",'Entries'!$R$6:$R$505,"Materials inventory")-SUMIFS('Entries'!$S$6:$S$505,'Entries'!$I$6:$I$505,A41,'Entries'!$R$6:$R$505,"Work in progress",'Entries'!$Q$6:$Q$505,"Materials inventory"))</x:f>
      </x:c>
      <x:c r="J41" s="37" t="str">
        <x:f>IF(A41="","",SUMIFS('Entries'!$S$6:$S$505,'Entries'!$I$6:$I$505,A41,'Entries'!$C$6:$C$505,"Production cost"))</x:f>
      </x:c>
      <x:c r="K41" s="37" t="str">
        <x:f>IF(A41="","",SUM(I41:J41))</x:f>
      </x:c>
      <x:c r="L41" s="37" t="str">
        <x:f>IF(A41="","",IF(G41&gt;0,K41/G41,"No good units"))</x:f>
      </x:c>
      <x:c r="M41" s="36"/>
      <x:c r="N41" s="40"/>
      <x:c r="O41" s="36"/>
      <x:c r="P41" s="36"/>
    </x:row>
    <x:row r="42" ht="23" customHeight="1">
      <x:c r="A42" s="36"/>
      <x:c r="B42" s="36"/>
      <x:c r="C42" s="40"/>
      <x:c r="D42" s="40"/>
      <x:c r="E42" s="36"/>
      <x:c r="F42" s="41"/>
      <x:c r="G42" s="41"/>
      <x:c r="H42" s="41"/>
      <x:c r="I42" s="37" t="str">
        <x:f>IF(A42="","",SUMIFS('Entries'!$S$6:$S$505,'Entries'!$I$6:$I$505,A42,'Entries'!$Q$6:$Q$505,"Work in progress",'Entries'!$R$6:$R$505,"Materials inventory")-SUMIFS('Entries'!$S$6:$S$505,'Entries'!$I$6:$I$505,A42,'Entries'!$R$6:$R$505,"Work in progress",'Entries'!$Q$6:$Q$505,"Materials inventory"))</x:f>
      </x:c>
      <x:c r="J42" s="37" t="str">
        <x:f>IF(A42="","",SUMIFS('Entries'!$S$6:$S$505,'Entries'!$I$6:$I$505,A42,'Entries'!$C$6:$C$505,"Production cost"))</x:f>
      </x:c>
      <x:c r="K42" s="37" t="str">
        <x:f>IF(A42="","",SUM(I42:J42))</x:f>
      </x:c>
      <x:c r="L42" s="37" t="str">
        <x:f>IF(A42="","",IF(G42&gt;0,K42/G42,"No good units"))</x:f>
      </x:c>
      <x:c r="M42" s="36"/>
      <x:c r="N42" s="40"/>
      <x:c r="O42" s="36"/>
      <x:c r="P42" s="36"/>
    </x:row>
    <x:row r="43" ht="23" customHeight="1">
      <x:c r="A43" s="36"/>
      <x:c r="B43" s="36"/>
      <x:c r="C43" s="40"/>
      <x:c r="D43" s="40"/>
      <x:c r="E43" s="36"/>
      <x:c r="F43" s="41"/>
      <x:c r="G43" s="41"/>
      <x:c r="H43" s="41"/>
      <x:c r="I43" s="37" t="str">
        <x:f>IF(A43="","",SUMIFS('Entries'!$S$6:$S$505,'Entries'!$I$6:$I$505,A43,'Entries'!$Q$6:$Q$505,"Work in progress",'Entries'!$R$6:$R$505,"Materials inventory")-SUMIFS('Entries'!$S$6:$S$505,'Entries'!$I$6:$I$505,A43,'Entries'!$R$6:$R$505,"Work in progress",'Entries'!$Q$6:$Q$505,"Materials inventory"))</x:f>
      </x:c>
      <x:c r="J43" s="37" t="str">
        <x:f>IF(A43="","",SUMIFS('Entries'!$S$6:$S$505,'Entries'!$I$6:$I$505,A43,'Entries'!$C$6:$C$505,"Production cost"))</x:f>
      </x:c>
      <x:c r="K43" s="37" t="str">
        <x:f>IF(A43="","",SUM(I43:J43))</x:f>
      </x:c>
      <x:c r="L43" s="37" t="str">
        <x:f>IF(A43="","",IF(G43&gt;0,K43/G43,"No good units"))</x:f>
      </x:c>
      <x:c r="M43" s="36"/>
      <x:c r="N43" s="40"/>
      <x:c r="O43" s="36"/>
      <x:c r="P43" s="36"/>
    </x:row>
    <x:row r="44" ht="23" customHeight="1">
      <x:c r="A44" s="36"/>
      <x:c r="B44" s="36"/>
      <x:c r="C44" s="40"/>
      <x:c r="D44" s="40"/>
      <x:c r="E44" s="36"/>
      <x:c r="F44" s="41"/>
      <x:c r="G44" s="41"/>
      <x:c r="H44" s="41"/>
      <x:c r="I44" s="37" t="str">
        <x:f>IF(A44="","",SUMIFS('Entries'!$S$6:$S$505,'Entries'!$I$6:$I$505,A44,'Entries'!$Q$6:$Q$505,"Work in progress",'Entries'!$R$6:$R$505,"Materials inventory")-SUMIFS('Entries'!$S$6:$S$505,'Entries'!$I$6:$I$505,A44,'Entries'!$R$6:$R$505,"Work in progress",'Entries'!$Q$6:$Q$505,"Materials inventory"))</x:f>
      </x:c>
      <x:c r="J44" s="37" t="str">
        <x:f>IF(A44="","",SUMIFS('Entries'!$S$6:$S$505,'Entries'!$I$6:$I$505,A44,'Entries'!$C$6:$C$505,"Production cost"))</x:f>
      </x:c>
      <x:c r="K44" s="37" t="str">
        <x:f>IF(A44="","",SUM(I44:J44))</x:f>
      </x:c>
      <x:c r="L44" s="37" t="str">
        <x:f>IF(A44="","",IF(G44&gt;0,K44/G44,"No good units"))</x:f>
      </x:c>
      <x:c r="M44" s="36"/>
      <x:c r="N44" s="40"/>
      <x:c r="O44" s="36"/>
      <x:c r="P44" s="36"/>
    </x:row>
    <x:row r="45" ht="23" customHeight="1">
      <x:c r="A45" s="36"/>
      <x:c r="B45" s="36"/>
      <x:c r="C45" s="40"/>
      <x:c r="D45" s="40"/>
      <x:c r="E45" s="36"/>
      <x:c r="F45" s="41"/>
      <x:c r="G45" s="41"/>
      <x:c r="H45" s="41"/>
      <x:c r="I45" s="37" t="str">
        <x:f>IF(A45="","",SUMIFS('Entries'!$S$6:$S$505,'Entries'!$I$6:$I$505,A45,'Entries'!$Q$6:$Q$505,"Work in progress",'Entries'!$R$6:$R$505,"Materials inventory")-SUMIFS('Entries'!$S$6:$S$505,'Entries'!$I$6:$I$505,A45,'Entries'!$R$6:$R$505,"Work in progress",'Entries'!$Q$6:$Q$505,"Materials inventory"))</x:f>
      </x:c>
      <x:c r="J45" s="37" t="str">
        <x:f>IF(A45="","",SUMIFS('Entries'!$S$6:$S$505,'Entries'!$I$6:$I$505,A45,'Entries'!$C$6:$C$505,"Production cost"))</x:f>
      </x:c>
      <x:c r="K45" s="37" t="str">
        <x:f>IF(A45="","",SUM(I45:J45))</x:f>
      </x:c>
      <x:c r="L45" s="37" t="str">
        <x:f>IF(A45="","",IF(G45&gt;0,K45/G45,"No good units"))</x:f>
      </x:c>
      <x:c r="M45" s="36"/>
      <x:c r="N45" s="40"/>
      <x:c r="O45" s="36"/>
      <x:c r="P45" s="36"/>
    </x:row>
    <x:row r="46" ht="23" customHeight="1">
      <x:c r="A46" s="36"/>
      <x:c r="B46" s="36"/>
      <x:c r="C46" s="40"/>
      <x:c r="D46" s="40"/>
      <x:c r="E46" s="36"/>
      <x:c r="F46" s="41"/>
      <x:c r="G46" s="41"/>
      <x:c r="H46" s="41"/>
      <x:c r="I46" s="37" t="str">
        <x:f>IF(A46="","",SUMIFS('Entries'!$S$6:$S$505,'Entries'!$I$6:$I$505,A46,'Entries'!$Q$6:$Q$505,"Work in progress",'Entries'!$R$6:$R$505,"Materials inventory")-SUMIFS('Entries'!$S$6:$S$505,'Entries'!$I$6:$I$505,A46,'Entries'!$R$6:$R$505,"Work in progress",'Entries'!$Q$6:$Q$505,"Materials inventory"))</x:f>
      </x:c>
      <x:c r="J46" s="37" t="str">
        <x:f>IF(A46="","",SUMIFS('Entries'!$S$6:$S$505,'Entries'!$I$6:$I$505,A46,'Entries'!$C$6:$C$505,"Production cost"))</x:f>
      </x:c>
      <x:c r="K46" s="37" t="str">
        <x:f>IF(A46="","",SUM(I46:J46))</x:f>
      </x:c>
      <x:c r="L46" s="37" t="str">
        <x:f>IF(A46="","",IF(G46&gt;0,K46/G46,"No good units"))</x:f>
      </x:c>
      <x:c r="M46" s="36"/>
      <x:c r="N46" s="40"/>
      <x:c r="O46" s="36"/>
      <x:c r="P46" s="36"/>
    </x:row>
    <x:row r="47" ht="23" customHeight="1">
      <x:c r="A47" s="36"/>
      <x:c r="B47" s="36"/>
      <x:c r="C47" s="40"/>
      <x:c r="D47" s="40"/>
      <x:c r="E47" s="36"/>
      <x:c r="F47" s="41"/>
      <x:c r="G47" s="41"/>
      <x:c r="H47" s="41"/>
      <x:c r="I47" s="37" t="str">
        <x:f>IF(A47="","",SUMIFS('Entries'!$S$6:$S$505,'Entries'!$I$6:$I$505,A47,'Entries'!$Q$6:$Q$505,"Work in progress",'Entries'!$R$6:$R$505,"Materials inventory")-SUMIFS('Entries'!$S$6:$S$505,'Entries'!$I$6:$I$505,A47,'Entries'!$R$6:$R$505,"Work in progress",'Entries'!$Q$6:$Q$505,"Materials inventory"))</x:f>
      </x:c>
      <x:c r="J47" s="37" t="str">
        <x:f>IF(A47="","",SUMIFS('Entries'!$S$6:$S$505,'Entries'!$I$6:$I$505,A47,'Entries'!$C$6:$C$505,"Production cost"))</x:f>
      </x:c>
      <x:c r="K47" s="37" t="str">
        <x:f>IF(A47="","",SUM(I47:J47))</x:f>
      </x:c>
      <x:c r="L47" s="37" t="str">
        <x:f>IF(A47="","",IF(G47&gt;0,K47/G47,"No good units"))</x:f>
      </x:c>
      <x:c r="M47" s="36"/>
      <x:c r="N47" s="40"/>
      <x:c r="O47" s="36"/>
      <x:c r="P47" s="36"/>
    </x:row>
    <x:row r="48" ht="23" customHeight="1">
      <x:c r="A48" s="36"/>
      <x:c r="B48" s="36"/>
      <x:c r="C48" s="40"/>
      <x:c r="D48" s="40"/>
      <x:c r="E48" s="36"/>
      <x:c r="F48" s="41"/>
      <x:c r="G48" s="41"/>
      <x:c r="H48" s="41"/>
      <x:c r="I48" s="37" t="str">
        <x:f>IF(A48="","",SUMIFS('Entries'!$S$6:$S$505,'Entries'!$I$6:$I$505,A48,'Entries'!$Q$6:$Q$505,"Work in progress",'Entries'!$R$6:$R$505,"Materials inventory")-SUMIFS('Entries'!$S$6:$S$505,'Entries'!$I$6:$I$505,A48,'Entries'!$R$6:$R$505,"Work in progress",'Entries'!$Q$6:$Q$505,"Materials inventory"))</x:f>
      </x:c>
      <x:c r="J48" s="37" t="str">
        <x:f>IF(A48="","",SUMIFS('Entries'!$S$6:$S$505,'Entries'!$I$6:$I$505,A48,'Entries'!$C$6:$C$505,"Production cost"))</x:f>
      </x:c>
      <x:c r="K48" s="37" t="str">
        <x:f>IF(A48="","",SUM(I48:J48))</x:f>
      </x:c>
      <x:c r="L48" s="37" t="str">
        <x:f>IF(A48="","",IF(G48&gt;0,K48/G48,"No good units"))</x:f>
      </x:c>
      <x:c r="M48" s="36"/>
      <x:c r="N48" s="40"/>
      <x:c r="O48" s="36"/>
      <x:c r="P48" s="36"/>
    </x:row>
    <x:row r="49" ht="23" customHeight="1">
      <x:c r="A49" s="36"/>
      <x:c r="B49" s="36"/>
      <x:c r="C49" s="40"/>
      <x:c r="D49" s="40"/>
      <x:c r="E49" s="36"/>
      <x:c r="F49" s="41"/>
      <x:c r="G49" s="41"/>
      <x:c r="H49" s="41"/>
      <x:c r="I49" s="37" t="str">
        <x:f>IF(A49="","",SUMIFS('Entries'!$S$6:$S$505,'Entries'!$I$6:$I$505,A49,'Entries'!$Q$6:$Q$505,"Work in progress",'Entries'!$R$6:$R$505,"Materials inventory")-SUMIFS('Entries'!$S$6:$S$505,'Entries'!$I$6:$I$505,A49,'Entries'!$R$6:$R$505,"Work in progress",'Entries'!$Q$6:$Q$505,"Materials inventory"))</x:f>
      </x:c>
      <x:c r="J49" s="37" t="str">
        <x:f>IF(A49="","",SUMIFS('Entries'!$S$6:$S$505,'Entries'!$I$6:$I$505,A49,'Entries'!$C$6:$C$505,"Production cost"))</x:f>
      </x:c>
      <x:c r="K49" s="37" t="str">
        <x:f>IF(A49="","",SUM(I49:J49))</x:f>
      </x:c>
      <x:c r="L49" s="37" t="str">
        <x:f>IF(A49="","",IF(G49&gt;0,K49/G49,"No good units"))</x:f>
      </x:c>
      <x:c r="M49" s="36"/>
      <x:c r="N49" s="40"/>
      <x:c r="O49" s="36"/>
      <x:c r="P49" s="36"/>
    </x:row>
    <x:row r="50" ht="23" customHeight="1">
      <x:c r="A50" s="36"/>
      <x:c r="B50" s="36"/>
      <x:c r="C50" s="40"/>
      <x:c r="D50" s="40"/>
      <x:c r="E50" s="36"/>
      <x:c r="F50" s="41"/>
      <x:c r="G50" s="41"/>
      <x:c r="H50" s="41"/>
      <x:c r="I50" s="37" t="str">
        <x:f>IF(A50="","",SUMIFS('Entries'!$S$6:$S$505,'Entries'!$I$6:$I$505,A50,'Entries'!$Q$6:$Q$505,"Work in progress",'Entries'!$R$6:$R$505,"Materials inventory")-SUMIFS('Entries'!$S$6:$S$505,'Entries'!$I$6:$I$505,A50,'Entries'!$R$6:$R$505,"Work in progress",'Entries'!$Q$6:$Q$505,"Materials inventory"))</x:f>
      </x:c>
      <x:c r="J50" s="37" t="str">
        <x:f>IF(A50="","",SUMIFS('Entries'!$S$6:$S$505,'Entries'!$I$6:$I$505,A50,'Entries'!$C$6:$C$505,"Production cost"))</x:f>
      </x:c>
      <x:c r="K50" s="37" t="str">
        <x:f>IF(A50="","",SUM(I50:J50))</x:f>
      </x:c>
      <x:c r="L50" s="37" t="str">
        <x:f>IF(A50="","",IF(G50&gt;0,K50/G50,"No good units"))</x:f>
      </x:c>
      <x:c r="M50" s="36"/>
      <x:c r="N50" s="40"/>
      <x:c r="O50" s="36"/>
      <x:c r="P50" s="36"/>
    </x:row>
    <x:row r="51" ht="23" customHeight="1">
      <x:c r="A51" s="36"/>
      <x:c r="B51" s="36"/>
      <x:c r="C51" s="40"/>
      <x:c r="D51" s="40"/>
      <x:c r="E51" s="36"/>
      <x:c r="F51" s="41"/>
      <x:c r="G51" s="41"/>
      <x:c r="H51" s="41"/>
      <x:c r="I51" s="37" t="str">
        <x:f>IF(A51="","",SUMIFS('Entries'!$S$6:$S$505,'Entries'!$I$6:$I$505,A51,'Entries'!$Q$6:$Q$505,"Work in progress",'Entries'!$R$6:$R$505,"Materials inventory")-SUMIFS('Entries'!$S$6:$S$505,'Entries'!$I$6:$I$505,A51,'Entries'!$R$6:$R$505,"Work in progress",'Entries'!$Q$6:$Q$505,"Materials inventory"))</x:f>
      </x:c>
      <x:c r="J51" s="37" t="str">
        <x:f>IF(A51="","",SUMIFS('Entries'!$S$6:$S$505,'Entries'!$I$6:$I$505,A51,'Entries'!$C$6:$C$505,"Production cost"))</x:f>
      </x:c>
      <x:c r="K51" s="37" t="str">
        <x:f>IF(A51="","",SUM(I51:J51))</x:f>
      </x:c>
      <x:c r="L51" s="37" t="str">
        <x:f>IF(A51="","",IF(G51&gt;0,K51/G51,"No good units"))</x:f>
      </x:c>
      <x:c r="M51" s="36"/>
      <x:c r="N51" s="40"/>
      <x:c r="O51" s="36"/>
      <x:c r="P51" s="36"/>
    </x:row>
    <x:row r="52" ht="23" customHeight="1">
      <x:c r="A52" s="36"/>
      <x:c r="B52" s="36"/>
      <x:c r="C52" s="40"/>
      <x:c r="D52" s="40"/>
      <x:c r="E52" s="36"/>
      <x:c r="F52" s="41"/>
      <x:c r="G52" s="41"/>
      <x:c r="H52" s="41"/>
      <x:c r="I52" s="37" t="str">
        <x:f>IF(A52="","",SUMIFS('Entries'!$S$6:$S$505,'Entries'!$I$6:$I$505,A52,'Entries'!$Q$6:$Q$505,"Work in progress",'Entries'!$R$6:$R$505,"Materials inventory")-SUMIFS('Entries'!$S$6:$S$505,'Entries'!$I$6:$I$505,A52,'Entries'!$R$6:$R$505,"Work in progress",'Entries'!$Q$6:$Q$505,"Materials inventory"))</x:f>
      </x:c>
      <x:c r="J52" s="37" t="str">
        <x:f>IF(A52="","",SUMIFS('Entries'!$S$6:$S$505,'Entries'!$I$6:$I$505,A52,'Entries'!$C$6:$C$505,"Production cost"))</x:f>
      </x:c>
      <x:c r="K52" s="37" t="str">
        <x:f>IF(A52="","",SUM(I52:J52))</x:f>
      </x:c>
      <x:c r="L52" s="37" t="str">
        <x:f>IF(A52="","",IF(G52&gt;0,K52/G52,"No good units"))</x:f>
      </x:c>
      <x:c r="M52" s="36"/>
      <x:c r="N52" s="40"/>
      <x:c r="O52" s="36"/>
      <x:c r="P52" s="36"/>
    </x:row>
    <x:row r="53" ht="23" customHeight="1">
      <x:c r="A53" s="36"/>
      <x:c r="B53" s="36"/>
      <x:c r="C53" s="40"/>
      <x:c r="D53" s="40"/>
      <x:c r="E53" s="36"/>
      <x:c r="F53" s="41"/>
      <x:c r="G53" s="41"/>
      <x:c r="H53" s="41"/>
      <x:c r="I53" s="37" t="str">
        <x:f>IF(A53="","",SUMIFS('Entries'!$S$6:$S$505,'Entries'!$I$6:$I$505,A53,'Entries'!$Q$6:$Q$505,"Work in progress",'Entries'!$R$6:$R$505,"Materials inventory")-SUMIFS('Entries'!$S$6:$S$505,'Entries'!$I$6:$I$505,A53,'Entries'!$R$6:$R$505,"Work in progress",'Entries'!$Q$6:$Q$505,"Materials inventory"))</x:f>
      </x:c>
      <x:c r="J53" s="37" t="str">
        <x:f>IF(A53="","",SUMIFS('Entries'!$S$6:$S$505,'Entries'!$I$6:$I$505,A53,'Entries'!$C$6:$C$505,"Production cost"))</x:f>
      </x:c>
      <x:c r="K53" s="37" t="str">
        <x:f>IF(A53="","",SUM(I53:J53))</x:f>
      </x:c>
      <x:c r="L53" s="37" t="str">
        <x:f>IF(A53="","",IF(G53&gt;0,K53/G53,"No good units"))</x:f>
      </x:c>
      <x:c r="M53" s="36"/>
      <x:c r="N53" s="40"/>
      <x:c r="O53" s="36"/>
      <x:c r="P53" s="36"/>
    </x:row>
    <x:row r="54" ht="23" customHeight="1">
      <x:c r="A54" s="36"/>
      <x:c r="B54" s="36"/>
      <x:c r="C54" s="40"/>
      <x:c r="D54" s="40"/>
      <x:c r="E54" s="36"/>
      <x:c r="F54" s="41"/>
      <x:c r="G54" s="41"/>
      <x:c r="H54" s="41"/>
      <x:c r="I54" s="37" t="str">
        <x:f>IF(A54="","",SUMIFS('Entries'!$S$6:$S$505,'Entries'!$I$6:$I$505,A54,'Entries'!$Q$6:$Q$505,"Work in progress",'Entries'!$R$6:$R$505,"Materials inventory")-SUMIFS('Entries'!$S$6:$S$505,'Entries'!$I$6:$I$505,A54,'Entries'!$R$6:$R$505,"Work in progress",'Entries'!$Q$6:$Q$505,"Materials inventory"))</x:f>
      </x:c>
      <x:c r="J54" s="37" t="str">
        <x:f>IF(A54="","",SUMIFS('Entries'!$S$6:$S$505,'Entries'!$I$6:$I$505,A54,'Entries'!$C$6:$C$505,"Production cost"))</x:f>
      </x:c>
      <x:c r="K54" s="37" t="str">
        <x:f>IF(A54="","",SUM(I54:J54))</x:f>
      </x:c>
      <x:c r="L54" s="37" t="str">
        <x:f>IF(A54="","",IF(G54&gt;0,K54/G54,"No good units"))</x:f>
      </x:c>
      <x:c r="M54" s="36"/>
      <x:c r="N54" s="40"/>
      <x:c r="O54" s="36"/>
      <x:c r="P54" s="36"/>
    </x:row>
    <x:row r="55" ht="23" customHeight="1">
      <x:c r="A55" s="36"/>
      <x:c r="B55" s="36"/>
      <x:c r="C55" s="40"/>
      <x:c r="D55" s="40"/>
      <x:c r="E55" s="36"/>
      <x:c r="F55" s="41"/>
      <x:c r="G55" s="41"/>
      <x:c r="H55" s="41"/>
      <x:c r="I55" s="37" t="str">
        <x:f>IF(A55="","",SUMIFS('Entries'!$S$6:$S$505,'Entries'!$I$6:$I$505,A55,'Entries'!$Q$6:$Q$505,"Work in progress",'Entries'!$R$6:$R$505,"Materials inventory")-SUMIFS('Entries'!$S$6:$S$505,'Entries'!$I$6:$I$505,A55,'Entries'!$R$6:$R$505,"Work in progress",'Entries'!$Q$6:$Q$505,"Materials inventory"))</x:f>
      </x:c>
      <x:c r="J55" s="37" t="str">
        <x:f>IF(A55="","",SUMIFS('Entries'!$S$6:$S$505,'Entries'!$I$6:$I$505,A55,'Entries'!$C$6:$C$505,"Production cost"))</x:f>
      </x:c>
      <x:c r="K55" s="37" t="str">
        <x:f>IF(A55="","",SUM(I55:J55))</x:f>
      </x:c>
      <x:c r="L55" s="37" t="str">
        <x:f>IF(A55="","",IF(G55&gt;0,K55/G55,"No good units"))</x:f>
      </x:c>
      <x:c r="M55" s="36"/>
      <x:c r="N55" s="40"/>
      <x:c r="O55" s="36"/>
      <x:c r="P55" s="36"/>
    </x:row>
    <x:row r="56" ht="23" customHeight="1">
      <x:c r="A56" s="36"/>
      <x:c r="B56" s="36"/>
      <x:c r="C56" s="40"/>
      <x:c r="D56" s="40"/>
      <x:c r="E56" s="36"/>
      <x:c r="F56" s="41"/>
      <x:c r="G56" s="41"/>
      <x:c r="H56" s="41"/>
      <x:c r="I56" s="37" t="str">
        <x:f>IF(A56="","",SUMIFS('Entries'!$S$6:$S$505,'Entries'!$I$6:$I$505,A56,'Entries'!$Q$6:$Q$505,"Work in progress",'Entries'!$R$6:$R$505,"Materials inventory")-SUMIFS('Entries'!$S$6:$S$505,'Entries'!$I$6:$I$505,A56,'Entries'!$R$6:$R$505,"Work in progress",'Entries'!$Q$6:$Q$505,"Materials inventory"))</x:f>
      </x:c>
      <x:c r="J56" s="37" t="str">
        <x:f>IF(A56="","",SUMIFS('Entries'!$S$6:$S$505,'Entries'!$I$6:$I$505,A56,'Entries'!$C$6:$C$505,"Production cost"))</x:f>
      </x:c>
      <x:c r="K56" s="37" t="str">
        <x:f>IF(A56="","",SUM(I56:J56))</x:f>
      </x:c>
      <x:c r="L56" s="37" t="str">
        <x:f>IF(A56="","",IF(G56&gt;0,K56/G56,"No good units"))</x:f>
      </x:c>
      <x:c r="M56" s="36"/>
      <x:c r="N56" s="40"/>
      <x:c r="O56" s="36"/>
      <x:c r="P56" s="36"/>
    </x:row>
    <x:row r="57" ht="23" customHeight="1">
      <x:c r="A57" s="36"/>
      <x:c r="B57" s="36"/>
      <x:c r="C57" s="40"/>
      <x:c r="D57" s="40"/>
      <x:c r="E57" s="36"/>
      <x:c r="F57" s="41"/>
      <x:c r="G57" s="41"/>
      <x:c r="H57" s="41"/>
      <x:c r="I57" s="37" t="str">
        <x:f>IF(A57="","",SUMIFS('Entries'!$S$6:$S$505,'Entries'!$I$6:$I$505,A57,'Entries'!$Q$6:$Q$505,"Work in progress",'Entries'!$R$6:$R$505,"Materials inventory")-SUMIFS('Entries'!$S$6:$S$505,'Entries'!$I$6:$I$505,A57,'Entries'!$R$6:$R$505,"Work in progress",'Entries'!$Q$6:$Q$505,"Materials inventory"))</x:f>
      </x:c>
      <x:c r="J57" s="37" t="str">
        <x:f>IF(A57="","",SUMIFS('Entries'!$S$6:$S$505,'Entries'!$I$6:$I$505,A57,'Entries'!$C$6:$C$505,"Production cost"))</x:f>
      </x:c>
      <x:c r="K57" s="37" t="str">
        <x:f>IF(A57="","",SUM(I57:J57))</x:f>
      </x:c>
      <x:c r="L57" s="37" t="str">
        <x:f>IF(A57="","",IF(G57&gt;0,K57/G57,"No good units"))</x:f>
      </x:c>
      <x:c r="M57" s="36"/>
      <x:c r="N57" s="40"/>
      <x:c r="O57" s="36"/>
      <x:c r="P57" s="36"/>
    </x:row>
    <x:row r="58" ht="23" customHeight="1">
      <x:c r="A58" s="36"/>
      <x:c r="B58" s="36"/>
      <x:c r="C58" s="40"/>
      <x:c r="D58" s="40"/>
      <x:c r="E58" s="36"/>
      <x:c r="F58" s="41"/>
      <x:c r="G58" s="41"/>
      <x:c r="H58" s="41"/>
      <x:c r="I58" s="37" t="str">
        <x:f>IF(A58="","",SUMIFS('Entries'!$S$6:$S$505,'Entries'!$I$6:$I$505,A58,'Entries'!$Q$6:$Q$505,"Work in progress",'Entries'!$R$6:$R$505,"Materials inventory")-SUMIFS('Entries'!$S$6:$S$505,'Entries'!$I$6:$I$505,A58,'Entries'!$R$6:$R$505,"Work in progress",'Entries'!$Q$6:$Q$505,"Materials inventory"))</x:f>
      </x:c>
      <x:c r="J58" s="37" t="str">
        <x:f>IF(A58="","",SUMIFS('Entries'!$S$6:$S$505,'Entries'!$I$6:$I$505,A58,'Entries'!$C$6:$C$505,"Production cost"))</x:f>
      </x:c>
      <x:c r="K58" s="37" t="str">
        <x:f>IF(A58="","",SUM(I58:J58))</x:f>
      </x:c>
      <x:c r="L58" s="37" t="str">
        <x:f>IF(A58="","",IF(G58&gt;0,K58/G58,"No good units"))</x:f>
      </x:c>
      <x:c r="M58" s="36"/>
      <x:c r="N58" s="40"/>
      <x:c r="O58" s="36"/>
      <x:c r="P58" s="36"/>
    </x:row>
    <x:row r="59" ht="23" customHeight="1">
      <x:c r="A59" s="36"/>
      <x:c r="B59" s="36"/>
      <x:c r="C59" s="40"/>
      <x:c r="D59" s="40"/>
      <x:c r="E59" s="36"/>
      <x:c r="F59" s="41"/>
      <x:c r="G59" s="41"/>
      <x:c r="H59" s="41"/>
      <x:c r="I59" s="37" t="str">
        <x:f>IF(A59="","",SUMIFS('Entries'!$S$6:$S$505,'Entries'!$I$6:$I$505,A59,'Entries'!$Q$6:$Q$505,"Work in progress",'Entries'!$R$6:$R$505,"Materials inventory")-SUMIFS('Entries'!$S$6:$S$505,'Entries'!$I$6:$I$505,A59,'Entries'!$R$6:$R$505,"Work in progress",'Entries'!$Q$6:$Q$505,"Materials inventory"))</x:f>
      </x:c>
      <x:c r="J59" s="37" t="str">
        <x:f>IF(A59="","",SUMIFS('Entries'!$S$6:$S$505,'Entries'!$I$6:$I$505,A59,'Entries'!$C$6:$C$505,"Production cost"))</x:f>
      </x:c>
      <x:c r="K59" s="37" t="str">
        <x:f>IF(A59="","",SUM(I59:J59))</x:f>
      </x:c>
      <x:c r="L59" s="37" t="str">
        <x:f>IF(A59="","",IF(G59&gt;0,K59/G59,"No good units"))</x:f>
      </x:c>
      <x:c r="M59" s="36"/>
      <x:c r="N59" s="40"/>
      <x:c r="O59" s="36"/>
      <x:c r="P59" s="36"/>
    </x:row>
    <x:row r="60" ht="23" customHeight="1">
      <x:c r="A60" s="36"/>
      <x:c r="B60" s="36"/>
      <x:c r="C60" s="40"/>
      <x:c r="D60" s="40"/>
      <x:c r="E60" s="36"/>
      <x:c r="F60" s="41"/>
      <x:c r="G60" s="41"/>
      <x:c r="H60" s="41"/>
      <x:c r="I60" s="37" t="str">
        <x:f>IF(A60="","",SUMIFS('Entries'!$S$6:$S$505,'Entries'!$I$6:$I$505,A60,'Entries'!$Q$6:$Q$505,"Work in progress",'Entries'!$R$6:$R$505,"Materials inventory")-SUMIFS('Entries'!$S$6:$S$505,'Entries'!$I$6:$I$505,A60,'Entries'!$R$6:$R$505,"Work in progress",'Entries'!$Q$6:$Q$505,"Materials inventory"))</x:f>
      </x:c>
      <x:c r="J60" s="37" t="str">
        <x:f>IF(A60="","",SUMIFS('Entries'!$S$6:$S$505,'Entries'!$I$6:$I$505,A60,'Entries'!$C$6:$C$505,"Production cost"))</x:f>
      </x:c>
      <x:c r="K60" s="37" t="str">
        <x:f>IF(A60="","",SUM(I60:J60))</x:f>
      </x:c>
      <x:c r="L60" s="37" t="str">
        <x:f>IF(A60="","",IF(G60&gt;0,K60/G60,"No good units"))</x:f>
      </x:c>
      <x:c r="M60" s="36"/>
      <x:c r="N60" s="40"/>
      <x:c r="O60" s="36"/>
      <x:c r="P60" s="36"/>
    </x:row>
    <x:row r="61" ht="23" customHeight="1">
      <x:c r="A61" s="36"/>
      <x:c r="B61" s="36"/>
      <x:c r="C61" s="40"/>
      <x:c r="D61" s="40"/>
      <x:c r="E61" s="36"/>
      <x:c r="F61" s="41"/>
      <x:c r="G61" s="41"/>
      <x:c r="H61" s="41"/>
      <x:c r="I61" s="37" t="str">
        <x:f>IF(A61="","",SUMIFS('Entries'!$S$6:$S$505,'Entries'!$I$6:$I$505,A61,'Entries'!$Q$6:$Q$505,"Work in progress",'Entries'!$R$6:$R$505,"Materials inventory")-SUMIFS('Entries'!$S$6:$S$505,'Entries'!$I$6:$I$505,A61,'Entries'!$R$6:$R$505,"Work in progress",'Entries'!$Q$6:$Q$505,"Materials inventory"))</x:f>
      </x:c>
      <x:c r="J61" s="37" t="str">
        <x:f>IF(A61="","",SUMIFS('Entries'!$S$6:$S$505,'Entries'!$I$6:$I$505,A61,'Entries'!$C$6:$C$505,"Production cost"))</x:f>
      </x:c>
      <x:c r="K61" s="37" t="str">
        <x:f>IF(A61="","",SUM(I61:J61))</x:f>
      </x:c>
      <x:c r="L61" s="37" t="str">
        <x:f>IF(A61="","",IF(G61&gt;0,K61/G61,"No good units"))</x:f>
      </x:c>
      <x:c r="M61" s="36"/>
      <x:c r="N61" s="40"/>
      <x:c r="O61" s="36"/>
      <x:c r="P61" s="36"/>
    </x:row>
    <x:row r="62" ht="23" customHeight="1">
      <x:c r="A62" s="36"/>
      <x:c r="B62" s="36"/>
      <x:c r="C62" s="40"/>
      <x:c r="D62" s="40"/>
      <x:c r="E62" s="36"/>
      <x:c r="F62" s="41"/>
      <x:c r="G62" s="41"/>
      <x:c r="H62" s="41"/>
      <x:c r="I62" s="37" t="str">
        <x:f>IF(A62="","",SUMIFS('Entries'!$S$6:$S$505,'Entries'!$I$6:$I$505,A62,'Entries'!$Q$6:$Q$505,"Work in progress",'Entries'!$R$6:$R$505,"Materials inventory")-SUMIFS('Entries'!$S$6:$S$505,'Entries'!$I$6:$I$505,A62,'Entries'!$R$6:$R$505,"Work in progress",'Entries'!$Q$6:$Q$505,"Materials inventory"))</x:f>
      </x:c>
      <x:c r="J62" s="37" t="str">
        <x:f>IF(A62="","",SUMIFS('Entries'!$S$6:$S$505,'Entries'!$I$6:$I$505,A62,'Entries'!$C$6:$C$505,"Production cost"))</x:f>
      </x:c>
      <x:c r="K62" s="37" t="str">
        <x:f>IF(A62="","",SUM(I62:J62))</x:f>
      </x:c>
      <x:c r="L62" s="37" t="str">
        <x:f>IF(A62="","",IF(G62&gt;0,K62/G62,"No good units"))</x:f>
      </x:c>
      <x:c r="M62" s="36"/>
      <x:c r="N62" s="40"/>
      <x:c r="O62" s="36"/>
      <x:c r="P62" s="36"/>
    </x:row>
    <x:row r="63" ht="23" customHeight="1">
      <x:c r="A63" s="36"/>
      <x:c r="B63" s="36"/>
      <x:c r="C63" s="40"/>
      <x:c r="D63" s="40"/>
      <x:c r="E63" s="36"/>
      <x:c r="F63" s="41"/>
      <x:c r="G63" s="41"/>
      <x:c r="H63" s="41"/>
      <x:c r="I63" s="37" t="str">
        <x:f>IF(A63="","",SUMIFS('Entries'!$S$6:$S$505,'Entries'!$I$6:$I$505,A63,'Entries'!$Q$6:$Q$505,"Work in progress",'Entries'!$R$6:$R$505,"Materials inventory")-SUMIFS('Entries'!$S$6:$S$505,'Entries'!$I$6:$I$505,A63,'Entries'!$R$6:$R$505,"Work in progress",'Entries'!$Q$6:$Q$505,"Materials inventory"))</x:f>
      </x:c>
      <x:c r="J63" s="37" t="str">
        <x:f>IF(A63="","",SUMIFS('Entries'!$S$6:$S$505,'Entries'!$I$6:$I$505,A63,'Entries'!$C$6:$C$505,"Production cost"))</x:f>
      </x:c>
      <x:c r="K63" s="37" t="str">
        <x:f>IF(A63="","",SUM(I63:J63))</x:f>
      </x:c>
      <x:c r="L63" s="37" t="str">
        <x:f>IF(A63="","",IF(G63&gt;0,K63/G63,"No good units"))</x:f>
      </x:c>
      <x:c r="M63" s="36"/>
      <x:c r="N63" s="40"/>
      <x:c r="O63" s="36"/>
      <x:c r="P63" s="36"/>
    </x:row>
    <x:row r="64" ht="23" customHeight="1">
      <x:c r="A64" s="36"/>
      <x:c r="B64" s="36"/>
      <x:c r="C64" s="40"/>
      <x:c r="D64" s="40"/>
      <x:c r="E64" s="36"/>
      <x:c r="F64" s="41"/>
      <x:c r="G64" s="41"/>
      <x:c r="H64" s="41"/>
      <x:c r="I64" s="37" t="str">
        <x:f>IF(A64="","",SUMIFS('Entries'!$S$6:$S$505,'Entries'!$I$6:$I$505,A64,'Entries'!$Q$6:$Q$505,"Work in progress",'Entries'!$R$6:$R$505,"Materials inventory")-SUMIFS('Entries'!$S$6:$S$505,'Entries'!$I$6:$I$505,A64,'Entries'!$R$6:$R$505,"Work in progress",'Entries'!$Q$6:$Q$505,"Materials inventory"))</x:f>
      </x:c>
      <x:c r="J64" s="37" t="str">
        <x:f>IF(A64="","",SUMIFS('Entries'!$S$6:$S$505,'Entries'!$I$6:$I$505,A64,'Entries'!$C$6:$C$505,"Production cost"))</x:f>
      </x:c>
      <x:c r="K64" s="37" t="str">
        <x:f>IF(A64="","",SUM(I64:J64))</x:f>
      </x:c>
      <x:c r="L64" s="37" t="str">
        <x:f>IF(A64="","",IF(G64&gt;0,K64/G64,"No good units"))</x:f>
      </x:c>
      <x:c r="M64" s="36"/>
      <x:c r="N64" s="40"/>
      <x:c r="O64" s="36"/>
      <x:c r="P64" s="36"/>
    </x:row>
    <x:row r="65" ht="23" customHeight="1">
      <x:c r="A65" s="36"/>
      <x:c r="B65" s="36"/>
      <x:c r="C65" s="40"/>
      <x:c r="D65" s="40"/>
      <x:c r="E65" s="36"/>
      <x:c r="F65" s="41"/>
      <x:c r="G65" s="41"/>
      <x:c r="H65" s="41"/>
      <x:c r="I65" s="37" t="str">
        <x:f>IF(A65="","",SUMIFS('Entries'!$S$6:$S$505,'Entries'!$I$6:$I$505,A65,'Entries'!$Q$6:$Q$505,"Work in progress",'Entries'!$R$6:$R$505,"Materials inventory")-SUMIFS('Entries'!$S$6:$S$505,'Entries'!$I$6:$I$505,A65,'Entries'!$R$6:$R$505,"Work in progress",'Entries'!$Q$6:$Q$505,"Materials inventory"))</x:f>
      </x:c>
      <x:c r="J65" s="37" t="str">
        <x:f>IF(A65="","",SUMIFS('Entries'!$S$6:$S$505,'Entries'!$I$6:$I$505,A65,'Entries'!$C$6:$C$505,"Production cost"))</x:f>
      </x:c>
      <x:c r="K65" s="37" t="str">
        <x:f>IF(A65="","",SUM(I65:J65))</x:f>
      </x:c>
      <x:c r="L65" s="37" t="str">
        <x:f>IF(A65="","",IF(G65&gt;0,K65/G65,"No good units"))</x:f>
      </x:c>
      <x:c r="M65" s="36"/>
      <x:c r="N65" s="40"/>
      <x:c r="O65" s="36"/>
      <x:c r="P65" s="36"/>
    </x:row>
    <x:row r="66" ht="23" customHeight="1">
      <x:c r="A66" s="36"/>
      <x:c r="B66" s="36"/>
      <x:c r="C66" s="40"/>
      <x:c r="D66" s="40"/>
      <x:c r="E66" s="36"/>
      <x:c r="F66" s="41"/>
      <x:c r="G66" s="41"/>
      <x:c r="H66" s="41"/>
      <x:c r="I66" s="37" t="str">
        <x:f>IF(A66="","",SUMIFS('Entries'!$S$6:$S$505,'Entries'!$I$6:$I$505,A66,'Entries'!$Q$6:$Q$505,"Work in progress",'Entries'!$R$6:$R$505,"Materials inventory")-SUMIFS('Entries'!$S$6:$S$505,'Entries'!$I$6:$I$505,A66,'Entries'!$R$6:$R$505,"Work in progress",'Entries'!$Q$6:$Q$505,"Materials inventory"))</x:f>
      </x:c>
      <x:c r="J66" s="37" t="str">
        <x:f>IF(A66="","",SUMIFS('Entries'!$S$6:$S$505,'Entries'!$I$6:$I$505,A66,'Entries'!$C$6:$C$505,"Production cost"))</x:f>
      </x:c>
      <x:c r="K66" s="37" t="str">
        <x:f>IF(A66="","",SUM(I66:J66))</x:f>
      </x:c>
      <x:c r="L66" s="37" t="str">
        <x:f>IF(A66="","",IF(G66&gt;0,K66/G66,"No good units"))</x:f>
      </x:c>
      <x:c r="M66" s="36"/>
      <x:c r="N66" s="40"/>
      <x:c r="O66" s="36"/>
      <x:c r="P66" s="36"/>
    </x:row>
    <x:row r="67" ht="23" customHeight="1">
      <x:c r="A67" s="36"/>
      <x:c r="B67" s="36"/>
      <x:c r="C67" s="40"/>
      <x:c r="D67" s="40"/>
      <x:c r="E67" s="36"/>
      <x:c r="F67" s="41"/>
      <x:c r="G67" s="41"/>
      <x:c r="H67" s="41"/>
      <x:c r="I67" s="37" t="str">
        <x:f>IF(A67="","",SUMIFS('Entries'!$S$6:$S$505,'Entries'!$I$6:$I$505,A67,'Entries'!$Q$6:$Q$505,"Work in progress",'Entries'!$R$6:$R$505,"Materials inventory")-SUMIFS('Entries'!$S$6:$S$505,'Entries'!$I$6:$I$505,A67,'Entries'!$R$6:$R$505,"Work in progress",'Entries'!$Q$6:$Q$505,"Materials inventory"))</x:f>
      </x:c>
      <x:c r="J67" s="37" t="str">
        <x:f>IF(A67="","",SUMIFS('Entries'!$S$6:$S$505,'Entries'!$I$6:$I$505,A67,'Entries'!$C$6:$C$505,"Production cost"))</x:f>
      </x:c>
      <x:c r="K67" s="37" t="str">
        <x:f>IF(A67="","",SUM(I67:J67))</x:f>
      </x:c>
      <x:c r="L67" s="37" t="str">
        <x:f>IF(A67="","",IF(G67&gt;0,K67/G67,"No good units"))</x:f>
      </x:c>
      <x:c r="M67" s="36"/>
      <x:c r="N67" s="40"/>
      <x:c r="O67" s="36"/>
      <x:c r="P67" s="36"/>
    </x:row>
    <x:row r="68" ht="23" customHeight="1">
      <x:c r="A68" s="36"/>
      <x:c r="B68" s="36"/>
      <x:c r="C68" s="40"/>
      <x:c r="D68" s="40"/>
      <x:c r="E68" s="36"/>
      <x:c r="F68" s="41"/>
      <x:c r="G68" s="41"/>
      <x:c r="H68" s="41"/>
      <x:c r="I68" s="37" t="str">
        <x:f>IF(A68="","",SUMIFS('Entries'!$S$6:$S$505,'Entries'!$I$6:$I$505,A68,'Entries'!$Q$6:$Q$505,"Work in progress",'Entries'!$R$6:$R$505,"Materials inventory")-SUMIFS('Entries'!$S$6:$S$505,'Entries'!$I$6:$I$505,A68,'Entries'!$R$6:$R$505,"Work in progress",'Entries'!$Q$6:$Q$505,"Materials inventory"))</x:f>
      </x:c>
      <x:c r="J68" s="37" t="str">
        <x:f>IF(A68="","",SUMIFS('Entries'!$S$6:$S$505,'Entries'!$I$6:$I$505,A68,'Entries'!$C$6:$C$505,"Production cost"))</x:f>
      </x:c>
      <x:c r="K68" s="37" t="str">
        <x:f>IF(A68="","",SUM(I68:J68))</x:f>
      </x:c>
      <x:c r="L68" s="37" t="str">
        <x:f>IF(A68="","",IF(G68&gt;0,K68/G68,"No good units"))</x:f>
      </x:c>
      <x:c r="M68" s="36"/>
      <x:c r="N68" s="40"/>
      <x:c r="O68" s="36"/>
      <x:c r="P68" s="36"/>
    </x:row>
    <x:row r="69" ht="23" customHeight="1">
      <x:c r="A69" s="36"/>
      <x:c r="B69" s="36"/>
      <x:c r="C69" s="40"/>
      <x:c r="D69" s="40"/>
      <x:c r="E69" s="36"/>
      <x:c r="F69" s="41"/>
      <x:c r="G69" s="41"/>
      <x:c r="H69" s="41"/>
      <x:c r="I69" s="37" t="str">
        <x:f>IF(A69="","",SUMIFS('Entries'!$S$6:$S$505,'Entries'!$I$6:$I$505,A69,'Entries'!$Q$6:$Q$505,"Work in progress",'Entries'!$R$6:$R$505,"Materials inventory")-SUMIFS('Entries'!$S$6:$S$505,'Entries'!$I$6:$I$505,A69,'Entries'!$R$6:$R$505,"Work in progress",'Entries'!$Q$6:$Q$505,"Materials inventory"))</x:f>
      </x:c>
      <x:c r="J69" s="37" t="str">
        <x:f>IF(A69="","",SUMIFS('Entries'!$S$6:$S$505,'Entries'!$I$6:$I$505,A69,'Entries'!$C$6:$C$505,"Production cost"))</x:f>
      </x:c>
      <x:c r="K69" s="37" t="str">
        <x:f>IF(A69="","",SUM(I69:J69))</x:f>
      </x:c>
      <x:c r="L69" s="37" t="str">
        <x:f>IF(A69="","",IF(G69&gt;0,K69/G69,"No good units"))</x:f>
      </x:c>
      <x:c r="M69" s="36"/>
      <x:c r="N69" s="40"/>
      <x:c r="O69" s="36"/>
      <x:c r="P69" s="36"/>
    </x:row>
    <x:row r="70" ht="23" customHeight="1">
      <x:c r="A70" s="36"/>
      <x:c r="B70" s="36"/>
      <x:c r="C70" s="40"/>
      <x:c r="D70" s="40"/>
      <x:c r="E70" s="36"/>
      <x:c r="F70" s="41"/>
      <x:c r="G70" s="41"/>
      <x:c r="H70" s="41"/>
      <x:c r="I70" s="37" t="str">
        <x:f>IF(A70="","",SUMIFS('Entries'!$S$6:$S$505,'Entries'!$I$6:$I$505,A70,'Entries'!$Q$6:$Q$505,"Work in progress",'Entries'!$R$6:$R$505,"Materials inventory")-SUMIFS('Entries'!$S$6:$S$505,'Entries'!$I$6:$I$505,A70,'Entries'!$R$6:$R$505,"Work in progress",'Entries'!$Q$6:$Q$505,"Materials inventory"))</x:f>
      </x:c>
      <x:c r="J70" s="37" t="str">
        <x:f>IF(A70="","",SUMIFS('Entries'!$S$6:$S$505,'Entries'!$I$6:$I$505,A70,'Entries'!$C$6:$C$505,"Production cost"))</x:f>
      </x:c>
      <x:c r="K70" s="37" t="str">
        <x:f>IF(A70="","",SUM(I70:J70))</x:f>
      </x:c>
      <x:c r="L70" s="37" t="str">
        <x:f>IF(A70="","",IF(G70&gt;0,K70/G70,"No good units"))</x:f>
      </x:c>
      <x:c r="M70" s="36"/>
      <x:c r="N70" s="40"/>
      <x:c r="O70" s="36"/>
      <x:c r="P70" s="36"/>
    </x:row>
    <x:row r="71" ht="23" customHeight="1">
      <x:c r="A71" s="36"/>
      <x:c r="B71" s="36"/>
      <x:c r="C71" s="40"/>
      <x:c r="D71" s="40"/>
      <x:c r="E71" s="36"/>
      <x:c r="F71" s="41"/>
      <x:c r="G71" s="41"/>
      <x:c r="H71" s="41"/>
      <x:c r="I71" s="37" t="str">
        <x:f>IF(A71="","",SUMIFS('Entries'!$S$6:$S$505,'Entries'!$I$6:$I$505,A71,'Entries'!$Q$6:$Q$505,"Work in progress",'Entries'!$R$6:$R$505,"Materials inventory")-SUMIFS('Entries'!$S$6:$S$505,'Entries'!$I$6:$I$505,A71,'Entries'!$R$6:$R$505,"Work in progress",'Entries'!$Q$6:$Q$505,"Materials inventory"))</x:f>
      </x:c>
      <x:c r="J71" s="37" t="str">
        <x:f>IF(A71="","",SUMIFS('Entries'!$S$6:$S$505,'Entries'!$I$6:$I$505,A71,'Entries'!$C$6:$C$505,"Production cost"))</x:f>
      </x:c>
      <x:c r="K71" s="37" t="str">
        <x:f>IF(A71="","",SUM(I71:J71))</x:f>
      </x:c>
      <x:c r="L71" s="37" t="str">
        <x:f>IF(A71="","",IF(G71&gt;0,K71/G71,"No good units"))</x:f>
      </x:c>
      <x:c r="M71" s="36"/>
      <x:c r="N71" s="40"/>
      <x:c r="O71" s="36"/>
      <x:c r="P71" s="36"/>
    </x:row>
    <x:row r="72" ht="23" customHeight="1">
      <x:c r="A72" s="36"/>
      <x:c r="B72" s="36"/>
      <x:c r="C72" s="40"/>
      <x:c r="D72" s="40"/>
      <x:c r="E72" s="36"/>
      <x:c r="F72" s="41"/>
      <x:c r="G72" s="41"/>
      <x:c r="H72" s="41"/>
      <x:c r="I72" s="37" t="str">
        <x:f>IF(A72="","",SUMIFS('Entries'!$S$6:$S$505,'Entries'!$I$6:$I$505,A72,'Entries'!$Q$6:$Q$505,"Work in progress",'Entries'!$R$6:$R$505,"Materials inventory")-SUMIFS('Entries'!$S$6:$S$505,'Entries'!$I$6:$I$505,A72,'Entries'!$R$6:$R$505,"Work in progress",'Entries'!$Q$6:$Q$505,"Materials inventory"))</x:f>
      </x:c>
      <x:c r="J72" s="37" t="str">
        <x:f>IF(A72="","",SUMIFS('Entries'!$S$6:$S$505,'Entries'!$I$6:$I$505,A72,'Entries'!$C$6:$C$505,"Production cost"))</x:f>
      </x:c>
      <x:c r="K72" s="37" t="str">
        <x:f>IF(A72="","",SUM(I72:J72))</x:f>
      </x:c>
      <x:c r="L72" s="37" t="str">
        <x:f>IF(A72="","",IF(G72&gt;0,K72/G72,"No good units"))</x:f>
      </x:c>
      <x:c r="M72" s="36"/>
      <x:c r="N72" s="40"/>
      <x:c r="O72" s="36"/>
      <x:c r="P72" s="36"/>
    </x:row>
    <x:row r="73" ht="23" customHeight="1">
      <x:c r="A73" s="36"/>
      <x:c r="B73" s="36"/>
      <x:c r="C73" s="40"/>
      <x:c r="D73" s="40"/>
      <x:c r="E73" s="36"/>
      <x:c r="F73" s="41"/>
      <x:c r="G73" s="41"/>
      <x:c r="H73" s="41"/>
      <x:c r="I73" s="37" t="str">
        <x:f>IF(A73="","",SUMIFS('Entries'!$S$6:$S$505,'Entries'!$I$6:$I$505,A73,'Entries'!$Q$6:$Q$505,"Work in progress",'Entries'!$R$6:$R$505,"Materials inventory")-SUMIFS('Entries'!$S$6:$S$505,'Entries'!$I$6:$I$505,A73,'Entries'!$R$6:$R$505,"Work in progress",'Entries'!$Q$6:$Q$505,"Materials inventory"))</x:f>
      </x:c>
      <x:c r="J73" s="37" t="str">
        <x:f>IF(A73="","",SUMIFS('Entries'!$S$6:$S$505,'Entries'!$I$6:$I$505,A73,'Entries'!$C$6:$C$505,"Production cost"))</x:f>
      </x:c>
      <x:c r="K73" s="37" t="str">
        <x:f>IF(A73="","",SUM(I73:J73))</x:f>
      </x:c>
      <x:c r="L73" s="37" t="str">
        <x:f>IF(A73="","",IF(G73&gt;0,K73/G73,"No good units"))</x:f>
      </x:c>
      <x:c r="M73" s="36"/>
      <x:c r="N73" s="40"/>
      <x:c r="O73" s="36"/>
      <x:c r="P73" s="36"/>
    </x:row>
    <x:row r="74" ht="23" customHeight="1">
      <x:c r="A74" s="36"/>
      <x:c r="B74" s="36"/>
      <x:c r="C74" s="40"/>
      <x:c r="D74" s="40"/>
      <x:c r="E74" s="36"/>
      <x:c r="F74" s="41"/>
      <x:c r="G74" s="41"/>
      <x:c r="H74" s="41"/>
      <x:c r="I74" s="37" t="str">
        <x:f>IF(A74="","",SUMIFS('Entries'!$S$6:$S$505,'Entries'!$I$6:$I$505,A74,'Entries'!$Q$6:$Q$505,"Work in progress",'Entries'!$R$6:$R$505,"Materials inventory")-SUMIFS('Entries'!$S$6:$S$505,'Entries'!$I$6:$I$505,A74,'Entries'!$R$6:$R$505,"Work in progress",'Entries'!$Q$6:$Q$505,"Materials inventory"))</x:f>
      </x:c>
      <x:c r="J74" s="37" t="str">
        <x:f>IF(A74="","",SUMIFS('Entries'!$S$6:$S$505,'Entries'!$I$6:$I$505,A74,'Entries'!$C$6:$C$505,"Production cost"))</x:f>
      </x:c>
      <x:c r="K74" s="37" t="str">
        <x:f>IF(A74="","",SUM(I74:J74))</x:f>
      </x:c>
      <x:c r="L74" s="37" t="str">
        <x:f>IF(A74="","",IF(G74&gt;0,K74/G74,"No good units"))</x:f>
      </x:c>
      <x:c r="M74" s="36"/>
      <x:c r="N74" s="40"/>
      <x:c r="O74" s="36"/>
      <x:c r="P74" s="36"/>
    </x:row>
    <x:row r="75" ht="23" customHeight="1">
      <x:c r="A75" s="36"/>
      <x:c r="B75" s="36"/>
      <x:c r="C75" s="40"/>
      <x:c r="D75" s="40"/>
      <x:c r="E75" s="36"/>
      <x:c r="F75" s="41"/>
      <x:c r="G75" s="41"/>
      <x:c r="H75" s="41"/>
      <x:c r="I75" s="37" t="str">
        <x:f>IF(A75="","",SUMIFS('Entries'!$S$6:$S$505,'Entries'!$I$6:$I$505,A75,'Entries'!$Q$6:$Q$505,"Work in progress",'Entries'!$R$6:$R$505,"Materials inventory")-SUMIFS('Entries'!$S$6:$S$505,'Entries'!$I$6:$I$505,A75,'Entries'!$R$6:$R$505,"Work in progress",'Entries'!$Q$6:$Q$505,"Materials inventory"))</x:f>
      </x:c>
      <x:c r="J75" s="37" t="str">
        <x:f>IF(A75="","",SUMIFS('Entries'!$S$6:$S$505,'Entries'!$I$6:$I$505,A75,'Entries'!$C$6:$C$505,"Production cost"))</x:f>
      </x:c>
      <x:c r="K75" s="37" t="str">
        <x:f>IF(A75="","",SUM(I75:J75))</x:f>
      </x:c>
      <x:c r="L75" s="37" t="str">
        <x:f>IF(A75="","",IF(G75&gt;0,K75/G75,"No good units"))</x:f>
      </x:c>
      <x:c r="M75" s="36"/>
      <x:c r="N75" s="40"/>
      <x:c r="O75" s="36"/>
      <x:c r="P75" s="36"/>
    </x:row>
    <x:row r="76" ht="23" customHeight="1">
      <x:c r="A76" s="36"/>
      <x:c r="B76" s="36"/>
      <x:c r="C76" s="40"/>
      <x:c r="D76" s="40"/>
      <x:c r="E76" s="36"/>
      <x:c r="F76" s="41"/>
      <x:c r="G76" s="41"/>
      <x:c r="H76" s="41"/>
      <x:c r="I76" s="37" t="str">
        <x:f>IF(A76="","",SUMIFS('Entries'!$S$6:$S$505,'Entries'!$I$6:$I$505,A76,'Entries'!$Q$6:$Q$505,"Work in progress",'Entries'!$R$6:$R$505,"Materials inventory")-SUMIFS('Entries'!$S$6:$S$505,'Entries'!$I$6:$I$505,A76,'Entries'!$R$6:$R$505,"Work in progress",'Entries'!$Q$6:$Q$505,"Materials inventory"))</x:f>
      </x:c>
      <x:c r="J76" s="37" t="str">
        <x:f>IF(A76="","",SUMIFS('Entries'!$S$6:$S$505,'Entries'!$I$6:$I$505,A76,'Entries'!$C$6:$C$505,"Production cost"))</x:f>
      </x:c>
      <x:c r="K76" s="37" t="str">
        <x:f>IF(A76="","",SUM(I76:J76))</x:f>
      </x:c>
      <x:c r="L76" s="37" t="str">
        <x:f>IF(A76="","",IF(G76&gt;0,K76/G76,"No good units"))</x:f>
      </x:c>
      <x:c r="M76" s="36"/>
      <x:c r="N76" s="40"/>
      <x:c r="O76" s="36"/>
      <x:c r="P76" s="36"/>
    </x:row>
    <x:row r="77" ht="23" customHeight="1">
      <x:c r="A77" s="36"/>
      <x:c r="B77" s="36"/>
      <x:c r="C77" s="40"/>
      <x:c r="D77" s="40"/>
      <x:c r="E77" s="36"/>
      <x:c r="F77" s="41"/>
      <x:c r="G77" s="41"/>
      <x:c r="H77" s="41"/>
      <x:c r="I77" s="37" t="str">
        <x:f>IF(A77="","",SUMIFS('Entries'!$S$6:$S$505,'Entries'!$I$6:$I$505,A77,'Entries'!$Q$6:$Q$505,"Work in progress",'Entries'!$R$6:$R$505,"Materials inventory")-SUMIFS('Entries'!$S$6:$S$505,'Entries'!$I$6:$I$505,A77,'Entries'!$R$6:$R$505,"Work in progress",'Entries'!$Q$6:$Q$505,"Materials inventory"))</x:f>
      </x:c>
      <x:c r="J77" s="37" t="str">
        <x:f>IF(A77="","",SUMIFS('Entries'!$S$6:$S$505,'Entries'!$I$6:$I$505,A77,'Entries'!$C$6:$C$505,"Production cost"))</x:f>
      </x:c>
      <x:c r="K77" s="37" t="str">
        <x:f>IF(A77="","",SUM(I77:J77))</x:f>
      </x:c>
      <x:c r="L77" s="37" t="str">
        <x:f>IF(A77="","",IF(G77&gt;0,K77/G77,"No good units"))</x:f>
      </x:c>
      <x:c r="M77" s="36"/>
      <x:c r="N77" s="40"/>
      <x:c r="O77" s="36"/>
      <x:c r="P77" s="36"/>
    </x:row>
    <x:row r="78" ht="23" customHeight="1">
      <x:c r="A78" s="36"/>
      <x:c r="B78" s="36"/>
      <x:c r="C78" s="40"/>
      <x:c r="D78" s="40"/>
      <x:c r="E78" s="36"/>
      <x:c r="F78" s="41"/>
      <x:c r="G78" s="41"/>
      <x:c r="H78" s="41"/>
      <x:c r="I78" s="37" t="str">
        <x:f>IF(A78="","",SUMIFS('Entries'!$S$6:$S$505,'Entries'!$I$6:$I$505,A78,'Entries'!$Q$6:$Q$505,"Work in progress",'Entries'!$R$6:$R$505,"Materials inventory")-SUMIFS('Entries'!$S$6:$S$505,'Entries'!$I$6:$I$505,A78,'Entries'!$R$6:$R$505,"Work in progress",'Entries'!$Q$6:$Q$505,"Materials inventory"))</x:f>
      </x:c>
      <x:c r="J78" s="37" t="str">
        <x:f>IF(A78="","",SUMIFS('Entries'!$S$6:$S$505,'Entries'!$I$6:$I$505,A78,'Entries'!$C$6:$C$505,"Production cost"))</x:f>
      </x:c>
      <x:c r="K78" s="37" t="str">
        <x:f>IF(A78="","",SUM(I78:J78))</x:f>
      </x:c>
      <x:c r="L78" s="37" t="str">
        <x:f>IF(A78="","",IF(G78&gt;0,K78/G78,"No good units"))</x:f>
      </x:c>
      <x:c r="M78" s="36"/>
      <x:c r="N78" s="40"/>
      <x:c r="O78" s="36"/>
      <x:c r="P78" s="36"/>
    </x:row>
    <x:row r="79" ht="23" customHeight="1">
      <x:c r="A79" s="36"/>
      <x:c r="B79" s="36"/>
      <x:c r="C79" s="40"/>
      <x:c r="D79" s="40"/>
      <x:c r="E79" s="36"/>
      <x:c r="F79" s="41"/>
      <x:c r="G79" s="41"/>
      <x:c r="H79" s="41"/>
      <x:c r="I79" s="37" t="str">
        <x:f>IF(A79="","",SUMIFS('Entries'!$S$6:$S$505,'Entries'!$I$6:$I$505,A79,'Entries'!$Q$6:$Q$505,"Work in progress",'Entries'!$R$6:$R$505,"Materials inventory")-SUMIFS('Entries'!$S$6:$S$505,'Entries'!$I$6:$I$505,A79,'Entries'!$R$6:$R$505,"Work in progress",'Entries'!$Q$6:$Q$505,"Materials inventory"))</x:f>
      </x:c>
      <x:c r="J79" s="37" t="str">
        <x:f>IF(A79="","",SUMIFS('Entries'!$S$6:$S$505,'Entries'!$I$6:$I$505,A79,'Entries'!$C$6:$C$505,"Production cost"))</x:f>
      </x:c>
      <x:c r="K79" s="37" t="str">
        <x:f>IF(A79="","",SUM(I79:J79))</x:f>
      </x:c>
      <x:c r="L79" s="37" t="str">
        <x:f>IF(A79="","",IF(G79&gt;0,K79/G79,"No good units"))</x:f>
      </x:c>
      <x:c r="M79" s="36"/>
      <x:c r="N79" s="40"/>
      <x:c r="O79" s="36"/>
      <x:c r="P79" s="36"/>
    </x:row>
    <x:row r="80" ht="23" customHeight="1">
      <x:c r="A80" s="36"/>
      <x:c r="B80" s="36"/>
      <x:c r="C80" s="40"/>
      <x:c r="D80" s="40"/>
      <x:c r="E80" s="36"/>
      <x:c r="F80" s="41"/>
      <x:c r="G80" s="41"/>
      <x:c r="H80" s="41"/>
      <x:c r="I80" s="37" t="str">
        <x:f>IF(A80="","",SUMIFS('Entries'!$S$6:$S$505,'Entries'!$I$6:$I$505,A80,'Entries'!$Q$6:$Q$505,"Work in progress",'Entries'!$R$6:$R$505,"Materials inventory")-SUMIFS('Entries'!$S$6:$S$505,'Entries'!$I$6:$I$505,A80,'Entries'!$R$6:$R$505,"Work in progress",'Entries'!$Q$6:$Q$505,"Materials inventory"))</x:f>
      </x:c>
      <x:c r="J80" s="37" t="str">
        <x:f>IF(A80="","",SUMIFS('Entries'!$S$6:$S$505,'Entries'!$I$6:$I$505,A80,'Entries'!$C$6:$C$505,"Production cost"))</x:f>
      </x:c>
      <x:c r="K80" s="37" t="str">
        <x:f>IF(A80="","",SUM(I80:J80))</x:f>
      </x:c>
      <x:c r="L80" s="37" t="str">
        <x:f>IF(A80="","",IF(G80&gt;0,K80/G80,"No good units"))</x:f>
      </x:c>
      <x:c r="M80" s="36"/>
      <x:c r="N80" s="40"/>
      <x:c r="O80" s="36"/>
      <x:c r="P80" s="36"/>
    </x:row>
    <x:row r="81" ht="23" customHeight="1">
      <x:c r="A81" s="36"/>
      <x:c r="B81" s="36"/>
      <x:c r="C81" s="40"/>
      <x:c r="D81" s="40"/>
      <x:c r="E81" s="36"/>
      <x:c r="F81" s="41"/>
      <x:c r="G81" s="41"/>
      <x:c r="H81" s="41"/>
      <x:c r="I81" s="37" t="str">
        <x:f>IF(A81="","",SUMIFS('Entries'!$S$6:$S$505,'Entries'!$I$6:$I$505,A81,'Entries'!$Q$6:$Q$505,"Work in progress",'Entries'!$R$6:$R$505,"Materials inventory")-SUMIFS('Entries'!$S$6:$S$505,'Entries'!$I$6:$I$505,A81,'Entries'!$R$6:$R$505,"Work in progress",'Entries'!$Q$6:$Q$505,"Materials inventory"))</x:f>
      </x:c>
      <x:c r="J81" s="37" t="str">
        <x:f>IF(A81="","",SUMIFS('Entries'!$S$6:$S$505,'Entries'!$I$6:$I$505,A81,'Entries'!$C$6:$C$505,"Production cost"))</x:f>
      </x:c>
      <x:c r="K81" s="37" t="str">
        <x:f>IF(A81="","",SUM(I81:J81))</x:f>
      </x:c>
      <x:c r="L81" s="37" t="str">
        <x:f>IF(A81="","",IF(G81&gt;0,K81/G81,"No good units"))</x:f>
      </x:c>
      <x:c r="M81" s="36"/>
      <x:c r="N81" s="40"/>
      <x:c r="O81" s="36"/>
      <x:c r="P81" s="36"/>
    </x:row>
    <x:row r="82" ht="23" customHeight="1">
      <x:c r="A82" s="36"/>
      <x:c r="B82" s="36"/>
      <x:c r="C82" s="40"/>
      <x:c r="D82" s="40"/>
      <x:c r="E82" s="36"/>
      <x:c r="F82" s="41"/>
      <x:c r="G82" s="41"/>
      <x:c r="H82" s="41"/>
      <x:c r="I82" s="37" t="str">
        <x:f>IF(A82="","",SUMIFS('Entries'!$S$6:$S$505,'Entries'!$I$6:$I$505,A82,'Entries'!$Q$6:$Q$505,"Work in progress",'Entries'!$R$6:$R$505,"Materials inventory")-SUMIFS('Entries'!$S$6:$S$505,'Entries'!$I$6:$I$505,A82,'Entries'!$R$6:$R$505,"Work in progress",'Entries'!$Q$6:$Q$505,"Materials inventory"))</x:f>
      </x:c>
      <x:c r="J82" s="37" t="str">
        <x:f>IF(A82="","",SUMIFS('Entries'!$S$6:$S$505,'Entries'!$I$6:$I$505,A82,'Entries'!$C$6:$C$505,"Production cost"))</x:f>
      </x:c>
      <x:c r="K82" s="37" t="str">
        <x:f>IF(A82="","",SUM(I82:J82))</x:f>
      </x:c>
      <x:c r="L82" s="37" t="str">
        <x:f>IF(A82="","",IF(G82&gt;0,K82/G82,"No good units"))</x:f>
      </x:c>
      <x:c r="M82" s="36"/>
      <x:c r="N82" s="40"/>
      <x:c r="O82" s="36"/>
      <x:c r="P82" s="36"/>
    </x:row>
    <x:row r="83" ht="23" customHeight="1">
      <x:c r="A83" s="36"/>
      <x:c r="B83" s="36"/>
      <x:c r="C83" s="40"/>
      <x:c r="D83" s="40"/>
      <x:c r="E83" s="36"/>
      <x:c r="F83" s="41"/>
      <x:c r="G83" s="41"/>
      <x:c r="H83" s="41"/>
      <x:c r="I83" s="37" t="str">
        <x:f>IF(A83="","",SUMIFS('Entries'!$S$6:$S$505,'Entries'!$I$6:$I$505,A83,'Entries'!$Q$6:$Q$505,"Work in progress",'Entries'!$R$6:$R$505,"Materials inventory")-SUMIFS('Entries'!$S$6:$S$505,'Entries'!$I$6:$I$505,A83,'Entries'!$R$6:$R$505,"Work in progress",'Entries'!$Q$6:$Q$505,"Materials inventory"))</x:f>
      </x:c>
      <x:c r="J83" s="37" t="str">
        <x:f>IF(A83="","",SUMIFS('Entries'!$S$6:$S$505,'Entries'!$I$6:$I$505,A83,'Entries'!$C$6:$C$505,"Production cost"))</x:f>
      </x:c>
      <x:c r="K83" s="37" t="str">
        <x:f>IF(A83="","",SUM(I83:J83))</x:f>
      </x:c>
      <x:c r="L83" s="37" t="str">
        <x:f>IF(A83="","",IF(G83&gt;0,K83/G83,"No good units"))</x:f>
      </x:c>
      <x:c r="M83" s="36"/>
      <x:c r="N83" s="40"/>
      <x:c r="O83" s="36"/>
      <x:c r="P83" s="36"/>
    </x:row>
    <x:row r="84" ht="23" customHeight="1">
      <x:c r="A84" s="36"/>
      <x:c r="B84" s="36"/>
      <x:c r="C84" s="40"/>
      <x:c r="D84" s="40"/>
      <x:c r="E84" s="36"/>
      <x:c r="F84" s="41"/>
      <x:c r="G84" s="41"/>
      <x:c r="H84" s="41"/>
      <x:c r="I84" s="37" t="str">
        <x:f>IF(A84="","",SUMIFS('Entries'!$S$6:$S$505,'Entries'!$I$6:$I$505,A84,'Entries'!$Q$6:$Q$505,"Work in progress",'Entries'!$R$6:$R$505,"Materials inventory")-SUMIFS('Entries'!$S$6:$S$505,'Entries'!$I$6:$I$505,A84,'Entries'!$R$6:$R$505,"Work in progress",'Entries'!$Q$6:$Q$505,"Materials inventory"))</x:f>
      </x:c>
      <x:c r="J84" s="37" t="str">
        <x:f>IF(A84="","",SUMIFS('Entries'!$S$6:$S$505,'Entries'!$I$6:$I$505,A84,'Entries'!$C$6:$C$505,"Production cost"))</x:f>
      </x:c>
      <x:c r="K84" s="37" t="str">
        <x:f>IF(A84="","",SUM(I84:J84))</x:f>
      </x:c>
      <x:c r="L84" s="37" t="str">
        <x:f>IF(A84="","",IF(G84&gt;0,K84/G84,"No good units"))</x:f>
      </x:c>
      <x:c r="M84" s="36"/>
      <x:c r="N84" s="40"/>
      <x:c r="O84" s="36"/>
      <x:c r="P84" s="36"/>
    </x:row>
    <x:row r="85" ht="23" customHeight="1">
      <x:c r="A85" s="36"/>
      <x:c r="B85" s="36"/>
      <x:c r="C85" s="40"/>
      <x:c r="D85" s="40"/>
      <x:c r="E85" s="36"/>
      <x:c r="F85" s="41"/>
      <x:c r="G85" s="41"/>
      <x:c r="H85" s="41"/>
      <x:c r="I85" s="37" t="str">
        <x:f>IF(A85="","",SUMIFS('Entries'!$S$6:$S$505,'Entries'!$I$6:$I$505,A85,'Entries'!$Q$6:$Q$505,"Work in progress",'Entries'!$R$6:$R$505,"Materials inventory")-SUMIFS('Entries'!$S$6:$S$505,'Entries'!$I$6:$I$505,A85,'Entries'!$R$6:$R$505,"Work in progress",'Entries'!$Q$6:$Q$505,"Materials inventory"))</x:f>
      </x:c>
      <x:c r="J85" s="37" t="str">
        <x:f>IF(A85="","",SUMIFS('Entries'!$S$6:$S$505,'Entries'!$I$6:$I$505,A85,'Entries'!$C$6:$C$505,"Production cost"))</x:f>
      </x:c>
      <x:c r="K85" s="37" t="str">
        <x:f>IF(A85="","",SUM(I85:J85))</x:f>
      </x:c>
      <x:c r="L85" s="37" t="str">
        <x:f>IF(A85="","",IF(G85&gt;0,K85/G85,"No good units"))</x:f>
      </x:c>
      <x:c r="M85" s="36"/>
      <x:c r="N85" s="40"/>
      <x:c r="O85" s="36"/>
      <x:c r="P85" s="36"/>
    </x:row>
    <x:row r="86" ht="23" customHeight="1">
      <x:c r="A86" s="36"/>
      <x:c r="B86" s="36"/>
      <x:c r="C86" s="40"/>
      <x:c r="D86" s="40"/>
      <x:c r="E86" s="36"/>
      <x:c r="F86" s="41"/>
      <x:c r="G86" s="41"/>
      <x:c r="H86" s="41"/>
      <x:c r="I86" s="37" t="str">
        <x:f>IF(A86="","",SUMIFS('Entries'!$S$6:$S$505,'Entries'!$I$6:$I$505,A86,'Entries'!$Q$6:$Q$505,"Work in progress",'Entries'!$R$6:$R$505,"Materials inventory")-SUMIFS('Entries'!$S$6:$S$505,'Entries'!$I$6:$I$505,A86,'Entries'!$R$6:$R$505,"Work in progress",'Entries'!$Q$6:$Q$505,"Materials inventory"))</x:f>
      </x:c>
      <x:c r="J86" s="37" t="str">
        <x:f>IF(A86="","",SUMIFS('Entries'!$S$6:$S$505,'Entries'!$I$6:$I$505,A86,'Entries'!$C$6:$C$505,"Production cost"))</x:f>
      </x:c>
      <x:c r="K86" s="37" t="str">
        <x:f>IF(A86="","",SUM(I86:J86))</x:f>
      </x:c>
      <x:c r="L86" s="37" t="str">
        <x:f>IF(A86="","",IF(G86&gt;0,K86/G86,"No good units"))</x:f>
      </x:c>
      <x:c r="M86" s="36"/>
      <x:c r="N86" s="40"/>
      <x:c r="O86" s="36"/>
      <x:c r="P86" s="36"/>
    </x:row>
    <x:row r="87" ht="23" customHeight="1">
      <x:c r="A87" s="36"/>
      <x:c r="B87" s="36"/>
      <x:c r="C87" s="40"/>
      <x:c r="D87" s="40"/>
      <x:c r="E87" s="36"/>
      <x:c r="F87" s="41"/>
      <x:c r="G87" s="41"/>
      <x:c r="H87" s="41"/>
      <x:c r="I87" s="37" t="str">
        <x:f>IF(A87="","",SUMIFS('Entries'!$S$6:$S$505,'Entries'!$I$6:$I$505,A87,'Entries'!$Q$6:$Q$505,"Work in progress",'Entries'!$R$6:$R$505,"Materials inventory")-SUMIFS('Entries'!$S$6:$S$505,'Entries'!$I$6:$I$505,A87,'Entries'!$R$6:$R$505,"Work in progress",'Entries'!$Q$6:$Q$505,"Materials inventory"))</x:f>
      </x:c>
      <x:c r="J87" s="37" t="str">
        <x:f>IF(A87="","",SUMIFS('Entries'!$S$6:$S$505,'Entries'!$I$6:$I$505,A87,'Entries'!$C$6:$C$505,"Production cost"))</x:f>
      </x:c>
      <x:c r="K87" s="37" t="str">
        <x:f>IF(A87="","",SUM(I87:J87))</x:f>
      </x:c>
      <x:c r="L87" s="37" t="str">
        <x:f>IF(A87="","",IF(G87&gt;0,K87/G87,"No good units"))</x:f>
      </x:c>
      <x:c r="M87" s="36"/>
      <x:c r="N87" s="40"/>
      <x:c r="O87" s="36"/>
      <x:c r="P87" s="36"/>
    </x:row>
    <x:row r="88" ht="23" customHeight="1">
      <x:c r="A88" s="36"/>
      <x:c r="B88" s="36"/>
      <x:c r="C88" s="40"/>
      <x:c r="D88" s="40"/>
      <x:c r="E88" s="36"/>
      <x:c r="F88" s="41"/>
      <x:c r="G88" s="41"/>
      <x:c r="H88" s="41"/>
      <x:c r="I88" s="37" t="str">
        <x:f>IF(A88="","",SUMIFS('Entries'!$S$6:$S$505,'Entries'!$I$6:$I$505,A88,'Entries'!$Q$6:$Q$505,"Work in progress",'Entries'!$R$6:$R$505,"Materials inventory")-SUMIFS('Entries'!$S$6:$S$505,'Entries'!$I$6:$I$505,A88,'Entries'!$R$6:$R$505,"Work in progress",'Entries'!$Q$6:$Q$505,"Materials inventory"))</x:f>
      </x:c>
      <x:c r="J88" s="37" t="str">
        <x:f>IF(A88="","",SUMIFS('Entries'!$S$6:$S$505,'Entries'!$I$6:$I$505,A88,'Entries'!$C$6:$C$505,"Production cost"))</x:f>
      </x:c>
      <x:c r="K88" s="37" t="str">
        <x:f>IF(A88="","",SUM(I88:J88))</x:f>
      </x:c>
      <x:c r="L88" s="37" t="str">
        <x:f>IF(A88="","",IF(G88&gt;0,K88/G88,"No good units"))</x:f>
      </x:c>
      <x:c r="M88" s="36"/>
      <x:c r="N88" s="40"/>
      <x:c r="O88" s="36"/>
      <x:c r="P88" s="36"/>
    </x:row>
    <x:row r="89" ht="23" customHeight="1">
      <x:c r="A89" s="36"/>
      <x:c r="B89" s="36"/>
      <x:c r="C89" s="40"/>
      <x:c r="D89" s="40"/>
      <x:c r="E89" s="36"/>
      <x:c r="F89" s="41"/>
      <x:c r="G89" s="41"/>
      <x:c r="H89" s="41"/>
      <x:c r="I89" s="37" t="str">
        <x:f>IF(A89="","",SUMIFS('Entries'!$S$6:$S$505,'Entries'!$I$6:$I$505,A89,'Entries'!$Q$6:$Q$505,"Work in progress",'Entries'!$R$6:$R$505,"Materials inventory")-SUMIFS('Entries'!$S$6:$S$505,'Entries'!$I$6:$I$505,A89,'Entries'!$R$6:$R$505,"Work in progress",'Entries'!$Q$6:$Q$505,"Materials inventory"))</x:f>
      </x:c>
      <x:c r="J89" s="37" t="str">
        <x:f>IF(A89="","",SUMIFS('Entries'!$S$6:$S$505,'Entries'!$I$6:$I$505,A89,'Entries'!$C$6:$C$505,"Production cost"))</x:f>
      </x:c>
      <x:c r="K89" s="37" t="str">
        <x:f>IF(A89="","",SUM(I89:J89))</x:f>
      </x:c>
      <x:c r="L89" s="37" t="str">
        <x:f>IF(A89="","",IF(G89&gt;0,K89/G89,"No good units"))</x:f>
      </x:c>
      <x:c r="M89" s="36"/>
      <x:c r="N89" s="40"/>
      <x:c r="O89" s="36"/>
      <x:c r="P89" s="36"/>
    </x:row>
    <x:row r="90" ht="23" customHeight="1">
      <x:c r="A90" s="36"/>
      <x:c r="B90" s="36"/>
      <x:c r="C90" s="40"/>
      <x:c r="D90" s="40"/>
      <x:c r="E90" s="36"/>
      <x:c r="F90" s="41"/>
      <x:c r="G90" s="41"/>
      <x:c r="H90" s="41"/>
      <x:c r="I90" s="37" t="str">
        <x:f>IF(A90="","",SUMIFS('Entries'!$S$6:$S$505,'Entries'!$I$6:$I$505,A90,'Entries'!$Q$6:$Q$505,"Work in progress",'Entries'!$R$6:$R$505,"Materials inventory")-SUMIFS('Entries'!$S$6:$S$505,'Entries'!$I$6:$I$505,A90,'Entries'!$R$6:$R$505,"Work in progress",'Entries'!$Q$6:$Q$505,"Materials inventory"))</x:f>
      </x:c>
      <x:c r="J90" s="37" t="str">
        <x:f>IF(A90="","",SUMIFS('Entries'!$S$6:$S$505,'Entries'!$I$6:$I$505,A90,'Entries'!$C$6:$C$505,"Production cost"))</x:f>
      </x:c>
      <x:c r="K90" s="37" t="str">
        <x:f>IF(A90="","",SUM(I90:J90))</x:f>
      </x:c>
      <x:c r="L90" s="37" t="str">
        <x:f>IF(A90="","",IF(G90&gt;0,K90/G90,"No good units"))</x:f>
      </x:c>
      <x:c r="M90" s="36"/>
      <x:c r="N90" s="40"/>
      <x:c r="O90" s="36"/>
      <x:c r="P90" s="36"/>
    </x:row>
    <x:row r="91" ht="23" customHeight="1">
      <x:c r="A91" s="36"/>
      <x:c r="B91" s="36"/>
      <x:c r="C91" s="40"/>
      <x:c r="D91" s="40"/>
      <x:c r="E91" s="36"/>
      <x:c r="F91" s="41"/>
      <x:c r="G91" s="41"/>
      <x:c r="H91" s="41"/>
      <x:c r="I91" s="37" t="str">
        <x:f>IF(A91="","",SUMIFS('Entries'!$S$6:$S$505,'Entries'!$I$6:$I$505,A91,'Entries'!$Q$6:$Q$505,"Work in progress",'Entries'!$R$6:$R$505,"Materials inventory")-SUMIFS('Entries'!$S$6:$S$505,'Entries'!$I$6:$I$505,A91,'Entries'!$R$6:$R$505,"Work in progress",'Entries'!$Q$6:$Q$505,"Materials inventory"))</x:f>
      </x:c>
      <x:c r="J91" s="37" t="str">
        <x:f>IF(A91="","",SUMIFS('Entries'!$S$6:$S$505,'Entries'!$I$6:$I$505,A91,'Entries'!$C$6:$C$505,"Production cost"))</x:f>
      </x:c>
      <x:c r="K91" s="37" t="str">
        <x:f>IF(A91="","",SUM(I91:J91))</x:f>
      </x:c>
      <x:c r="L91" s="37" t="str">
        <x:f>IF(A91="","",IF(G91&gt;0,K91/G91,"No good units"))</x:f>
      </x:c>
      <x:c r="M91" s="36"/>
      <x:c r="N91" s="40"/>
      <x:c r="O91" s="36"/>
      <x:c r="P91" s="36"/>
    </x:row>
    <x:row r="92" ht="23" customHeight="1">
      <x:c r="A92" s="36"/>
      <x:c r="B92" s="36"/>
      <x:c r="C92" s="40"/>
      <x:c r="D92" s="40"/>
      <x:c r="E92" s="36"/>
      <x:c r="F92" s="41"/>
      <x:c r="G92" s="41"/>
      <x:c r="H92" s="41"/>
      <x:c r="I92" s="37" t="str">
        <x:f>IF(A92="","",SUMIFS('Entries'!$S$6:$S$505,'Entries'!$I$6:$I$505,A92,'Entries'!$Q$6:$Q$505,"Work in progress",'Entries'!$R$6:$R$505,"Materials inventory")-SUMIFS('Entries'!$S$6:$S$505,'Entries'!$I$6:$I$505,A92,'Entries'!$R$6:$R$505,"Work in progress",'Entries'!$Q$6:$Q$505,"Materials inventory"))</x:f>
      </x:c>
      <x:c r="J92" s="37" t="str">
        <x:f>IF(A92="","",SUMIFS('Entries'!$S$6:$S$505,'Entries'!$I$6:$I$505,A92,'Entries'!$C$6:$C$505,"Production cost"))</x:f>
      </x:c>
      <x:c r="K92" s="37" t="str">
        <x:f>IF(A92="","",SUM(I92:J92))</x:f>
      </x:c>
      <x:c r="L92" s="37" t="str">
        <x:f>IF(A92="","",IF(G92&gt;0,K92/G92,"No good units"))</x:f>
      </x:c>
      <x:c r="M92" s="36"/>
      <x:c r="N92" s="40"/>
      <x:c r="O92" s="36"/>
      <x:c r="P92" s="36"/>
    </x:row>
    <x:row r="93" ht="23" customHeight="1">
      <x:c r="A93" s="36"/>
      <x:c r="B93" s="36"/>
      <x:c r="C93" s="40"/>
      <x:c r="D93" s="40"/>
      <x:c r="E93" s="36"/>
      <x:c r="F93" s="41"/>
      <x:c r="G93" s="41"/>
      <x:c r="H93" s="41"/>
      <x:c r="I93" s="37" t="str">
        <x:f>IF(A93="","",SUMIFS('Entries'!$S$6:$S$505,'Entries'!$I$6:$I$505,A93,'Entries'!$Q$6:$Q$505,"Work in progress",'Entries'!$R$6:$R$505,"Materials inventory")-SUMIFS('Entries'!$S$6:$S$505,'Entries'!$I$6:$I$505,A93,'Entries'!$R$6:$R$505,"Work in progress",'Entries'!$Q$6:$Q$505,"Materials inventory"))</x:f>
      </x:c>
      <x:c r="J93" s="37" t="str">
        <x:f>IF(A93="","",SUMIFS('Entries'!$S$6:$S$505,'Entries'!$I$6:$I$505,A93,'Entries'!$C$6:$C$505,"Production cost"))</x:f>
      </x:c>
      <x:c r="K93" s="37" t="str">
        <x:f>IF(A93="","",SUM(I93:J93))</x:f>
      </x:c>
      <x:c r="L93" s="37" t="str">
        <x:f>IF(A93="","",IF(G93&gt;0,K93/G93,"No good units"))</x:f>
      </x:c>
      <x:c r="M93" s="36"/>
      <x:c r="N93" s="40"/>
      <x:c r="O93" s="36"/>
      <x:c r="P93" s="36"/>
    </x:row>
    <x:row r="94" ht="23" customHeight="1">
      <x:c r="A94" s="36"/>
      <x:c r="B94" s="36"/>
      <x:c r="C94" s="40"/>
      <x:c r="D94" s="40"/>
      <x:c r="E94" s="36"/>
      <x:c r="F94" s="41"/>
      <x:c r="G94" s="41"/>
      <x:c r="H94" s="41"/>
      <x:c r="I94" s="37" t="str">
        <x:f>IF(A94="","",SUMIFS('Entries'!$S$6:$S$505,'Entries'!$I$6:$I$505,A94,'Entries'!$Q$6:$Q$505,"Work in progress",'Entries'!$R$6:$R$505,"Materials inventory")-SUMIFS('Entries'!$S$6:$S$505,'Entries'!$I$6:$I$505,A94,'Entries'!$R$6:$R$505,"Work in progress",'Entries'!$Q$6:$Q$505,"Materials inventory"))</x:f>
      </x:c>
      <x:c r="J94" s="37" t="str">
        <x:f>IF(A94="","",SUMIFS('Entries'!$S$6:$S$505,'Entries'!$I$6:$I$505,A94,'Entries'!$C$6:$C$505,"Production cost"))</x:f>
      </x:c>
      <x:c r="K94" s="37" t="str">
        <x:f>IF(A94="","",SUM(I94:J94))</x:f>
      </x:c>
      <x:c r="L94" s="37" t="str">
        <x:f>IF(A94="","",IF(G94&gt;0,K94/G94,"No good units"))</x:f>
      </x:c>
      <x:c r="M94" s="36"/>
      <x:c r="N94" s="40"/>
      <x:c r="O94" s="36"/>
      <x:c r="P94" s="36"/>
    </x:row>
    <x:row r="95" ht="23" customHeight="1">
      <x:c r="A95" s="36"/>
      <x:c r="B95" s="36"/>
      <x:c r="C95" s="40"/>
      <x:c r="D95" s="40"/>
      <x:c r="E95" s="36"/>
      <x:c r="F95" s="41"/>
      <x:c r="G95" s="41"/>
      <x:c r="H95" s="41"/>
      <x:c r="I95" s="37" t="str">
        <x:f>IF(A95="","",SUMIFS('Entries'!$S$6:$S$505,'Entries'!$I$6:$I$505,A95,'Entries'!$Q$6:$Q$505,"Work in progress",'Entries'!$R$6:$R$505,"Materials inventory")-SUMIFS('Entries'!$S$6:$S$505,'Entries'!$I$6:$I$505,A95,'Entries'!$R$6:$R$505,"Work in progress",'Entries'!$Q$6:$Q$505,"Materials inventory"))</x:f>
      </x:c>
      <x:c r="J95" s="37" t="str">
        <x:f>IF(A95="","",SUMIFS('Entries'!$S$6:$S$505,'Entries'!$I$6:$I$505,A95,'Entries'!$C$6:$C$505,"Production cost"))</x:f>
      </x:c>
      <x:c r="K95" s="37" t="str">
        <x:f>IF(A95="","",SUM(I95:J95))</x:f>
      </x:c>
      <x:c r="L95" s="37" t="str">
        <x:f>IF(A95="","",IF(G95&gt;0,K95/G95,"No good units"))</x:f>
      </x:c>
      <x:c r="M95" s="36"/>
      <x:c r="N95" s="40"/>
      <x:c r="O95" s="36"/>
      <x:c r="P95" s="36"/>
    </x:row>
    <x:row r="96" ht="23" customHeight="1">
      <x:c r="A96" s="36"/>
      <x:c r="B96" s="36"/>
      <x:c r="C96" s="40"/>
      <x:c r="D96" s="40"/>
      <x:c r="E96" s="36"/>
      <x:c r="F96" s="41"/>
      <x:c r="G96" s="41"/>
      <x:c r="H96" s="41"/>
      <x:c r="I96" s="37" t="str">
        <x:f>IF(A96="","",SUMIFS('Entries'!$S$6:$S$505,'Entries'!$I$6:$I$505,A96,'Entries'!$Q$6:$Q$505,"Work in progress",'Entries'!$R$6:$R$505,"Materials inventory")-SUMIFS('Entries'!$S$6:$S$505,'Entries'!$I$6:$I$505,A96,'Entries'!$R$6:$R$505,"Work in progress",'Entries'!$Q$6:$Q$505,"Materials inventory"))</x:f>
      </x:c>
      <x:c r="J96" s="37" t="str">
        <x:f>IF(A96="","",SUMIFS('Entries'!$S$6:$S$505,'Entries'!$I$6:$I$505,A96,'Entries'!$C$6:$C$505,"Production cost"))</x:f>
      </x:c>
      <x:c r="K96" s="37" t="str">
        <x:f>IF(A96="","",SUM(I96:J96))</x:f>
      </x:c>
      <x:c r="L96" s="37" t="str">
        <x:f>IF(A96="","",IF(G96&gt;0,K96/G96,"No good units"))</x:f>
      </x:c>
      <x:c r="M96" s="36"/>
      <x:c r="N96" s="40"/>
      <x:c r="O96" s="36"/>
      <x:c r="P96" s="36"/>
    </x:row>
    <x:row r="97" ht="23" customHeight="1">
      <x:c r="A97" s="36"/>
      <x:c r="B97" s="36"/>
      <x:c r="C97" s="40"/>
      <x:c r="D97" s="40"/>
      <x:c r="E97" s="36"/>
      <x:c r="F97" s="41"/>
      <x:c r="G97" s="41"/>
      <x:c r="H97" s="41"/>
      <x:c r="I97" s="37" t="str">
        <x:f>IF(A97="","",SUMIFS('Entries'!$S$6:$S$505,'Entries'!$I$6:$I$505,A97,'Entries'!$Q$6:$Q$505,"Work in progress",'Entries'!$R$6:$R$505,"Materials inventory")-SUMIFS('Entries'!$S$6:$S$505,'Entries'!$I$6:$I$505,A97,'Entries'!$R$6:$R$505,"Work in progress",'Entries'!$Q$6:$Q$505,"Materials inventory"))</x:f>
      </x:c>
      <x:c r="J97" s="37" t="str">
        <x:f>IF(A97="","",SUMIFS('Entries'!$S$6:$S$505,'Entries'!$I$6:$I$505,A97,'Entries'!$C$6:$C$505,"Production cost"))</x:f>
      </x:c>
      <x:c r="K97" s="37" t="str">
        <x:f>IF(A97="","",SUM(I97:J97))</x:f>
      </x:c>
      <x:c r="L97" s="37" t="str">
        <x:f>IF(A97="","",IF(G97&gt;0,K97/G97,"No good units"))</x:f>
      </x:c>
      <x:c r="M97" s="36"/>
      <x:c r="N97" s="40"/>
      <x:c r="O97" s="36"/>
      <x:c r="P97" s="36"/>
    </x:row>
    <x:row r="98" ht="23" customHeight="1">
      <x:c r="A98" s="36"/>
      <x:c r="B98" s="36"/>
      <x:c r="C98" s="40"/>
      <x:c r="D98" s="40"/>
      <x:c r="E98" s="36"/>
      <x:c r="F98" s="41"/>
      <x:c r="G98" s="41"/>
      <x:c r="H98" s="41"/>
      <x:c r="I98" s="37" t="str">
        <x:f>IF(A98="","",SUMIFS('Entries'!$S$6:$S$505,'Entries'!$I$6:$I$505,A98,'Entries'!$Q$6:$Q$505,"Work in progress",'Entries'!$R$6:$R$505,"Materials inventory")-SUMIFS('Entries'!$S$6:$S$505,'Entries'!$I$6:$I$505,A98,'Entries'!$R$6:$R$505,"Work in progress",'Entries'!$Q$6:$Q$505,"Materials inventory"))</x:f>
      </x:c>
      <x:c r="J98" s="37" t="str">
        <x:f>IF(A98="","",SUMIFS('Entries'!$S$6:$S$505,'Entries'!$I$6:$I$505,A98,'Entries'!$C$6:$C$505,"Production cost"))</x:f>
      </x:c>
      <x:c r="K98" s="37" t="str">
        <x:f>IF(A98="","",SUM(I98:J98))</x:f>
      </x:c>
      <x:c r="L98" s="37" t="str">
        <x:f>IF(A98="","",IF(G98&gt;0,K98/G98,"No good units"))</x:f>
      </x:c>
      <x:c r="M98" s="36"/>
      <x:c r="N98" s="40"/>
      <x:c r="O98" s="36"/>
      <x:c r="P98" s="36"/>
    </x:row>
    <x:row r="99" ht="23" customHeight="1">
      <x:c r="A99" s="36"/>
      <x:c r="B99" s="36"/>
      <x:c r="C99" s="40"/>
      <x:c r="D99" s="40"/>
      <x:c r="E99" s="36"/>
      <x:c r="F99" s="41"/>
      <x:c r="G99" s="41"/>
      <x:c r="H99" s="41"/>
      <x:c r="I99" s="37" t="str">
        <x:f>IF(A99="","",SUMIFS('Entries'!$S$6:$S$505,'Entries'!$I$6:$I$505,A99,'Entries'!$Q$6:$Q$505,"Work in progress",'Entries'!$R$6:$R$505,"Materials inventory")-SUMIFS('Entries'!$S$6:$S$505,'Entries'!$I$6:$I$505,A99,'Entries'!$R$6:$R$505,"Work in progress",'Entries'!$Q$6:$Q$505,"Materials inventory"))</x:f>
      </x:c>
      <x:c r="J99" s="37" t="str">
        <x:f>IF(A99="","",SUMIFS('Entries'!$S$6:$S$505,'Entries'!$I$6:$I$505,A99,'Entries'!$C$6:$C$505,"Production cost"))</x:f>
      </x:c>
      <x:c r="K99" s="37" t="str">
        <x:f>IF(A99="","",SUM(I99:J99))</x:f>
      </x:c>
      <x:c r="L99" s="37" t="str">
        <x:f>IF(A99="","",IF(G99&gt;0,K99/G99,"No good units"))</x:f>
      </x:c>
      <x:c r="M99" s="36"/>
      <x:c r="N99" s="40"/>
      <x:c r="O99" s="36"/>
      <x:c r="P99" s="36"/>
    </x:row>
    <x:row r="100" ht="23" customHeight="1">
      <x:c r="A100" s="36"/>
      <x:c r="B100" s="36"/>
      <x:c r="C100" s="40"/>
      <x:c r="D100" s="40"/>
      <x:c r="E100" s="36"/>
      <x:c r="F100" s="41"/>
      <x:c r="G100" s="41"/>
      <x:c r="H100" s="41"/>
      <x:c r="I100" s="37" t="str">
        <x:f>IF(A100="","",SUMIFS('Entries'!$S$6:$S$505,'Entries'!$I$6:$I$505,A100,'Entries'!$Q$6:$Q$505,"Work in progress",'Entries'!$R$6:$R$505,"Materials inventory")-SUMIFS('Entries'!$S$6:$S$505,'Entries'!$I$6:$I$505,A100,'Entries'!$R$6:$R$505,"Work in progress",'Entries'!$Q$6:$Q$505,"Materials inventory"))</x:f>
      </x:c>
      <x:c r="J100" s="37" t="str">
        <x:f>IF(A100="","",SUMIFS('Entries'!$S$6:$S$505,'Entries'!$I$6:$I$505,A100,'Entries'!$C$6:$C$505,"Production cost"))</x:f>
      </x:c>
      <x:c r="K100" s="37" t="str">
        <x:f>IF(A100="","",SUM(I100:J100))</x:f>
      </x:c>
      <x:c r="L100" s="37" t="str">
        <x:f>IF(A100="","",IF(G100&gt;0,K100/G100,"No good units"))</x:f>
      </x:c>
      <x:c r="M100" s="36"/>
      <x:c r="N100" s="40"/>
      <x:c r="O100" s="36"/>
      <x:c r="P100" s="36"/>
    </x:row>
    <x:row r="101" ht="23" customHeight="1">
      <x:c r="A101" s="36"/>
      <x:c r="B101" s="36"/>
      <x:c r="C101" s="40"/>
      <x:c r="D101" s="40"/>
      <x:c r="E101" s="36"/>
      <x:c r="F101" s="41"/>
      <x:c r="G101" s="41"/>
      <x:c r="H101" s="41"/>
      <x:c r="I101" s="37" t="str">
        <x:f>IF(A101="","",SUMIFS('Entries'!$S$6:$S$505,'Entries'!$I$6:$I$505,A101,'Entries'!$Q$6:$Q$505,"Work in progress",'Entries'!$R$6:$R$505,"Materials inventory")-SUMIFS('Entries'!$S$6:$S$505,'Entries'!$I$6:$I$505,A101,'Entries'!$R$6:$R$505,"Work in progress",'Entries'!$Q$6:$Q$505,"Materials inventory"))</x:f>
      </x:c>
      <x:c r="J101" s="37" t="str">
        <x:f>IF(A101="","",SUMIFS('Entries'!$S$6:$S$505,'Entries'!$I$6:$I$505,A101,'Entries'!$C$6:$C$505,"Production cost"))</x:f>
      </x:c>
      <x:c r="K101" s="37" t="str">
        <x:f>IF(A101="","",SUM(I101:J101))</x:f>
      </x:c>
      <x:c r="L101" s="37" t="str">
        <x:f>IF(A101="","",IF(G101&gt;0,K101/G101,"No good units"))</x:f>
      </x:c>
      <x:c r="M101" s="36"/>
      <x:c r="N101" s="40"/>
      <x:c r="O101" s="36"/>
      <x:c r="P101" s="36"/>
    </x:row>
    <x:row r="102" ht="23" customHeight="1">
      <x:c r="A102" s="36"/>
      <x:c r="B102" s="36"/>
      <x:c r="C102" s="40"/>
      <x:c r="D102" s="40"/>
      <x:c r="E102" s="36"/>
      <x:c r="F102" s="41"/>
      <x:c r="G102" s="41"/>
      <x:c r="H102" s="41"/>
      <x:c r="I102" s="37" t="str">
        <x:f>IF(A102="","",SUMIFS('Entries'!$S$6:$S$505,'Entries'!$I$6:$I$505,A102,'Entries'!$Q$6:$Q$505,"Work in progress",'Entries'!$R$6:$R$505,"Materials inventory")-SUMIFS('Entries'!$S$6:$S$505,'Entries'!$I$6:$I$505,A102,'Entries'!$R$6:$R$505,"Work in progress",'Entries'!$Q$6:$Q$505,"Materials inventory"))</x:f>
      </x:c>
      <x:c r="J102" s="37" t="str">
        <x:f>IF(A102="","",SUMIFS('Entries'!$S$6:$S$505,'Entries'!$I$6:$I$505,A102,'Entries'!$C$6:$C$505,"Production cost"))</x:f>
      </x:c>
      <x:c r="K102" s="37" t="str">
        <x:f>IF(A102="","",SUM(I102:J102))</x:f>
      </x:c>
      <x:c r="L102" s="37" t="str">
        <x:f>IF(A102="","",IF(G102&gt;0,K102/G102,"No good units"))</x:f>
      </x:c>
      <x:c r="M102" s="36"/>
      <x:c r="N102" s="40"/>
      <x:c r="O102" s="36"/>
      <x:c r="P102" s="36"/>
    </x:row>
    <x:row r="103" ht="23" customHeight="1">
      <x:c r="A103" s="36"/>
      <x:c r="B103" s="36"/>
      <x:c r="C103" s="40"/>
      <x:c r="D103" s="40"/>
      <x:c r="E103" s="36"/>
      <x:c r="F103" s="41"/>
      <x:c r="G103" s="41"/>
      <x:c r="H103" s="41"/>
      <x:c r="I103" s="37" t="str">
        <x:f>IF(A103="","",SUMIFS('Entries'!$S$6:$S$505,'Entries'!$I$6:$I$505,A103,'Entries'!$Q$6:$Q$505,"Work in progress",'Entries'!$R$6:$R$505,"Materials inventory")-SUMIFS('Entries'!$S$6:$S$505,'Entries'!$I$6:$I$505,A103,'Entries'!$R$6:$R$505,"Work in progress",'Entries'!$Q$6:$Q$505,"Materials inventory"))</x:f>
      </x:c>
      <x:c r="J103" s="37" t="str">
        <x:f>IF(A103="","",SUMIFS('Entries'!$S$6:$S$505,'Entries'!$I$6:$I$505,A103,'Entries'!$C$6:$C$505,"Production cost"))</x:f>
      </x:c>
      <x:c r="K103" s="37" t="str">
        <x:f>IF(A103="","",SUM(I103:J103))</x:f>
      </x:c>
      <x:c r="L103" s="37" t="str">
        <x:f>IF(A103="","",IF(G103&gt;0,K103/G103,"No good units"))</x:f>
      </x:c>
      <x:c r="M103" s="36"/>
      <x:c r="N103" s="40"/>
      <x:c r="O103" s="36"/>
      <x:c r="P103" s="36"/>
    </x:row>
    <x:row r="104" ht="23" customHeight="1">
      <x:c r="A104" s="36"/>
      <x:c r="B104" s="36"/>
      <x:c r="C104" s="40"/>
      <x:c r="D104" s="40"/>
      <x:c r="E104" s="36"/>
      <x:c r="F104" s="41"/>
      <x:c r="G104" s="41"/>
      <x:c r="H104" s="41"/>
      <x:c r="I104" s="37" t="str">
        <x:f>IF(A104="","",SUMIFS('Entries'!$S$6:$S$505,'Entries'!$I$6:$I$505,A104,'Entries'!$Q$6:$Q$505,"Work in progress",'Entries'!$R$6:$R$505,"Materials inventory")-SUMIFS('Entries'!$S$6:$S$505,'Entries'!$I$6:$I$505,A104,'Entries'!$R$6:$R$505,"Work in progress",'Entries'!$Q$6:$Q$505,"Materials inventory"))</x:f>
      </x:c>
      <x:c r="J104" s="37" t="str">
        <x:f>IF(A104="","",SUMIFS('Entries'!$S$6:$S$505,'Entries'!$I$6:$I$505,A104,'Entries'!$C$6:$C$505,"Production cost"))</x:f>
      </x:c>
      <x:c r="K104" s="37" t="str">
        <x:f>IF(A104="","",SUM(I104:J104))</x:f>
      </x:c>
      <x:c r="L104" s="37" t="str">
        <x:f>IF(A104="","",IF(G104&gt;0,K104/G104,"No good units"))</x:f>
      </x:c>
      <x:c r="M104" s="36"/>
      <x:c r="N104" s="40"/>
      <x:c r="O104" s="36"/>
      <x:c r="P104" s="36"/>
    </x:row>
    <x:row r="105" ht="23" customHeight="1">
      <x:c r="A105" s="36"/>
      <x:c r="B105" s="36"/>
      <x:c r="C105" s="40"/>
      <x:c r="D105" s="40"/>
      <x:c r="E105" s="36"/>
      <x:c r="F105" s="41"/>
      <x:c r="G105" s="41"/>
      <x:c r="H105" s="41"/>
      <x:c r="I105" s="37" t="str">
        <x:f>IF(A105="","",SUMIFS('Entries'!$S$6:$S$505,'Entries'!$I$6:$I$505,A105,'Entries'!$Q$6:$Q$505,"Work in progress",'Entries'!$R$6:$R$505,"Materials inventory")-SUMIFS('Entries'!$S$6:$S$505,'Entries'!$I$6:$I$505,A105,'Entries'!$R$6:$R$505,"Work in progress",'Entries'!$Q$6:$Q$505,"Materials inventory"))</x:f>
      </x:c>
      <x:c r="J105" s="37" t="str">
        <x:f>IF(A105="","",SUMIFS('Entries'!$S$6:$S$505,'Entries'!$I$6:$I$505,A105,'Entries'!$C$6:$C$505,"Production cost"))</x:f>
      </x:c>
      <x:c r="K105" s="37" t="str">
        <x:f>IF(A105="","",SUM(I105:J105))</x:f>
      </x:c>
      <x:c r="L105" s="37" t="str">
        <x:f>IF(A105="","",IF(G105&gt;0,K105/G105,"No good units"))</x:f>
      </x:c>
      <x:c r="M105" s="36"/>
      <x:c r="N105" s="40"/>
      <x:c r="O105" s="36"/>
      <x:c r="P105" s="36"/>
    </x:row>
  </x:sheetData>
  <x:dataValidations count="1">
    <x:dataValidation type="list" sqref="M6:M105">
      <x:formula1>"Planned,In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d71037eddc471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</x:row>
    <x:row r="2" ht="23" customHeight="1">
      <x:c r="A2" s="32" t="str">
        <x:v>AFK THEORY / Sales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</x:row>
    <x:row r="5" ht="34" customHeight="1">
      <x:c r="A5" s="38" t="str">
        <x:v>Sales line ID</x:v>
      </x:c>
      <x:c r="B5" s="38" t="str">
        <x:v>Order ID</x:v>
      </x:c>
      <x:c r="C5" s="38" t="str">
        <x:v>Date</x:v>
      </x:c>
      <x:c r="D5" s="38" t="str">
        <x:v>Customer contact ID</x:v>
      </x:c>
      <x:c r="E5" s="38" t="str">
        <x:v>Channel</x:v>
      </x:c>
      <x:c r="F5" s="38" t="str">
        <x:v>Type</x:v>
      </x:c>
      <x:c r="G5" s="38" t="str">
        <x:v>Lot ID</x:v>
      </x:c>
      <x:c r="H5" s="38" t="str">
        <x:v>Units</x:v>
      </x:c>
      <x:c r="I5" s="38" t="str">
        <x:v>Unit selling price</x:v>
      </x:c>
      <x:c r="J5" s="38" t="str">
        <x:v>Line discount BDT</x:v>
      </x:c>
      <x:c r="K5" s="38" t="str">
        <x:v>Delivery charged BDT</x:v>
      </x:c>
      <x:c r="L5" s="38" t="str">
        <x:v>Status</x:v>
      </x:c>
      <x:c r="M5" s="38" t="str">
        <x:v>Item ID</x:v>
      </x:c>
      <x:c r="N5" s="38" t="str">
        <x:v>Net garment revenue</x:v>
      </x:c>
      <x:c r="O5" s="38" t="str">
        <x:v>Signed delivery</x:v>
      </x:c>
      <x:c r="P5" s="38" t="str">
        <x:v>Total billed</x:v>
      </x:c>
      <x:c r="Q5" s="38" t="str">
        <x:v>Unit cost</x:v>
      </x:c>
      <x:c r="R5" s="38" t="str">
        <x:v>Signed COGS</x:v>
      </x:c>
      <x:c r="S5" s="38" t="str">
        <x:v>Gross profit</x:v>
      </x:c>
      <x:c r="T5" s="38" t="str">
        <x:v>Check</x:v>
      </x:c>
    </x:row>
    <x:row r="6" ht="23" customHeight="1">
      <x:c r="A6" s="36"/>
      <x:c r="B6" s="36"/>
      <x:c r="C6" s="40"/>
      <x:c r="D6" s="36"/>
      <x:c r="E6" s="36"/>
      <x:c r="F6" s="36"/>
      <x:c r="G6" s="36"/>
      <x:c r="H6" s="41"/>
      <x:c r="I6" s="41"/>
      <x:c r="J6" s="41"/>
      <x:c r="K6" s="41"/>
      <x:c r="L6" s="36"/>
      <x:c r="M6" s="42" t="str">
        <x:f>IF(A6="","",IF(COUNTIFS('Lots'!$A$6:$A$105,G6)=1,VLOOKUP(G6,'Lots'!$A$6:$B$105,2,FALSE),"Unknown lot"))</x:f>
      </x:c>
      <x:c r="N6" s="37" t="str">
        <x:f>IF(A6="","",IF(F6="Return",-1,1)*(H6*I6-J6))</x:f>
      </x:c>
      <x:c r="O6" s="37" t="str">
        <x:f>IF(A6="","",IF(F6="Return",-K6,K6))</x:f>
      </x:c>
      <x:c r="P6" s="37" t="str">
        <x:f>IF(A6="","",N6+O6)</x:f>
      </x:c>
      <x:c r="Q6" s="37" t="str">
        <x:f>IF(A6="","",IF(COUNTIFS('Lots'!$A$6:$A$105,G6)=1,VLOOKUP(G6,'Lots'!$A$6:$J$105,10,FALSE),"Unknown lot"))</x:f>
      </x:c>
      <x:c r="R6" s="37" t="str">
        <x:f>IF(A6="","",IF(ISNUMBER(Q6),IF(F6="Return",-1,1)*H6*Q6,"Cost missing"))</x:f>
      </x:c>
      <x:c r="S6" s="37" t="str">
        <x:f>IF(A6="","",IF(ISNUMBER(R6),N6-R6,"Cost missing"))</x:f>
      </x:c>
      <x:c r="T6" s="42" t="str">
        <x:f>IF(A6="","",IF(COUNTIFS($A$6:$A$205,A6)&lt;&gt;1,"Duplicate ID",IF(OR(B6="",D6="",NOT(ISNUMBER(C6)),H6&lt;=0,NOT(ISNUMBER(I6)),I6&lt;0,J6&lt;0,J6&gt;H6*I6,K6&lt;0),"Check sale inputs",IF(NOT(ISNUMBER(Q6)),"Lot/cost incomplete",IF(OR(F6="Sale",F6="Return"),"OK","Type required")))))</x:f>
      </x:c>
    </x:row>
    <x:row r="7" ht="23" customHeight="1">
      <x:c r="A7" s="36"/>
      <x:c r="B7" s="36"/>
      <x:c r="C7" s="40"/>
      <x:c r="D7" s="36"/>
      <x:c r="E7" s="36"/>
      <x:c r="F7" s="36"/>
      <x:c r="G7" s="36"/>
      <x:c r="H7" s="41"/>
      <x:c r="I7" s="41"/>
      <x:c r="J7" s="41"/>
      <x:c r="K7" s="41"/>
      <x:c r="L7" s="36"/>
      <x:c r="M7" s="42" t="str">
        <x:f>IF(A7="","",IF(COUNTIFS('Lots'!$A$6:$A$105,G7)=1,VLOOKUP(G7,'Lots'!$A$6:$B$105,2,FALSE),"Unknown lot"))</x:f>
      </x:c>
      <x:c r="N7" s="37" t="str">
        <x:f>IF(A7="","",IF(F7="Return",-1,1)*(H7*I7-J7))</x:f>
      </x:c>
      <x:c r="O7" s="37" t="str">
        <x:f>IF(A7="","",IF(F7="Return",-K7,K7))</x:f>
      </x:c>
      <x:c r="P7" s="37" t="str">
        <x:f>IF(A7="","",N7+O7)</x:f>
      </x:c>
      <x:c r="Q7" s="37" t="str">
        <x:f>IF(A7="","",IF(COUNTIFS('Lots'!$A$6:$A$105,G7)=1,VLOOKUP(G7,'Lots'!$A$6:$J$105,10,FALSE),"Unknown lot"))</x:f>
      </x:c>
      <x:c r="R7" s="37" t="str">
        <x:f>IF(A7="","",IF(ISNUMBER(Q7),IF(F7="Return",-1,1)*H7*Q7,"Cost missing"))</x:f>
      </x:c>
      <x:c r="S7" s="37" t="str">
        <x:f>IF(A7="","",IF(ISNUMBER(R7),N7-R7,"Cost missing"))</x:f>
      </x:c>
      <x:c r="T7" s="42" t="str">
        <x:f>IF(A7="","",IF(COUNTIFS($A$6:$A$205,A7)&lt;&gt;1,"Duplicate ID",IF(OR(B7="",D7="",NOT(ISNUMBER(C7)),H7&lt;=0,NOT(ISNUMBER(I7)),I7&lt;0,J7&lt;0,J7&gt;H7*I7,K7&lt;0),"Check sale inputs",IF(NOT(ISNUMBER(Q7)),"Lot/cost incomplete",IF(OR(F7="Sale",F7="Return"),"OK","Type required")))))</x:f>
      </x:c>
    </x:row>
    <x:row r="8" ht="23" customHeight="1">
      <x:c r="A8" s="36"/>
      <x:c r="B8" s="36"/>
      <x:c r="C8" s="40"/>
      <x:c r="D8" s="36"/>
      <x:c r="E8" s="36"/>
      <x:c r="F8" s="36"/>
      <x:c r="G8" s="36"/>
      <x:c r="H8" s="41"/>
      <x:c r="I8" s="41"/>
      <x:c r="J8" s="41"/>
      <x:c r="K8" s="41"/>
      <x:c r="L8" s="36"/>
      <x:c r="M8" s="42" t="str">
        <x:f>IF(A8="","",IF(COUNTIFS('Lots'!$A$6:$A$105,G8)=1,VLOOKUP(G8,'Lots'!$A$6:$B$105,2,FALSE),"Unknown lot"))</x:f>
      </x:c>
      <x:c r="N8" s="37" t="str">
        <x:f>IF(A8="","",IF(F8="Return",-1,1)*(H8*I8-J8))</x:f>
      </x:c>
      <x:c r="O8" s="37" t="str">
        <x:f>IF(A8="","",IF(F8="Return",-K8,K8))</x:f>
      </x:c>
      <x:c r="P8" s="37" t="str">
        <x:f>IF(A8="","",N8+O8)</x:f>
      </x:c>
      <x:c r="Q8" s="37" t="str">
        <x:f>IF(A8="","",IF(COUNTIFS('Lots'!$A$6:$A$105,G8)=1,VLOOKUP(G8,'Lots'!$A$6:$J$105,10,FALSE),"Unknown lot"))</x:f>
      </x:c>
      <x:c r="R8" s="37" t="str">
        <x:f>IF(A8="","",IF(ISNUMBER(Q8),IF(F8="Return",-1,1)*H8*Q8,"Cost missing"))</x:f>
      </x:c>
      <x:c r="S8" s="37" t="str">
        <x:f>IF(A8="","",IF(ISNUMBER(R8),N8-R8,"Cost missing"))</x:f>
      </x:c>
      <x:c r="T8" s="42" t="str">
        <x:f>IF(A8="","",IF(COUNTIFS($A$6:$A$205,A8)&lt;&gt;1,"Duplicate ID",IF(OR(B8="",D8="",NOT(ISNUMBER(C8)),H8&lt;=0,NOT(ISNUMBER(I8)),I8&lt;0,J8&lt;0,J8&gt;H8*I8,K8&lt;0),"Check sale inputs",IF(NOT(ISNUMBER(Q8)),"Lot/cost incomplete",IF(OR(F8="Sale",F8="Return"),"OK","Type required")))))</x:f>
      </x:c>
    </x:row>
    <x:row r="9" ht="23" customHeight="1">
      <x:c r="A9" s="36"/>
      <x:c r="B9" s="36"/>
      <x:c r="C9" s="40"/>
      <x:c r="D9" s="36"/>
      <x:c r="E9" s="36"/>
      <x:c r="F9" s="36"/>
      <x:c r="G9" s="36"/>
      <x:c r="H9" s="41"/>
      <x:c r="I9" s="41"/>
      <x:c r="J9" s="41"/>
      <x:c r="K9" s="41"/>
      <x:c r="L9" s="36"/>
      <x:c r="M9" s="42" t="str">
        <x:f>IF(A9="","",IF(COUNTIFS('Lots'!$A$6:$A$105,G9)=1,VLOOKUP(G9,'Lots'!$A$6:$B$105,2,FALSE),"Unknown lot"))</x:f>
      </x:c>
      <x:c r="N9" s="37" t="str">
        <x:f>IF(A9="","",IF(F9="Return",-1,1)*(H9*I9-J9))</x:f>
      </x:c>
      <x:c r="O9" s="37" t="str">
        <x:f>IF(A9="","",IF(F9="Return",-K9,K9))</x:f>
      </x:c>
      <x:c r="P9" s="37" t="str">
        <x:f>IF(A9="","",N9+O9)</x:f>
      </x:c>
      <x:c r="Q9" s="37" t="str">
        <x:f>IF(A9="","",IF(COUNTIFS('Lots'!$A$6:$A$105,G9)=1,VLOOKUP(G9,'Lots'!$A$6:$J$105,10,FALSE),"Unknown lot"))</x:f>
      </x:c>
      <x:c r="R9" s="37" t="str">
        <x:f>IF(A9="","",IF(ISNUMBER(Q9),IF(F9="Return",-1,1)*H9*Q9,"Cost missing"))</x:f>
      </x:c>
      <x:c r="S9" s="37" t="str">
        <x:f>IF(A9="","",IF(ISNUMBER(R9),N9-R9,"Cost missing"))</x:f>
      </x:c>
      <x:c r="T9" s="42" t="str">
        <x:f>IF(A9="","",IF(COUNTIFS($A$6:$A$205,A9)&lt;&gt;1,"Duplicate ID",IF(OR(B9="",D9="",NOT(ISNUMBER(C9)),H9&lt;=0,NOT(ISNUMBER(I9)),I9&lt;0,J9&lt;0,J9&gt;H9*I9,K9&lt;0),"Check sale inputs",IF(NOT(ISNUMBER(Q9)),"Lot/cost incomplete",IF(OR(F9="Sale",F9="Return"),"OK","Type required")))))</x:f>
      </x:c>
    </x:row>
    <x:row r="10" ht="23" customHeight="1">
      <x:c r="A10" s="36"/>
      <x:c r="B10" s="36"/>
      <x:c r="C10" s="40"/>
      <x:c r="D10" s="36"/>
      <x:c r="E10" s="36"/>
      <x:c r="F10" s="36"/>
      <x:c r="G10" s="36"/>
      <x:c r="H10" s="41"/>
      <x:c r="I10" s="41"/>
      <x:c r="J10" s="41"/>
      <x:c r="K10" s="41"/>
      <x:c r="L10" s="36"/>
      <x:c r="M10" s="42" t="str">
        <x:f>IF(A10="","",IF(COUNTIFS('Lots'!$A$6:$A$105,G10)=1,VLOOKUP(G10,'Lots'!$A$6:$B$105,2,FALSE),"Unknown lot"))</x:f>
      </x:c>
      <x:c r="N10" s="37" t="str">
        <x:f>IF(A10="","",IF(F10="Return",-1,1)*(H10*I10-J10))</x:f>
      </x:c>
      <x:c r="O10" s="37" t="str">
        <x:f>IF(A10="","",IF(F10="Return",-K10,K10))</x:f>
      </x:c>
      <x:c r="P10" s="37" t="str">
        <x:f>IF(A10="","",N10+O10)</x:f>
      </x:c>
      <x:c r="Q10" s="37" t="str">
        <x:f>IF(A10="","",IF(COUNTIFS('Lots'!$A$6:$A$105,G10)=1,VLOOKUP(G10,'Lots'!$A$6:$J$105,10,FALSE),"Unknown lot"))</x:f>
      </x:c>
      <x:c r="R10" s="37" t="str">
        <x:f>IF(A10="","",IF(ISNUMBER(Q10),IF(F10="Return",-1,1)*H10*Q10,"Cost missing"))</x:f>
      </x:c>
      <x:c r="S10" s="37" t="str">
        <x:f>IF(A10="","",IF(ISNUMBER(R10),N10-R10,"Cost missing"))</x:f>
      </x:c>
      <x:c r="T10" s="42" t="str">
        <x:f>IF(A10="","",IF(COUNTIFS($A$6:$A$205,A10)&lt;&gt;1,"Duplicate ID",IF(OR(B10="",D10="",NOT(ISNUMBER(C10)),H10&lt;=0,NOT(ISNUMBER(I10)),I10&lt;0,J10&lt;0,J10&gt;H10*I10,K10&lt;0),"Check sale inputs",IF(NOT(ISNUMBER(Q10)),"Lot/cost incomplete",IF(OR(F10="Sale",F10="Return"),"OK","Type required")))))</x:f>
      </x:c>
    </x:row>
    <x:row r="11" ht="23" customHeight="1">
      <x:c r="A11" s="36"/>
      <x:c r="B11" s="36"/>
      <x:c r="C11" s="40"/>
      <x:c r="D11" s="36"/>
      <x:c r="E11" s="36"/>
      <x:c r="F11" s="36"/>
      <x:c r="G11" s="36"/>
      <x:c r="H11" s="41"/>
      <x:c r="I11" s="41"/>
      <x:c r="J11" s="41"/>
      <x:c r="K11" s="41"/>
      <x:c r="L11" s="36"/>
      <x:c r="M11" s="42" t="str">
        <x:f>IF(A11="","",IF(COUNTIFS('Lots'!$A$6:$A$105,G11)=1,VLOOKUP(G11,'Lots'!$A$6:$B$105,2,FALSE),"Unknown lot"))</x:f>
      </x:c>
      <x:c r="N11" s="37" t="str">
        <x:f>IF(A11="","",IF(F11="Return",-1,1)*(H11*I11-J11))</x:f>
      </x:c>
      <x:c r="O11" s="37" t="str">
        <x:f>IF(A11="","",IF(F11="Return",-K11,K11))</x:f>
      </x:c>
      <x:c r="P11" s="37" t="str">
        <x:f>IF(A11="","",N11+O11)</x:f>
      </x:c>
      <x:c r="Q11" s="37" t="str">
        <x:f>IF(A11="","",IF(COUNTIFS('Lots'!$A$6:$A$105,G11)=1,VLOOKUP(G11,'Lots'!$A$6:$J$105,10,FALSE),"Unknown lot"))</x:f>
      </x:c>
      <x:c r="R11" s="37" t="str">
        <x:f>IF(A11="","",IF(ISNUMBER(Q11),IF(F11="Return",-1,1)*H11*Q11,"Cost missing"))</x:f>
      </x:c>
      <x:c r="S11" s="37" t="str">
        <x:f>IF(A11="","",IF(ISNUMBER(R11),N11-R11,"Cost missing"))</x:f>
      </x:c>
      <x:c r="T11" s="42" t="str">
        <x:f>IF(A11="","",IF(COUNTIFS($A$6:$A$205,A11)&lt;&gt;1,"Duplicate ID",IF(OR(B11="",D11="",NOT(ISNUMBER(C11)),H11&lt;=0,NOT(ISNUMBER(I11)),I11&lt;0,J11&lt;0,J11&gt;H11*I11,K11&lt;0),"Check sale inputs",IF(NOT(ISNUMBER(Q11)),"Lot/cost incomplete",IF(OR(F11="Sale",F11="Return"),"OK","Type required")))))</x:f>
      </x:c>
    </x:row>
    <x:row r="12" ht="23" customHeight="1">
      <x:c r="A12" s="36"/>
      <x:c r="B12" s="36"/>
      <x:c r="C12" s="40"/>
      <x:c r="D12" s="36"/>
      <x:c r="E12" s="36"/>
      <x:c r="F12" s="36"/>
      <x:c r="G12" s="36"/>
      <x:c r="H12" s="41"/>
      <x:c r="I12" s="41"/>
      <x:c r="J12" s="41"/>
      <x:c r="K12" s="41"/>
      <x:c r="L12" s="36"/>
      <x:c r="M12" s="42" t="str">
        <x:f>IF(A12="","",IF(COUNTIFS('Lots'!$A$6:$A$105,G12)=1,VLOOKUP(G12,'Lots'!$A$6:$B$105,2,FALSE),"Unknown lot"))</x:f>
      </x:c>
      <x:c r="N12" s="37" t="str">
        <x:f>IF(A12="","",IF(F12="Return",-1,1)*(H12*I12-J12))</x:f>
      </x:c>
      <x:c r="O12" s="37" t="str">
        <x:f>IF(A12="","",IF(F12="Return",-K12,K12))</x:f>
      </x:c>
      <x:c r="P12" s="37" t="str">
        <x:f>IF(A12="","",N12+O12)</x:f>
      </x:c>
      <x:c r="Q12" s="37" t="str">
        <x:f>IF(A12="","",IF(COUNTIFS('Lots'!$A$6:$A$105,G12)=1,VLOOKUP(G12,'Lots'!$A$6:$J$105,10,FALSE),"Unknown lot"))</x:f>
      </x:c>
      <x:c r="R12" s="37" t="str">
        <x:f>IF(A12="","",IF(ISNUMBER(Q12),IF(F12="Return",-1,1)*H12*Q12,"Cost missing"))</x:f>
      </x:c>
      <x:c r="S12" s="37" t="str">
        <x:f>IF(A12="","",IF(ISNUMBER(R12),N12-R12,"Cost missing"))</x:f>
      </x:c>
      <x:c r="T12" s="42" t="str">
        <x:f>IF(A12="","",IF(COUNTIFS($A$6:$A$205,A12)&lt;&gt;1,"Duplicate ID",IF(OR(B12="",D12="",NOT(ISNUMBER(C12)),H12&lt;=0,NOT(ISNUMBER(I12)),I12&lt;0,J12&lt;0,J12&gt;H12*I12,K12&lt;0),"Check sale inputs",IF(NOT(ISNUMBER(Q12)),"Lot/cost incomplete",IF(OR(F12="Sale",F12="Return"),"OK","Type required")))))</x:f>
      </x:c>
    </x:row>
    <x:row r="13" ht="23" customHeight="1">
      <x:c r="A13" s="36"/>
      <x:c r="B13" s="36"/>
      <x:c r="C13" s="40"/>
      <x:c r="D13" s="36"/>
      <x:c r="E13" s="36"/>
      <x:c r="F13" s="36"/>
      <x:c r="G13" s="36"/>
      <x:c r="H13" s="41"/>
      <x:c r="I13" s="41"/>
      <x:c r="J13" s="41"/>
      <x:c r="K13" s="41"/>
      <x:c r="L13" s="36"/>
      <x:c r="M13" s="42" t="str">
        <x:f>IF(A13="","",IF(COUNTIFS('Lots'!$A$6:$A$105,G13)=1,VLOOKUP(G13,'Lots'!$A$6:$B$105,2,FALSE),"Unknown lot"))</x:f>
      </x:c>
      <x:c r="N13" s="37" t="str">
        <x:f>IF(A13="","",IF(F13="Return",-1,1)*(H13*I13-J13))</x:f>
      </x:c>
      <x:c r="O13" s="37" t="str">
        <x:f>IF(A13="","",IF(F13="Return",-K13,K13))</x:f>
      </x:c>
      <x:c r="P13" s="37" t="str">
        <x:f>IF(A13="","",N13+O13)</x:f>
      </x:c>
      <x:c r="Q13" s="37" t="str">
        <x:f>IF(A13="","",IF(COUNTIFS('Lots'!$A$6:$A$105,G13)=1,VLOOKUP(G13,'Lots'!$A$6:$J$105,10,FALSE),"Unknown lot"))</x:f>
      </x:c>
      <x:c r="R13" s="37" t="str">
        <x:f>IF(A13="","",IF(ISNUMBER(Q13),IF(F13="Return",-1,1)*H13*Q13,"Cost missing"))</x:f>
      </x:c>
      <x:c r="S13" s="37" t="str">
        <x:f>IF(A13="","",IF(ISNUMBER(R13),N13-R13,"Cost missing"))</x:f>
      </x:c>
      <x:c r="T13" s="42" t="str">
        <x:f>IF(A13="","",IF(COUNTIFS($A$6:$A$205,A13)&lt;&gt;1,"Duplicate ID",IF(OR(B13="",D13="",NOT(ISNUMBER(C13)),H13&lt;=0,NOT(ISNUMBER(I13)),I13&lt;0,J13&lt;0,J13&gt;H13*I13,K13&lt;0),"Check sale inputs",IF(NOT(ISNUMBER(Q13)),"Lot/cost incomplete",IF(OR(F13="Sale",F13="Return"),"OK","Type required")))))</x:f>
      </x:c>
    </x:row>
    <x:row r="14" ht="23" customHeight="1">
      <x:c r="A14" s="36"/>
      <x:c r="B14" s="36"/>
      <x:c r="C14" s="40"/>
      <x:c r="D14" s="36"/>
      <x:c r="E14" s="36"/>
      <x:c r="F14" s="36"/>
      <x:c r="G14" s="36"/>
      <x:c r="H14" s="41"/>
      <x:c r="I14" s="41"/>
      <x:c r="J14" s="41"/>
      <x:c r="K14" s="41"/>
      <x:c r="L14" s="36"/>
      <x:c r="M14" s="42" t="str">
        <x:f>IF(A14="","",IF(COUNTIFS('Lots'!$A$6:$A$105,G14)=1,VLOOKUP(G14,'Lots'!$A$6:$B$105,2,FALSE),"Unknown lot"))</x:f>
      </x:c>
      <x:c r="N14" s="37" t="str">
        <x:f>IF(A14="","",IF(F14="Return",-1,1)*(H14*I14-J14))</x:f>
      </x:c>
      <x:c r="O14" s="37" t="str">
        <x:f>IF(A14="","",IF(F14="Return",-K14,K14))</x:f>
      </x:c>
      <x:c r="P14" s="37" t="str">
        <x:f>IF(A14="","",N14+O14)</x:f>
      </x:c>
      <x:c r="Q14" s="37" t="str">
        <x:f>IF(A14="","",IF(COUNTIFS('Lots'!$A$6:$A$105,G14)=1,VLOOKUP(G14,'Lots'!$A$6:$J$105,10,FALSE),"Unknown lot"))</x:f>
      </x:c>
      <x:c r="R14" s="37" t="str">
        <x:f>IF(A14="","",IF(ISNUMBER(Q14),IF(F14="Return",-1,1)*H14*Q14,"Cost missing"))</x:f>
      </x:c>
      <x:c r="S14" s="37" t="str">
        <x:f>IF(A14="","",IF(ISNUMBER(R14),N14-R14,"Cost missing"))</x:f>
      </x:c>
      <x:c r="T14" s="42" t="str">
        <x:f>IF(A14="","",IF(COUNTIFS($A$6:$A$205,A14)&lt;&gt;1,"Duplicate ID",IF(OR(B14="",D14="",NOT(ISNUMBER(C14)),H14&lt;=0,NOT(ISNUMBER(I14)),I14&lt;0,J14&lt;0,J14&gt;H14*I14,K14&lt;0),"Check sale inputs",IF(NOT(ISNUMBER(Q14)),"Lot/cost incomplete",IF(OR(F14="Sale",F14="Return"),"OK","Type required")))))</x:f>
      </x:c>
    </x:row>
    <x:row r="15" ht="23" customHeight="1">
      <x:c r="A15" s="36"/>
      <x:c r="B15" s="36"/>
      <x:c r="C15" s="40"/>
      <x:c r="D15" s="36"/>
      <x:c r="E15" s="36"/>
      <x:c r="F15" s="36"/>
      <x:c r="G15" s="36"/>
      <x:c r="H15" s="41"/>
      <x:c r="I15" s="41"/>
      <x:c r="J15" s="41"/>
      <x:c r="K15" s="41"/>
      <x:c r="L15" s="36"/>
      <x:c r="M15" s="42" t="str">
        <x:f>IF(A15="","",IF(COUNTIFS('Lots'!$A$6:$A$105,G15)=1,VLOOKUP(G15,'Lots'!$A$6:$B$105,2,FALSE),"Unknown lot"))</x:f>
      </x:c>
      <x:c r="N15" s="37" t="str">
        <x:f>IF(A15="","",IF(F15="Return",-1,1)*(H15*I15-J15))</x:f>
      </x:c>
      <x:c r="O15" s="37" t="str">
        <x:f>IF(A15="","",IF(F15="Return",-K15,K15))</x:f>
      </x:c>
      <x:c r="P15" s="37" t="str">
        <x:f>IF(A15="","",N15+O15)</x:f>
      </x:c>
      <x:c r="Q15" s="37" t="str">
        <x:f>IF(A15="","",IF(COUNTIFS('Lots'!$A$6:$A$105,G15)=1,VLOOKUP(G15,'Lots'!$A$6:$J$105,10,FALSE),"Unknown lot"))</x:f>
      </x:c>
      <x:c r="R15" s="37" t="str">
        <x:f>IF(A15="","",IF(ISNUMBER(Q15),IF(F15="Return",-1,1)*H15*Q15,"Cost missing"))</x:f>
      </x:c>
      <x:c r="S15" s="37" t="str">
        <x:f>IF(A15="","",IF(ISNUMBER(R15),N15-R15,"Cost missing"))</x:f>
      </x:c>
      <x:c r="T15" s="42" t="str">
        <x:f>IF(A15="","",IF(COUNTIFS($A$6:$A$205,A15)&lt;&gt;1,"Duplicate ID",IF(OR(B15="",D15="",NOT(ISNUMBER(C15)),H15&lt;=0,NOT(ISNUMBER(I15)),I15&lt;0,J15&lt;0,J15&gt;H15*I15,K15&lt;0),"Check sale inputs",IF(NOT(ISNUMBER(Q15)),"Lot/cost incomplete",IF(OR(F15="Sale",F15="Return"),"OK","Type required")))))</x:f>
      </x:c>
    </x:row>
    <x:row r="16" ht="23" customHeight="1">
      <x:c r="A16" s="36"/>
      <x:c r="B16" s="36"/>
      <x:c r="C16" s="40"/>
      <x:c r="D16" s="36"/>
      <x:c r="E16" s="36"/>
      <x:c r="F16" s="36"/>
      <x:c r="G16" s="36"/>
      <x:c r="H16" s="41"/>
      <x:c r="I16" s="41"/>
      <x:c r="J16" s="41"/>
      <x:c r="K16" s="41"/>
      <x:c r="L16" s="36"/>
      <x:c r="M16" s="42" t="str">
        <x:f>IF(A16="","",IF(COUNTIFS('Lots'!$A$6:$A$105,G16)=1,VLOOKUP(G16,'Lots'!$A$6:$B$105,2,FALSE),"Unknown lot"))</x:f>
      </x:c>
      <x:c r="N16" s="37" t="str">
        <x:f>IF(A16="","",IF(F16="Return",-1,1)*(H16*I16-J16))</x:f>
      </x:c>
      <x:c r="O16" s="37" t="str">
        <x:f>IF(A16="","",IF(F16="Return",-K16,K16))</x:f>
      </x:c>
      <x:c r="P16" s="37" t="str">
        <x:f>IF(A16="","",N16+O16)</x:f>
      </x:c>
      <x:c r="Q16" s="37" t="str">
        <x:f>IF(A16="","",IF(COUNTIFS('Lots'!$A$6:$A$105,G16)=1,VLOOKUP(G16,'Lots'!$A$6:$J$105,10,FALSE),"Unknown lot"))</x:f>
      </x:c>
      <x:c r="R16" s="37" t="str">
        <x:f>IF(A16="","",IF(ISNUMBER(Q16),IF(F16="Return",-1,1)*H16*Q16,"Cost missing"))</x:f>
      </x:c>
      <x:c r="S16" s="37" t="str">
        <x:f>IF(A16="","",IF(ISNUMBER(R16),N16-R16,"Cost missing"))</x:f>
      </x:c>
      <x:c r="T16" s="42" t="str">
        <x:f>IF(A16="","",IF(COUNTIFS($A$6:$A$205,A16)&lt;&gt;1,"Duplicate ID",IF(OR(B16="",D16="",NOT(ISNUMBER(C16)),H16&lt;=0,NOT(ISNUMBER(I16)),I16&lt;0,J16&lt;0,J16&gt;H16*I16,K16&lt;0),"Check sale inputs",IF(NOT(ISNUMBER(Q16)),"Lot/cost incomplete",IF(OR(F16="Sale",F16="Return"),"OK","Type required")))))</x:f>
      </x:c>
    </x:row>
    <x:row r="17" ht="23" customHeight="1">
      <x:c r="A17" s="36"/>
      <x:c r="B17" s="36"/>
      <x:c r="C17" s="40"/>
      <x:c r="D17" s="36"/>
      <x:c r="E17" s="36"/>
      <x:c r="F17" s="36"/>
      <x:c r="G17" s="36"/>
      <x:c r="H17" s="41"/>
      <x:c r="I17" s="41"/>
      <x:c r="J17" s="41"/>
      <x:c r="K17" s="41"/>
      <x:c r="L17" s="36"/>
      <x:c r="M17" s="42" t="str">
        <x:f>IF(A17="","",IF(COUNTIFS('Lots'!$A$6:$A$105,G17)=1,VLOOKUP(G17,'Lots'!$A$6:$B$105,2,FALSE),"Unknown lot"))</x:f>
      </x:c>
      <x:c r="N17" s="37" t="str">
        <x:f>IF(A17="","",IF(F17="Return",-1,1)*(H17*I17-J17))</x:f>
      </x:c>
      <x:c r="O17" s="37" t="str">
        <x:f>IF(A17="","",IF(F17="Return",-K17,K17))</x:f>
      </x:c>
      <x:c r="P17" s="37" t="str">
        <x:f>IF(A17="","",N17+O17)</x:f>
      </x:c>
      <x:c r="Q17" s="37" t="str">
        <x:f>IF(A17="","",IF(COUNTIFS('Lots'!$A$6:$A$105,G17)=1,VLOOKUP(G17,'Lots'!$A$6:$J$105,10,FALSE),"Unknown lot"))</x:f>
      </x:c>
      <x:c r="R17" s="37" t="str">
        <x:f>IF(A17="","",IF(ISNUMBER(Q17),IF(F17="Return",-1,1)*H17*Q17,"Cost missing"))</x:f>
      </x:c>
      <x:c r="S17" s="37" t="str">
        <x:f>IF(A17="","",IF(ISNUMBER(R17),N17-R17,"Cost missing"))</x:f>
      </x:c>
      <x:c r="T17" s="42" t="str">
        <x:f>IF(A17="","",IF(COUNTIFS($A$6:$A$205,A17)&lt;&gt;1,"Duplicate ID",IF(OR(B17="",D17="",NOT(ISNUMBER(C17)),H17&lt;=0,NOT(ISNUMBER(I17)),I17&lt;0,J17&lt;0,J17&gt;H17*I17,K17&lt;0),"Check sale inputs",IF(NOT(ISNUMBER(Q17)),"Lot/cost incomplete",IF(OR(F17="Sale",F17="Return"),"OK","Type required")))))</x:f>
      </x:c>
    </x:row>
    <x:row r="18" ht="23" customHeight="1">
      <x:c r="A18" s="36"/>
      <x:c r="B18" s="36"/>
      <x:c r="C18" s="40"/>
      <x:c r="D18" s="36"/>
      <x:c r="E18" s="36"/>
      <x:c r="F18" s="36"/>
      <x:c r="G18" s="36"/>
      <x:c r="H18" s="41"/>
      <x:c r="I18" s="41"/>
      <x:c r="J18" s="41"/>
      <x:c r="K18" s="41"/>
      <x:c r="L18" s="36"/>
      <x:c r="M18" s="42" t="str">
        <x:f>IF(A18="","",IF(COUNTIFS('Lots'!$A$6:$A$105,G18)=1,VLOOKUP(G18,'Lots'!$A$6:$B$105,2,FALSE),"Unknown lot"))</x:f>
      </x:c>
      <x:c r="N18" s="37" t="str">
        <x:f>IF(A18="","",IF(F18="Return",-1,1)*(H18*I18-J18))</x:f>
      </x:c>
      <x:c r="O18" s="37" t="str">
        <x:f>IF(A18="","",IF(F18="Return",-K18,K18))</x:f>
      </x:c>
      <x:c r="P18" s="37" t="str">
        <x:f>IF(A18="","",N18+O18)</x:f>
      </x:c>
      <x:c r="Q18" s="37" t="str">
        <x:f>IF(A18="","",IF(COUNTIFS('Lots'!$A$6:$A$105,G18)=1,VLOOKUP(G18,'Lots'!$A$6:$J$105,10,FALSE),"Unknown lot"))</x:f>
      </x:c>
      <x:c r="R18" s="37" t="str">
        <x:f>IF(A18="","",IF(ISNUMBER(Q18),IF(F18="Return",-1,1)*H18*Q18,"Cost missing"))</x:f>
      </x:c>
      <x:c r="S18" s="37" t="str">
        <x:f>IF(A18="","",IF(ISNUMBER(R18),N18-R18,"Cost missing"))</x:f>
      </x:c>
      <x:c r="T18" s="42" t="str">
        <x:f>IF(A18="","",IF(COUNTIFS($A$6:$A$205,A18)&lt;&gt;1,"Duplicate ID",IF(OR(B18="",D18="",NOT(ISNUMBER(C18)),H18&lt;=0,NOT(ISNUMBER(I18)),I18&lt;0,J18&lt;0,J18&gt;H18*I18,K18&lt;0),"Check sale inputs",IF(NOT(ISNUMBER(Q18)),"Lot/cost incomplete",IF(OR(F18="Sale",F18="Return"),"OK","Type required")))))</x:f>
      </x:c>
    </x:row>
    <x:row r="19" ht="23" customHeight="1">
      <x:c r="A19" s="36"/>
      <x:c r="B19" s="36"/>
      <x:c r="C19" s="40"/>
      <x:c r="D19" s="36"/>
      <x:c r="E19" s="36"/>
      <x:c r="F19" s="36"/>
      <x:c r="G19" s="36"/>
      <x:c r="H19" s="41"/>
      <x:c r="I19" s="41"/>
      <x:c r="J19" s="41"/>
      <x:c r="K19" s="41"/>
      <x:c r="L19" s="36"/>
      <x:c r="M19" s="42" t="str">
        <x:f>IF(A19="","",IF(COUNTIFS('Lots'!$A$6:$A$105,G19)=1,VLOOKUP(G19,'Lots'!$A$6:$B$105,2,FALSE),"Unknown lot"))</x:f>
      </x:c>
      <x:c r="N19" s="37" t="str">
        <x:f>IF(A19="","",IF(F19="Return",-1,1)*(H19*I19-J19))</x:f>
      </x:c>
      <x:c r="O19" s="37" t="str">
        <x:f>IF(A19="","",IF(F19="Return",-K19,K19))</x:f>
      </x:c>
      <x:c r="P19" s="37" t="str">
        <x:f>IF(A19="","",N19+O19)</x:f>
      </x:c>
      <x:c r="Q19" s="37" t="str">
        <x:f>IF(A19="","",IF(COUNTIFS('Lots'!$A$6:$A$105,G19)=1,VLOOKUP(G19,'Lots'!$A$6:$J$105,10,FALSE),"Unknown lot"))</x:f>
      </x:c>
      <x:c r="R19" s="37" t="str">
        <x:f>IF(A19="","",IF(ISNUMBER(Q19),IF(F19="Return",-1,1)*H19*Q19,"Cost missing"))</x:f>
      </x:c>
      <x:c r="S19" s="37" t="str">
        <x:f>IF(A19="","",IF(ISNUMBER(R19),N19-R19,"Cost missing"))</x:f>
      </x:c>
      <x:c r="T19" s="42" t="str">
        <x:f>IF(A19="","",IF(COUNTIFS($A$6:$A$205,A19)&lt;&gt;1,"Duplicate ID",IF(OR(B19="",D19="",NOT(ISNUMBER(C19)),H19&lt;=0,NOT(ISNUMBER(I19)),I19&lt;0,J19&lt;0,J19&gt;H19*I19,K19&lt;0),"Check sale inputs",IF(NOT(ISNUMBER(Q19)),"Lot/cost incomplete",IF(OR(F19="Sale",F19="Return"),"OK","Type required")))))</x:f>
      </x:c>
    </x:row>
    <x:row r="20" ht="23" customHeight="1">
      <x:c r="A20" s="36"/>
      <x:c r="B20" s="36"/>
      <x:c r="C20" s="40"/>
      <x:c r="D20" s="36"/>
      <x:c r="E20" s="36"/>
      <x:c r="F20" s="36"/>
      <x:c r="G20" s="36"/>
      <x:c r="H20" s="41"/>
      <x:c r="I20" s="41"/>
      <x:c r="J20" s="41"/>
      <x:c r="K20" s="41"/>
      <x:c r="L20" s="36"/>
      <x:c r="M20" s="42" t="str">
        <x:f>IF(A20="","",IF(COUNTIFS('Lots'!$A$6:$A$105,G20)=1,VLOOKUP(G20,'Lots'!$A$6:$B$105,2,FALSE),"Unknown lot"))</x:f>
      </x:c>
      <x:c r="N20" s="37" t="str">
        <x:f>IF(A20="","",IF(F20="Return",-1,1)*(H20*I20-J20))</x:f>
      </x:c>
      <x:c r="O20" s="37" t="str">
        <x:f>IF(A20="","",IF(F20="Return",-K20,K20))</x:f>
      </x:c>
      <x:c r="P20" s="37" t="str">
        <x:f>IF(A20="","",N20+O20)</x:f>
      </x:c>
      <x:c r="Q20" s="37" t="str">
        <x:f>IF(A20="","",IF(COUNTIFS('Lots'!$A$6:$A$105,G20)=1,VLOOKUP(G20,'Lots'!$A$6:$J$105,10,FALSE),"Unknown lot"))</x:f>
      </x:c>
      <x:c r="R20" s="37" t="str">
        <x:f>IF(A20="","",IF(ISNUMBER(Q20),IF(F20="Return",-1,1)*H20*Q20,"Cost missing"))</x:f>
      </x:c>
      <x:c r="S20" s="37" t="str">
        <x:f>IF(A20="","",IF(ISNUMBER(R20),N20-R20,"Cost missing"))</x:f>
      </x:c>
      <x:c r="T20" s="42" t="str">
        <x:f>IF(A20="","",IF(COUNTIFS($A$6:$A$205,A20)&lt;&gt;1,"Duplicate ID",IF(OR(B20="",D20="",NOT(ISNUMBER(C20)),H20&lt;=0,NOT(ISNUMBER(I20)),I20&lt;0,J20&lt;0,J20&gt;H20*I20,K20&lt;0),"Check sale inputs",IF(NOT(ISNUMBER(Q20)),"Lot/cost incomplete",IF(OR(F20="Sale",F20="Return"),"OK","Type required")))))</x:f>
      </x:c>
    </x:row>
    <x:row r="21" ht="23" customHeight="1">
      <x:c r="A21" s="36"/>
      <x:c r="B21" s="36"/>
      <x:c r="C21" s="40"/>
      <x:c r="D21" s="36"/>
      <x:c r="E21" s="36"/>
      <x:c r="F21" s="36"/>
      <x:c r="G21" s="36"/>
      <x:c r="H21" s="41"/>
      <x:c r="I21" s="41"/>
      <x:c r="J21" s="41"/>
      <x:c r="K21" s="41"/>
      <x:c r="L21" s="36"/>
      <x:c r="M21" s="42" t="str">
        <x:f>IF(A21="","",IF(COUNTIFS('Lots'!$A$6:$A$105,G21)=1,VLOOKUP(G21,'Lots'!$A$6:$B$105,2,FALSE),"Unknown lot"))</x:f>
      </x:c>
      <x:c r="N21" s="37" t="str">
        <x:f>IF(A21="","",IF(F21="Return",-1,1)*(H21*I21-J21))</x:f>
      </x:c>
      <x:c r="O21" s="37" t="str">
        <x:f>IF(A21="","",IF(F21="Return",-K21,K21))</x:f>
      </x:c>
      <x:c r="P21" s="37" t="str">
        <x:f>IF(A21="","",N21+O21)</x:f>
      </x:c>
      <x:c r="Q21" s="37" t="str">
        <x:f>IF(A21="","",IF(COUNTIFS('Lots'!$A$6:$A$105,G21)=1,VLOOKUP(G21,'Lots'!$A$6:$J$105,10,FALSE),"Unknown lot"))</x:f>
      </x:c>
      <x:c r="R21" s="37" t="str">
        <x:f>IF(A21="","",IF(ISNUMBER(Q21),IF(F21="Return",-1,1)*H21*Q21,"Cost missing"))</x:f>
      </x:c>
      <x:c r="S21" s="37" t="str">
        <x:f>IF(A21="","",IF(ISNUMBER(R21),N21-R21,"Cost missing"))</x:f>
      </x:c>
      <x:c r="T21" s="42" t="str">
        <x:f>IF(A21="","",IF(COUNTIFS($A$6:$A$205,A21)&lt;&gt;1,"Duplicate ID",IF(OR(B21="",D21="",NOT(ISNUMBER(C21)),H21&lt;=0,NOT(ISNUMBER(I21)),I21&lt;0,J21&lt;0,J21&gt;H21*I21,K21&lt;0),"Check sale inputs",IF(NOT(ISNUMBER(Q21)),"Lot/cost incomplete",IF(OR(F21="Sale",F21="Return"),"OK","Type required")))))</x:f>
      </x:c>
    </x:row>
    <x:row r="22" ht="23" customHeight="1">
      <x:c r="A22" s="36"/>
      <x:c r="B22" s="36"/>
      <x:c r="C22" s="40"/>
      <x:c r="D22" s="36"/>
      <x:c r="E22" s="36"/>
      <x:c r="F22" s="36"/>
      <x:c r="G22" s="36"/>
      <x:c r="H22" s="41"/>
      <x:c r="I22" s="41"/>
      <x:c r="J22" s="41"/>
      <x:c r="K22" s="41"/>
      <x:c r="L22" s="36"/>
      <x:c r="M22" s="42" t="str">
        <x:f>IF(A22="","",IF(COUNTIFS('Lots'!$A$6:$A$105,G22)=1,VLOOKUP(G22,'Lots'!$A$6:$B$105,2,FALSE),"Unknown lot"))</x:f>
      </x:c>
      <x:c r="N22" s="37" t="str">
        <x:f>IF(A22="","",IF(F22="Return",-1,1)*(H22*I22-J22))</x:f>
      </x:c>
      <x:c r="O22" s="37" t="str">
        <x:f>IF(A22="","",IF(F22="Return",-K22,K22))</x:f>
      </x:c>
      <x:c r="P22" s="37" t="str">
        <x:f>IF(A22="","",N22+O22)</x:f>
      </x:c>
      <x:c r="Q22" s="37" t="str">
        <x:f>IF(A22="","",IF(COUNTIFS('Lots'!$A$6:$A$105,G22)=1,VLOOKUP(G22,'Lots'!$A$6:$J$105,10,FALSE),"Unknown lot"))</x:f>
      </x:c>
      <x:c r="R22" s="37" t="str">
        <x:f>IF(A22="","",IF(ISNUMBER(Q22),IF(F22="Return",-1,1)*H22*Q22,"Cost missing"))</x:f>
      </x:c>
      <x:c r="S22" s="37" t="str">
        <x:f>IF(A22="","",IF(ISNUMBER(R22),N22-R22,"Cost missing"))</x:f>
      </x:c>
      <x:c r="T22" s="42" t="str">
        <x:f>IF(A22="","",IF(COUNTIFS($A$6:$A$205,A22)&lt;&gt;1,"Duplicate ID",IF(OR(B22="",D22="",NOT(ISNUMBER(C22)),H22&lt;=0,NOT(ISNUMBER(I22)),I22&lt;0,J22&lt;0,J22&gt;H22*I22,K22&lt;0),"Check sale inputs",IF(NOT(ISNUMBER(Q22)),"Lot/cost incomplete",IF(OR(F22="Sale",F22="Return"),"OK","Type required")))))</x:f>
      </x:c>
    </x:row>
    <x:row r="23" ht="23" customHeight="1">
      <x:c r="A23" s="36"/>
      <x:c r="B23" s="36"/>
      <x:c r="C23" s="40"/>
      <x:c r="D23" s="36"/>
      <x:c r="E23" s="36"/>
      <x:c r="F23" s="36"/>
      <x:c r="G23" s="36"/>
      <x:c r="H23" s="41"/>
      <x:c r="I23" s="41"/>
      <x:c r="J23" s="41"/>
      <x:c r="K23" s="41"/>
      <x:c r="L23" s="36"/>
      <x:c r="M23" s="42" t="str">
        <x:f>IF(A23="","",IF(COUNTIFS('Lots'!$A$6:$A$105,G23)=1,VLOOKUP(G23,'Lots'!$A$6:$B$105,2,FALSE),"Unknown lot"))</x:f>
      </x:c>
      <x:c r="N23" s="37" t="str">
        <x:f>IF(A23="","",IF(F23="Return",-1,1)*(H23*I23-J23))</x:f>
      </x:c>
      <x:c r="O23" s="37" t="str">
        <x:f>IF(A23="","",IF(F23="Return",-K23,K23))</x:f>
      </x:c>
      <x:c r="P23" s="37" t="str">
        <x:f>IF(A23="","",N23+O23)</x:f>
      </x:c>
      <x:c r="Q23" s="37" t="str">
        <x:f>IF(A23="","",IF(COUNTIFS('Lots'!$A$6:$A$105,G23)=1,VLOOKUP(G23,'Lots'!$A$6:$J$105,10,FALSE),"Unknown lot"))</x:f>
      </x:c>
      <x:c r="R23" s="37" t="str">
        <x:f>IF(A23="","",IF(ISNUMBER(Q23),IF(F23="Return",-1,1)*H23*Q23,"Cost missing"))</x:f>
      </x:c>
      <x:c r="S23" s="37" t="str">
        <x:f>IF(A23="","",IF(ISNUMBER(R23),N23-R23,"Cost missing"))</x:f>
      </x:c>
      <x:c r="T23" s="42" t="str">
        <x:f>IF(A23="","",IF(COUNTIFS($A$6:$A$205,A23)&lt;&gt;1,"Duplicate ID",IF(OR(B23="",D23="",NOT(ISNUMBER(C23)),H23&lt;=0,NOT(ISNUMBER(I23)),I23&lt;0,J23&lt;0,J23&gt;H23*I23,K23&lt;0),"Check sale inputs",IF(NOT(ISNUMBER(Q23)),"Lot/cost incomplete",IF(OR(F23="Sale",F23="Return"),"OK","Type required")))))</x:f>
      </x:c>
    </x:row>
    <x:row r="24" ht="23" customHeight="1">
      <x:c r="A24" s="36"/>
      <x:c r="B24" s="36"/>
      <x:c r="C24" s="40"/>
      <x:c r="D24" s="36"/>
      <x:c r="E24" s="36"/>
      <x:c r="F24" s="36"/>
      <x:c r="G24" s="36"/>
      <x:c r="H24" s="41"/>
      <x:c r="I24" s="41"/>
      <x:c r="J24" s="41"/>
      <x:c r="K24" s="41"/>
      <x:c r="L24" s="36"/>
      <x:c r="M24" s="42" t="str">
        <x:f>IF(A24="","",IF(COUNTIFS('Lots'!$A$6:$A$105,G24)=1,VLOOKUP(G24,'Lots'!$A$6:$B$105,2,FALSE),"Unknown lot"))</x:f>
      </x:c>
      <x:c r="N24" s="37" t="str">
        <x:f>IF(A24="","",IF(F24="Return",-1,1)*(H24*I24-J24))</x:f>
      </x:c>
      <x:c r="O24" s="37" t="str">
        <x:f>IF(A24="","",IF(F24="Return",-K24,K24))</x:f>
      </x:c>
      <x:c r="P24" s="37" t="str">
        <x:f>IF(A24="","",N24+O24)</x:f>
      </x:c>
      <x:c r="Q24" s="37" t="str">
        <x:f>IF(A24="","",IF(COUNTIFS('Lots'!$A$6:$A$105,G24)=1,VLOOKUP(G24,'Lots'!$A$6:$J$105,10,FALSE),"Unknown lot"))</x:f>
      </x:c>
      <x:c r="R24" s="37" t="str">
        <x:f>IF(A24="","",IF(ISNUMBER(Q24),IF(F24="Return",-1,1)*H24*Q24,"Cost missing"))</x:f>
      </x:c>
      <x:c r="S24" s="37" t="str">
        <x:f>IF(A24="","",IF(ISNUMBER(R24),N24-R24,"Cost missing"))</x:f>
      </x:c>
      <x:c r="T24" s="42" t="str">
        <x:f>IF(A24="","",IF(COUNTIFS($A$6:$A$205,A24)&lt;&gt;1,"Duplicate ID",IF(OR(B24="",D24="",NOT(ISNUMBER(C24)),H24&lt;=0,NOT(ISNUMBER(I24)),I24&lt;0,J24&lt;0,J24&gt;H24*I24,K24&lt;0),"Check sale inputs",IF(NOT(ISNUMBER(Q24)),"Lot/cost incomplete",IF(OR(F24="Sale",F24="Return"),"OK","Type required")))))</x:f>
      </x:c>
    </x:row>
    <x:row r="25" ht="23" customHeight="1">
      <x:c r="A25" s="36"/>
      <x:c r="B25" s="36"/>
      <x:c r="C25" s="40"/>
      <x:c r="D25" s="36"/>
      <x:c r="E25" s="36"/>
      <x:c r="F25" s="36"/>
      <x:c r="G25" s="36"/>
      <x:c r="H25" s="41"/>
      <x:c r="I25" s="41"/>
      <x:c r="J25" s="41"/>
      <x:c r="K25" s="41"/>
      <x:c r="L25" s="36"/>
      <x:c r="M25" s="42" t="str">
        <x:f>IF(A25="","",IF(COUNTIFS('Lots'!$A$6:$A$105,G25)=1,VLOOKUP(G25,'Lots'!$A$6:$B$105,2,FALSE),"Unknown lot"))</x:f>
      </x:c>
      <x:c r="N25" s="37" t="str">
        <x:f>IF(A25="","",IF(F25="Return",-1,1)*(H25*I25-J25))</x:f>
      </x:c>
      <x:c r="O25" s="37" t="str">
        <x:f>IF(A25="","",IF(F25="Return",-K25,K25))</x:f>
      </x:c>
      <x:c r="P25" s="37" t="str">
        <x:f>IF(A25="","",N25+O25)</x:f>
      </x:c>
      <x:c r="Q25" s="37" t="str">
        <x:f>IF(A25="","",IF(COUNTIFS('Lots'!$A$6:$A$105,G25)=1,VLOOKUP(G25,'Lots'!$A$6:$J$105,10,FALSE),"Unknown lot"))</x:f>
      </x:c>
      <x:c r="R25" s="37" t="str">
        <x:f>IF(A25="","",IF(ISNUMBER(Q25),IF(F25="Return",-1,1)*H25*Q25,"Cost missing"))</x:f>
      </x:c>
      <x:c r="S25" s="37" t="str">
        <x:f>IF(A25="","",IF(ISNUMBER(R25),N25-R25,"Cost missing"))</x:f>
      </x:c>
      <x:c r="T25" s="42" t="str">
        <x:f>IF(A25="","",IF(COUNTIFS($A$6:$A$205,A25)&lt;&gt;1,"Duplicate ID",IF(OR(B25="",D25="",NOT(ISNUMBER(C25)),H25&lt;=0,NOT(ISNUMBER(I25)),I25&lt;0,J25&lt;0,J25&gt;H25*I25,K25&lt;0),"Check sale inputs",IF(NOT(ISNUMBER(Q25)),"Lot/cost incomplete",IF(OR(F25="Sale",F25="Return"),"OK","Type required")))))</x:f>
      </x:c>
    </x:row>
    <x:row r="26" ht="23" customHeight="1">
      <x:c r="A26" s="36"/>
      <x:c r="B26" s="36"/>
      <x:c r="C26" s="40"/>
      <x:c r="D26" s="36"/>
      <x:c r="E26" s="36"/>
      <x:c r="F26" s="36"/>
      <x:c r="G26" s="36"/>
      <x:c r="H26" s="41"/>
      <x:c r="I26" s="41"/>
      <x:c r="J26" s="41"/>
      <x:c r="K26" s="41"/>
      <x:c r="L26" s="36"/>
      <x:c r="M26" s="42" t="str">
        <x:f>IF(A26="","",IF(COUNTIFS('Lots'!$A$6:$A$105,G26)=1,VLOOKUP(G26,'Lots'!$A$6:$B$105,2,FALSE),"Unknown lot"))</x:f>
      </x:c>
      <x:c r="N26" s="37" t="str">
        <x:f>IF(A26="","",IF(F26="Return",-1,1)*(H26*I26-J26))</x:f>
      </x:c>
      <x:c r="O26" s="37" t="str">
        <x:f>IF(A26="","",IF(F26="Return",-K26,K26))</x:f>
      </x:c>
      <x:c r="P26" s="37" t="str">
        <x:f>IF(A26="","",N26+O26)</x:f>
      </x:c>
      <x:c r="Q26" s="37" t="str">
        <x:f>IF(A26="","",IF(COUNTIFS('Lots'!$A$6:$A$105,G26)=1,VLOOKUP(G26,'Lots'!$A$6:$J$105,10,FALSE),"Unknown lot"))</x:f>
      </x:c>
      <x:c r="R26" s="37" t="str">
        <x:f>IF(A26="","",IF(ISNUMBER(Q26),IF(F26="Return",-1,1)*H26*Q26,"Cost missing"))</x:f>
      </x:c>
      <x:c r="S26" s="37" t="str">
        <x:f>IF(A26="","",IF(ISNUMBER(R26),N26-R26,"Cost missing"))</x:f>
      </x:c>
      <x:c r="T26" s="42" t="str">
        <x:f>IF(A26="","",IF(COUNTIFS($A$6:$A$205,A26)&lt;&gt;1,"Duplicate ID",IF(OR(B26="",D26="",NOT(ISNUMBER(C26)),H26&lt;=0,NOT(ISNUMBER(I26)),I26&lt;0,J26&lt;0,J26&gt;H26*I26,K26&lt;0),"Check sale inputs",IF(NOT(ISNUMBER(Q26)),"Lot/cost incomplete",IF(OR(F26="Sale",F26="Return"),"OK","Type required")))))</x:f>
      </x:c>
    </x:row>
    <x:row r="27" ht="23" customHeight="1">
      <x:c r="A27" s="36"/>
      <x:c r="B27" s="36"/>
      <x:c r="C27" s="40"/>
      <x:c r="D27" s="36"/>
      <x:c r="E27" s="36"/>
      <x:c r="F27" s="36"/>
      <x:c r="G27" s="36"/>
      <x:c r="H27" s="41"/>
      <x:c r="I27" s="41"/>
      <x:c r="J27" s="41"/>
      <x:c r="K27" s="41"/>
      <x:c r="L27" s="36"/>
      <x:c r="M27" s="42" t="str">
        <x:f>IF(A27="","",IF(COUNTIFS('Lots'!$A$6:$A$105,G27)=1,VLOOKUP(G27,'Lots'!$A$6:$B$105,2,FALSE),"Unknown lot"))</x:f>
      </x:c>
      <x:c r="N27" s="37" t="str">
        <x:f>IF(A27="","",IF(F27="Return",-1,1)*(H27*I27-J27))</x:f>
      </x:c>
      <x:c r="O27" s="37" t="str">
        <x:f>IF(A27="","",IF(F27="Return",-K27,K27))</x:f>
      </x:c>
      <x:c r="P27" s="37" t="str">
        <x:f>IF(A27="","",N27+O27)</x:f>
      </x:c>
      <x:c r="Q27" s="37" t="str">
        <x:f>IF(A27="","",IF(COUNTIFS('Lots'!$A$6:$A$105,G27)=1,VLOOKUP(G27,'Lots'!$A$6:$J$105,10,FALSE),"Unknown lot"))</x:f>
      </x:c>
      <x:c r="R27" s="37" t="str">
        <x:f>IF(A27="","",IF(ISNUMBER(Q27),IF(F27="Return",-1,1)*H27*Q27,"Cost missing"))</x:f>
      </x:c>
      <x:c r="S27" s="37" t="str">
        <x:f>IF(A27="","",IF(ISNUMBER(R27),N27-R27,"Cost missing"))</x:f>
      </x:c>
      <x:c r="T27" s="42" t="str">
        <x:f>IF(A27="","",IF(COUNTIFS($A$6:$A$205,A27)&lt;&gt;1,"Duplicate ID",IF(OR(B27="",D27="",NOT(ISNUMBER(C27)),H27&lt;=0,NOT(ISNUMBER(I27)),I27&lt;0,J27&lt;0,J27&gt;H27*I27,K27&lt;0),"Check sale inputs",IF(NOT(ISNUMBER(Q27)),"Lot/cost incomplete",IF(OR(F27="Sale",F27="Return"),"OK","Type required")))))</x:f>
      </x:c>
    </x:row>
    <x:row r="28" ht="23" customHeight="1">
      <x:c r="A28" s="36"/>
      <x:c r="B28" s="36"/>
      <x:c r="C28" s="40"/>
      <x:c r="D28" s="36"/>
      <x:c r="E28" s="36"/>
      <x:c r="F28" s="36"/>
      <x:c r="G28" s="36"/>
      <x:c r="H28" s="41"/>
      <x:c r="I28" s="41"/>
      <x:c r="J28" s="41"/>
      <x:c r="K28" s="41"/>
      <x:c r="L28" s="36"/>
      <x:c r="M28" s="42" t="str">
        <x:f>IF(A28="","",IF(COUNTIFS('Lots'!$A$6:$A$105,G28)=1,VLOOKUP(G28,'Lots'!$A$6:$B$105,2,FALSE),"Unknown lot"))</x:f>
      </x:c>
      <x:c r="N28" s="37" t="str">
        <x:f>IF(A28="","",IF(F28="Return",-1,1)*(H28*I28-J28))</x:f>
      </x:c>
      <x:c r="O28" s="37" t="str">
        <x:f>IF(A28="","",IF(F28="Return",-K28,K28))</x:f>
      </x:c>
      <x:c r="P28" s="37" t="str">
        <x:f>IF(A28="","",N28+O28)</x:f>
      </x:c>
      <x:c r="Q28" s="37" t="str">
        <x:f>IF(A28="","",IF(COUNTIFS('Lots'!$A$6:$A$105,G28)=1,VLOOKUP(G28,'Lots'!$A$6:$J$105,10,FALSE),"Unknown lot"))</x:f>
      </x:c>
      <x:c r="R28" s="37" t="str">
        <x:f>IF(A28="","",IF(ISNUMBER(Q28),IF(F28="Return",-1,1)*H28*Q28,"Cost missing"))</x:f>
      </x:c>
      <x:c r="S28" s="37" t="str">
        <x:f>IF(A28="","",IF(ISNUMBER(R28),N28-R28,"Cost missing"))</x:f>
      </x:c>
      <x:c r="T28" s="42" t="str">
        <x:f>IF(A28="","",IF(COUNTIFS($A$6:$A$205,A28)&lt;&gt;1,"Duplicate ID",IF(OR(B28="",D28="",NOT(ISNUMBER(C28)),H28&lt;=0,NOT(ISNUMBER(I28)),I28&lt;0,J28&lt;0,J28&gt;H28*I28,K28&lt;0),"Check sale inputs",IF(NOT(ISNUMBER(Q28)),"Lot/cost incomplete",IF(OR(F28="Sale",F28="Return"),"OK","Type required")))))</x:f>
      </x:c>
    </x:row>
    <x:row r="29" ht="23" customHeight="1">
      <x:c r="A29" s="36"/>
      <x:c r="B29" s="36"/>
      <x:c r="C29" s="40"/>
      <x:c r="D29" s="36"/>
      <x:c r="E29" s="36"/>
      <x:c r="F29" s="36"/>
      <x:c r="G29" s="36"/>
      <x:c r="H29" s="41"/>
      <x:c r="I29" s="41"/>
      <x:c r="J29" s="41"/>
      <x:c r="K29" s="41"/>
      <x:c r="L29" s="36"/>
      <x:c r="M29" s="42" t="str">
        <x:f>IF(A29="","",IF(COUNTIFS('Lots'!$A$6:$A$105,G29)=1,VLOOKUP(G29,'Lots'!$A$6:$B$105,2,FALSE),"Unknown lot"))</x:f>
      </x:c>
      <x:c r="N29" s="37" t="str">
        <x:f>IF(A29="","",IF(F29="Return",-1,1)*(H29*I29-J29))</x:f>
      </x:c>
      <x:c r="O29" s="37" t="str">
        <x:f>IF(A29="","",IF(F29="Return",-K29,K29))</x:f>
      </x:c>
      <x:c r="P29" s="37" t="str">
        <x:f>IF(A29="","",N29+O29)</x:f>
      </x:c>
      <x:c r="Q29" s="37" t="str">
        <x:f>IF(A29="","",IF(COUNTIFS('Lots'!$A$6:$A$105,G29)=1,VLOOKUP(G29,'Lots'!$A$6:$J$105,10,FALSE),"Unknown lot"))</x:f>
      </x:c>
      <x:c r="R29" s="37" t="str">
        <x:f>IF(A29="","",IF(ISNUMBER(Q29),IF(F29="Return",-1,1)*H29*Q29,"Cost missing"))</x:f>
      </x:c>
      <x:c r="S29" s="37" t="str">
        <x:f>IF(A29="","",IF(ISNUMBER(R29),N29-R29,"Cost missing"))</x:f>
      </x:c>
      <x:c r="T29" s="42" t="str">
        <x:f>IF(A29="","",IF(COUNTIFS($A$6:$A$205,A29)&lt;&gt;1,"Duplicate ID",IF(OR(B29="",D29="",NOT(ISNUMBER(C29)),H29&lt;=0,NOT(ISNUMBER(I29)),I29&lt;0,J29&lt;0,J29&gt;H29*I29,K29&lt;0),"Check sale inputs",IF(NOT(ISNUMBER(Q29)),"Lot/cost incomplete",IF(OR(F29="Sale",F29="Return"),"OK","Type required")))))</x:f>
      </x:c>
    </x:row>
    <x:row r="30" ht="23" customHeight="1">
      <x:c r="A30" s="36"/>
      <x:c r="B30" s="36"/>
      <x:c r="C30" s="40"/>
      <x:c r="D30" s="36"/>
      <x:c r="E30" s="36"/>
      <x:c r="F30" s="36"/>
      <x:c r="G30" s="36"/>
      <x:c r="H30" s="41"/>
      <x:c r="I30" s="41"/>
      <x:c r="J30" s="41"/>
      <x:c r="K30" s="41"/>
      <x:c r="L30" s="36"/>
      <x:c r="M30" s="42" t="str">
        <x:f>IF(A30="","",IF(COUNTIFS('Lots'!$A$6:$A$105,G30)=1,VLOOKUP(G30,'Lots'!$A$6:$B$105,2,FALSE),"Unknown lot"))</x:f>
      </x:c>
      <x:c r="N30" s="37" t="str">
        <x:f>IF(A30="","",IF(F30="Return",-1,1)*(H30*I30-J30))</x:f>
      </x:c>
      <x:c r="O30" s="37" t="str">
        <x:f>IF(A30="","",IF(F30="Return",-K30,K30))</x:f>
      </x:c>
      <x:c r="P30" s="37" t="str">
        <x:f>IF(A30="","",N30+O30)</x:f>
      </x:c>
      <x:c r="Q30" s="37" t="str">
        <x:f>IF(A30="","",IF(COUNTIFS('Lots'!$A$6:$A$105,G30)=1,VLOOKUP(G30,'Lots'!$A$6:$J$105,10,FALSE),"Unknown lot"))</x:f>
      </x:c>
      <x:c r="R30" s="37" t="str">
        <x:f>IF(A30="","",IF(ISNUMBER(Q30),IF(F30="Return",-1,1)*H30*Q30,"Cost missing"))</x:f>
      </x:c>
      <x:c r="S30" s="37" t="str">
        <x:f>IF(A30="","",IF(ISNUMBER(R30),N30-R30,"Cost missing"))</x:f>
      </x:c>
      <x:c r="T30" s="42" t="str">
        <x:f>IF(A30="","",IF(COUNTIFS($A$6:$A$205,A30)&lt;&gt;1,"Duplicate ID",IF(OR(B30="",D30="",NOT(ISNUMBER(C30)),H30&lt;=0,NOT(ISNUMBER(I30)),I30&lt;0,J30&lt;0,J30&gt;H30*I30,K30&lt;0),"Check sale inputs",IF(NOT(ISNUMBER(Q30)),"Lot/cost incomplete",IF(OR(F30="Sale",F30="Return"),"OK","Type required")))))</x:f>
      </x:c>
    </x:row>
    <x:row r="31" ht="23" customHeight="1">
      <x:c r="A31" s="36"/>
      <x:c r="B31" s="36"/>
      <x:c r="C31" s="40"/>
      <x:c r="D31" s="36"/>
      <x:c r="E31" s="36"/>
      <x:c r="F31" s="36"/>
      <x:c r="G31" s="36"/>
      <x:c r="H31" s="41"/>
      <x:c r="I31" s="41"/>
      <x:c r="J31" s="41"/>
      <x:c r="K31" s="41"/>
      <x:c r="L31" s="36"/>
      <x:c r="M31" s="42" t="str">
        <x:f>IF(A31="","",IF(COUNTIFS('Lots'!$A$6:$A$105,G31)=1,VLOOKUP(G31,'Lots'!$A$6:$B$105,2,FALSE),"Unknown lot"))</x:f>
      </x:c>
      <x:c r="N31" s="37" t="str">
        <x:f>IF(A31="","",IF(F31="Return",-1,1)*(H31*I31-J31))</x:f>
      </x:c>
      <x:c r="O31" s="37" t="str">
        <x:f>IF(A31="","",IF(F31="Return",-K31,K31))</x:f>
      </x:c>
      <x:c r="P31" s="37" t="str">
        <x:f>IF(A31="","",N31+O31)</x:f>
      </x:c>
      <x:c r="Q31" s="37" t="str">
        <x:f>IF(A31="","",IF(COUNTIFS('Lots'!$A$6:$A$105,G31)=1,VLOOKUP(G31,'Lots'!$A$6:$J$105,10,FALSE),"Unknown lot"))</x:f>
      </x:c>
      <x:c r="R31" s="37" t="str">
        <x:f>IF(A31="","",IF(ISNUMBER(Q31),IF(F31="Return",-1,1)*H31*Q31,"Cost missing"))</x:f>
      </x:c>
      <x:c r="S31" s="37" t="str">
        <x:f>IF(A31="","",IF(ISNUMBER(R31),N31-R31,"Cost missing"))</x:f>
      </x:c>
      <x:c r="T31" s="42" t="str">
        <x:f>IF(A31="","",IF(COUNTIFS($A$6:$A$205,A31)&lt;&gt;1,"Duplicate ID",IF(OR(B31="",D31="",NOT(ISNUMBER(C31)),H31&lt;=0,NOT(ISNUMBER(I31)),I31&lt;0,J31&lt;0,J31&gt;H31*I31,K31&lt;0),"Check sale inputs",IF(NOT(ISNUMBER(Q31)),"Lot/cost incomplete",IF(OR(F31="Sale",F31="Return"),"OK","Type required")))))</x:f>
      </x:c>
    </x:row>
    <x:row r="32" ht="23" customHeight="1">
      <x:c r="A32" s="36"/>
      <x:c r="B32" s="36"/>
      <x:c r="C32" s="40"/>
      <x:c r="D32" s="36"/>
      <x:c r="E32" s="36"/>
      <x:c r="F32" s="36"/>
      <x:c r="G32" s="36"/>
      <x:c r="H32" s="41"/>
      <x:c r="I32" s="41"/>
      <x:c r="J32" s="41"/>
      <x:c r="K32" s="41"/>
      <x:c r="L32" s="36"/>
      <x:c r="M32" s="42" t="str">
        <x:f>IF(A32="","",IF(COUNTIFS('Lots'!$A$6:$A$105,G32)=1,VLOOKUP(G32,'Lots'!$A$6:$B$105,2,FALSE),"Unknown lot"))</x:f>
      </x:c>
      <x:c r="N32" s="37" t="str">
        <x:f>IF(A32="","",IF(F32="Return",-1,1)*(H32*I32-J32))</x:f>
      </x:c>
      <x:c r="O32" s="37" t="str">
        <x:f>IF(A32="","",IF(F32="Return",-K32,K32))</x:f>
      </x:c>
      <x:c r="P32" s="37" t="str">
        <x:f>IF(A32="","",N32+O32)</x:f>
      </x:c>
      <x:c r="Q32" s="37" t="str">
        <x:f>IF(A32="","",IF(COUNTIFS('Lots'!$A$6:$A$105,G32)=1,VLOOKUP(G32,'Lots'!$A$6:$J$105,10,FALSE),"Unknown lot"))</x:f>
      </x:c>
      <x:c r="R32" s="37" t="str">
        <x:f>IF(A32="","",IF(ISNUMBER(Q32),IF(F32="Return",-1,1)*H32*Q32,"Cost missing"))</x:f>
      </x:c>
      <x:c r="S32" s="37" t="str">
        <x:f>IF(A32="","",IF(ISNUMBER(R32),N32-R32,"Cost missing"))</x:f>
      </x:c>
      <x:c r="T32" s="42" t="str">
        <x:f>IF(A32="","",IF(COUNTIFS($A$6:$A$205,A32)&lt;&gt;1,"Duplicate ID",IF(OR(B32="",D32="",NOT(ISNUMBER(C32)),H32&lt;=0,NOT(ISNUMBER(I32)),I32&lt;0,J32&lt;0,J32&gt;H32*I32,K32&lt;0),"Check sale inputs",IF(NOT(ISNUMBER(Q32)),"Lot/cost incomplete",IF(OR(F32="Sale",F32="Return"),"OK","Type required")))))</x:f>
      </x:c>
    </x:row>
    <x:row r="33" ht="23" customHeight="1">
      <x:c r="A33" s="36"/>
      <x:c r="B33" s="36"/>
      <x:c r="C33" s="40"/>
      <x:c r="D33" s="36"/>
      <x:c r="E33" s="36"/>
      <x:c r="F33" s="36"/>
      <x:c r="G33" s="36"/>
      <x:c r="H33" s="41"/>
      <x:c r="I33" s="41"/>
      <x:c r="J33" s="41"/>
      <x:c r="K33" s="41"/>
      <x:c r="L33" s="36"/>
      <x:c r="M33" s="42" t="str">
        <x:f>IF(A33="","",IF(COUNTIFS('Lots'!$A$6:$A$105,G33)=1,VLOOKUP(G33,'Lots'!$A$6:$B$105,2,FALSE),"Unknown lot"))</x:f>
      </x:c>
      <x:c r="N33" s="37" t="str">
        <x:f>IF(A33="","",IF(F33="Return",-1,1)*(H33*I33-J33))</x:f>
      </x:c>
      <x:c r="O33" s="37" t="str">
        <x:f>IF(A33="","",IF(F33="Return",-K33,K33))</x:f>
      </x:c>
      <x:c r="P33" s="37" t="str">
        <x:f>IF(A33="","",N33+O33)</x:f>
      </x:c>
      <x:c r="Q33" s="37" t="str">
        <x:f>IF(A33="","",IF(COUNTIFS('Lots'!$A$6:$A$105,G33)=1,VLOOKUP(G33,'Lots'!$A$6:$J$105,10,FALSE),"Unknown lot"))</x:f>
      </x:c>
      <x:c r="R33" s="37" t="str">
        <x:f>IF(A33="","",IF(ISNUMBER(Q33),IF(F33="Return",-1,1)*H33*Q33,"Cost missing"))</x:f>
      </x:c>
      <x:c r="S33" s="37" t="str">
        <x:f>IF(A33="","",IF(ISNUMBER(R33),N33-R33,"Cost missing"))</x:f>
      </x:c>
      <x:c r="T33" s="42" t="str">
        <x:f>IF(A33="","",IF(COUNTIFS($A$6:$A$205,A33)&lt;&gt;1,"Duplicate ID",IF(OR(B33="",D33="",NOT(ISNUMBER(C33)),H33&lt;=0,NOT(ISNUMBER(I33)),I33&lt;0,J33&lt;0,J33&gt;H33*I33,K33&lt;0),"Check sale inputs",IF(NOT(ISNUMBER(Q33)),"Lot/cost incomplete",IF(OR(F33="Sale",F33="Return"),"OK","Type required")))))</x:f>
      </x:c>
    </x:row>
    <x:row r="34" ht="23" customHeight="1">
      <x:c r="A34" s="36"/>
      <x:c r="B34" s="36"/>
      <x:c r="C34" s="40"/>
      <x:c r="D34" s="36"/>
      <x:c r="E34" s="36"/>
      <x:c r="F34" s="36"/>
      <x:c r="G34" s="36"/>
      <x:c r="H34" s="41"/>
      <x:c r="I34" s="41"/>
      <x:c r="J34" s="41"/>
      <x:c r="K34" s="41"/>
      <x:c r="L34" s="36"/>
      <x:c r="M34" s="42" t="str">
        <x:f>IF(A34="","",IF(COUNTIFS('Lots'!$A$6:$A$105,G34)=1,VLOOKUP(G34,'Lots'!$A$6:$B$105,2,FALSE),"Unknown lot"))</x:f>
      </x:c>
      <x:c r="N34" s="37" t="str">
        <x:f>IF(A34="","",IF(F34="Return",-1,1)*(H34*I34-J34))</x:f>
      </x:c>
      <x:c r="O34" s="37" t="str">
        <x:f>IF(A34="","",IF(F34="Return",-K34,K34))</x:f>
      </x:c>
      <x:c r="P34" s="37" t="str">
        <x:f>IF(A34="","",N34+O34)</x:f>
      </x:c>
      <x:c r="Q34" s="37" t="str">
        <x:f>IF(A34="","",IF(COUNTIFS('Lots'!$A$6:$A$105,G34)=1,VLOOKUP(G34,'Lots'!$A$6:$J$105,10,FALSE),"Unknown lot"))</x:f>
      </x:c>
      <x:c r="R34" s="37" t="str">
        <x:f>IF(A34="","",IF(ISNUMBER(Q34),IF(F34="Return",-1,1)*H34*Q34,"Cost missing"))</x:f>
      </x:c>
      <x:c r="S34" s="37" t="str">
        <x:f>IF(A34="","",IF(ISNUMBER(R34),N34-R34,"Cost missing"))</x:f>
      </x:c>
      <x:c r="T34" s="42" t="str">
        <x:f>IF(A34="","",IF(COUNTIFS($A$6:$A$205,A34)&lt;&gt;1,"Duplicate ID",IF(OR(B34="",D34="",NOT(ISNUMBER(C34)),H34&lt;=0,NOT(ISNUMBER(I34)),I34&lt;0,J34&lt;0,J34&gt;H34*I34,K34&lt;0),"Check sale inputs",IF(NOT(ISNUMBER(Q34)),"Lot/cost incomplete",IF(OR(F34="Sale",F34="Return"),"OK","Type required")))))</x:f>
      </x:c>
    </x:row>
    <x:row r="35" ht="23" customHeight="1">
      <x:c r="A35" s="36"/>
      <x:c r="B35" s="36"/>
      <x:c r="C35" s="40"/>
      <x:c r="D35" s="36"/>
      <x:c r="E35" s="36"/>
      <x:c r="F35" s="36"/>
      <x:c r="G35" s="36"/>
      <x:c r="H35" s="41"/>
      <x:c r="I35" s="41"/>
      <x:c r="J35" s="41"/>
      <x:c r="K35" s="41"/>
      <x:c r="L35" s="36"/>
      <x:c r="M35" s="42" t="str">
        <x:f>IF(A35="","",IF(COUNTIFS('Lots'!$A$6:$A$105,G35)=1,VLOOKUP(G35,'Lots'!$A$6:$B$105,2,FALSE),"Unknown lot"))</x:f>
      </x:c>
      <x:c r="N35" s="37" t="str">
        <x:f>IF(A35="","",IF(F35="Return",-1,1)*(H35*I35-J35))</x:f>
      </x:c>
      <x:c r="O35" s="37" t="str">
        <x:f>IF(A35="","",IF(F35="Return",-K35,K35))</x:f>
      </x:c>
      <x:c r="P35" s="37" t="str">
        <x:f>IF(A35="","",N35+O35)</x:f>
      </x:c>
      <x:c r="Q35" s="37" t="str">
        <x:f>IF(A35="","",IF(COUNTIFS('Lots'!$A$6:$A$105,G35)=1,VLOOKUP(G35,'Lots'!$A$6:$J$105,10,FALSE),"Unknown lot"))</x:f>
      </x:c>
      <x:c r="R35" s="37" t="str">
        <x:f>IF(A35="","",IF(ISNUMBER(Q35),IF(F35="Return",-1,1)*H35*Q35,"Cost missing"))</x:f>
      </x:c>
      <x:c r="S35" s="37" t="str">
        <x:f>IF(A35="","",IF(ISNUMBER(R35),N35-R35,"Cost missing"))</x:f>
      </x:c>
      <x:c r="T35" s="42" t="str">
        <x:f>IF(A35="","",IF(COUNTIFS($A$6:$A$205,A35)&lt;&gt;1,"Duplicate ID",IF(OR(B35="",D35="",NOT(ISNUMBER(C35)),H35&lt;=0,NOT(ISNUMBER(I35)),I35&lt;0,J35&lt;0,J35&gt;H35*I35,K35&lt;0),"Check sale inputs",IF(NOT(ISNUMBER(Q35)),"Lot/cost incomplete",IF(OR(F35="Sale",F35="Return"),"OK","Type required")))))</x:f>
      </x:c>
    </x:row>
    <x:row r="36" ht="23" customHeight="1">
      <x:c r="A36" s="36"/>
      <x:c r="B36" s="36"/>
      <x:c r="C36" s="40"/>
      <x:c r="D36" s="36"/>
      <x:c r="E36" s="36"/>
      <x:c r="F36" s="36"/>
      <x:c r="G36" s="36"/>
      <x:c r="H36" s="41"/>
      <x:c r="I36" s="41"/>
      <x:c r="J36" s="41"/>
      <x:c r="K36" s="41"/>
      <x:c r="L36" s="36"/>
      <x:c r="M36" s="42" t="str">
        <x:f>IF(A36="","",IF(COUNTIFS('Lots'!$A$6:$A$105,G36)=1,VLOOKUP(G36,'Lots'!$A$6:$B$105,2,FALSE),"Unknown lot"))</x:f>
      </x:c>
      <x:c r="N36" s="37" t="str">
        <x:f>IF(A36="","",IF(F36="Return",-1,1)*(H36*I36-J36))</x:f>
      </x:c>
      <x:c r="O36" s="37" t="str">
        <x:f>IF(A36="","",IF(F36="Return",-K36,K36))</x:f>
      </x:c>
      <x:c r="P36" s="37" t="str">
        <x:f>IF(A36="","",N36+O36)</x:f>
      </x:c>
      <x:c r="Q36" s="37" t="str">
        <x:f>IF(A36="","",IF(COUNTIFS('Lots'!$A$6:$A$105,G36)=1,VLOOKUP(G36,'Lots'!$A$6:$J$105,10,FALSE),"Unknown lot"))</x:f>
      </x:c>
      <x:c r="R36" s="37" t="str">
        <x:f>IF(A36="","",IF(ISNUMBER(Q36),IF(F36="Return",-1,1)*H36*Q36,"Cost missing"))</x:f>
      </x:c>
      <x:c r="S36" s="37" t="str">
        <x:f>IF(A36="","",IF(ISNUMBER(R36),N36-R36,"Cost missing"))</x:f>
      </x:c>
      <x:c r="T36" s="42" t="str">
        <x:f>IF(A36="","",IF(COUNTIFS($A$6:$A$205,A36)&lt;&gt;1,"Duplicate ID",IF(OR(B36="",D36="",NOT(ISNUMBER(C36)),H36&lt;=0,NOT(ISNUMBER(I36)),I36&lt;0,J36&lt;0,J36&gt;H36*I36,K36&lt;0),"Check sale inputs",IF(NOT(ISNUMBER(Q36)),"Lot/cost incomplete",IF(OR(F36="Sale",F36="Return"),"OK","Type required")))))</x:f>
      </x:c>
    </x:row>
    <x:row r="37" ht="23" customHeight="1">
      <x:c r="A37" s="36"/>
      <x:c r="B37" s="36"/>
      <x:c r="C37" s="40"/>
      <x:c r="D37" s="36"/>
      <x:c r="E37" s="36"/>
      <x:c r="F37" s="36"/>
      <x:c r="G37" s="36"/>
      <x:c r="H37" s="41"/>
      <x:c r="I37" s="41"/>
      <x:c r="J37" s="41"/>
      <x:c r="K37" s="41"/>
      <x:c r="L37" s="36"/>
      <x:c r="M37" s="42" t="str">
        <x:f>IF(A37="","",IF(COUNTIFS('Lots'!$A$6:$A$105,G37)=1,VLOOKUP(G37,'Lots'!$A$6:$B$105,2,FALSE),"Unknown lot"))</x:f>
      </x:c>
      <x:c r="N37" s="37" t="str">
        <x:f>IF(A37="","",IF(F37="Return",-1,1)*(H37*I37-J37))</x:f>
      </x:c>
      <x:c r="O37" s="37" t="str">
        <x:f>IF(A37="","",IF(F37="Return",-K37,K37))</x:f>
      </x:c>
      <x:c r="P37" s="37" t="str">
        <x:f>IF(A37="","",N37+O37)</x:f>
      </x:c>
      <x:c r="Q37" s="37" t="str">
        <x:f>IF(A37="","",IF(COUNTIFS('Lots'!$A$6:$A$105,G37)=1,VLOOKUP(G37,'Lots'!$A$6:$J$105,10,FALSE),"Unknown lot"))</x:f>
      </x:c>
      <x:c r="R37" s="37" t="str">
        <x:f>IF(A37="","",IF(ISNUMBER(Q37),IF(F37="Return",-1,1)*H37*Q37,"Cost missing"))</x:f>
      </x:c>
      <x:c r="S37" s="37" t="str">
        <x:f>IF(A37="","",IF(ISNUMBER(R37),N37-R37,"Cost missing"))</x:f>
      </x:c>
      <x:c r="T37" s="42" t="str">
        <x:f>IF(A37="","",IF(COUNTIFS($A$6:$A$205,A37)&lt;&gt;1,"Duplicate ID",IF(OR(B37="",D37="",NOT(ISNUMBER(C37)),H37&lt;=0,NOT(ISNUMBER(I37)),I37&lt;0,J37&lt;0,J37&gt;H37*I37,K37&lt;0),"Check sale inputs",IF(NOT(ISNUMBER(Q37)),"Lot/cost incomplete",IF(OR(F37="Sale",F37="Return"),"OK","Type required")))))</x:f>
      </x:c>
    </x:row>
    <x:row r="38" ht="23" customHeight="1">
      <x:c r="A38" s="36"/>
      <x:c r="B38" s="36"/>
      <x:c r="C38" s="40"/>
      <x:c r="D38" s="36"/>
      <x:c r="E38" s="36"/>
      <x:c r="F38" s="36"/>
      <x:c r="G38" s="36"/>
      <x:c r="H38" s="41"/>
      <x:c r="I38" s="41"/>
      <x:c r="J38" s="41"/>
      <x:c r="K38" s="41"/>
      <x:c r="L38" s="36"/>
      <x:c r="M38" s="42" t="str">
        <x:f>IF(A38="","",IF(COUNTIFS('Lots'!$A$6:$A$105,G38)=1,VLOOKUP(G38,'Lots'!$A$6:$B$105,2,FALSE),"Unknown lot"))</x:f>
      </x:c>
      <x:c r="N38" s="37" t="str">
        <x:f>IF(A38="","",IF(F38="Return",-1,1)*(H38*I38-J38))</x:f>
      </x:c>
      <x:c r="O38" s="37" t="str">
        <x:f>IF(A38="","",IF(F38="Return",-K38,K38))</x:f>
      </x:c>
      <x:c r="P38" s="37" t="str">
        <x:f>IF(A38="","",N38+O38)</x:f>
      </x:c>
      <x:c r="Q38" s="37" t="str">
        <x:f>IF(A38="","",IF(COUNTIFS('Lots'!$A$6:$A$105,G38)=1,VLOOKUP(G38,'Lots'!$A$6:$J$105,10,FALSE),"Unknown lot"))</x:f>
      </x:c>
      <x:c r="R38" s="37" t="str">
        <x:f>IF(A38="","",IF(ISNUMBER(Q38),IF(F38="Return",-1,1)*H38*Q38,"Cost missing"))</x:f>
      </x:c>
      <x:c r="S38" s="37" t="str">
        <x:f>IF(A38="","",IF(ISNUMBER(R38),N38-R38,"Cost missing"))</x:f>
      </x:c>
      <x:c r="T38" s="42" t="str">
        <x:f>IF(A38="","",IF(COUNTIFS($A$6:$A$205,A38)&lt;&gt;1,"Duplicate ID",IF(OR(B38="",D38="",NOT(ISNUMBER(C38)),H38&lt;=0,NOT(ISNUMBER(I38)),I38&lt;0,J38&lt;0,J38&gt;H38*I38,K38&lt;0),"Check sale inputs",IF(NOT(ISNUMBER(Q38)),"Lot/cost incomplete",IF(OR(F38="Sale",F38="Return"),"OK","Type required")))))</x:f>
      </x:c>
    </x:row>
    <x:row r="39" ht="23" customHeight="1">
      <x:c r="A39" s="36"/>
      <x:c r="B39" s="36"/>
      <x:c r="C39" s="40"/>
      <x:c r="D39" s="36"/>
      <x:c r="E39" s="36"/>
      <x:c r="F39" s="36"/>
      <x:c r="G39" s="36"/>
      <x:c r="H39" s="41"/>
      <x:c r="I39" s="41"/>
      <x:c r="J39" s="41"/>
      <x:c r="K39" s="41"/>
      <x:c r="L39" s="36"/>
      <x:c r="M39" s="42" t="str">
        <x:f>IF(A39="","",IF(COUNTIFS('Lots'!$A$6:$A$105,G39)=1,VLOOKUP(G39,'Lots'!$A$6:$B$105,2,FALSE),"Unknown lot"))</x:f>
      </x:c>
      <x:c r="N39" s="37" t="str">
        <x:f>IF(A39="","",IF(F39="Return",-1,1)*(H39*I39-J39))</x:f>
      </x:c>
      <x:c r="O39" s="37" t="str">
        <x:f>IF(A39="","",IF(F39="Return",-K39,K39))</x:f>
      </x:c>
      <x:c r="P39" s="37" t="str">
        <x:f>IF(A39="","",N39+O39)</x:f>
      </x:c>
      <x:c r="Q39" s="37" t="str">
        <x:f>IF(A39="","",IF(COUNTIFS('Lots'!$A$6:$A$105,G39)=1,VLOOKUP(G39,'Lots'!$A$6:$J$105,10,FALSE),"Unknown lot"))</x:f>
      </x:c>
      <x:c r="R39" s="37" t="str">
        <x:f>IF(A39="","",IF(ISNUMBER(Q39),IF(F39="Return",-1,1)*H39*Q39,"Cost missing"))</x:f>
      </x:c>
      <x:c r="S39" s="37" t="str">
        <x:f>IF(A39="","",IF(ISNUMBER(R39),N39-R39,"Cost missing"))</x:f>
      </x:c>
      <x:c r="T39" s="42" t="str">
        <x:f>IF(A39="","",IF(COUNTIFS($A$6:$A$205,A39)&lt;&gt;1,"Duplicate ID",IF(OR(B39="",D39="",NOT(ISNUMBER(C39)),H39&lt;=0,NOT(ISNUMBER(I39)),I39&lt;0,J39&lt;0,J39&gt;H39*I39,K39&lt;0),"Check sale inputs",IF(NOT(ISNUMBER(Q39)),"Lot/cost incomplete",IF(OR(F39="Sale",F39="Return"),"OK","Type required")))))</x:f>
      </x:c>
    </x:row>
    <x:row r="40" ht="23" customHeight="1">
      <x:c r="A40" s="36"/>
      <x:c r="B40" s="36"/>
      <x:c r="C40" s="40"/>
      <x:c r="D40" s="36"/>
      <x:c r="E40" s="36"/>
      <x:c r="F40" s="36"/>
      <x:c r="G40" s="36"/>
      <x:c r="H40" s="41"/>
      <x:c r="I40" s="41"/>
      <x:c r="J40" s="41"/>
      <x:c r="K40" s="41"/>
      <x:c r="L40" s="36"/>
      <x:c r="M40" s="42" t="str">
        <x:f>IF(A40="","",IF(COUNTIFS('Lots'!$A$6:$A$105,G40)=1,VLOOKUP(G40,'Lots'!$A$6:$B$105,2,FALSE),"Unknown lot"))</x:f>
      </x:c>
      <x:c r="N40" s="37" t="str">
        <x:f>IF(A40="","",IF(F40="Return",-1,1)*(H40*I40-J40))</x:f>
      </x:c>
      <x:c r="O40" s="37" t="str">
        <x:f>IF(A40="","",IF(F40="Return",-K40,K40))</x:f>
      </x:c>
      <x:c r="P40" s="37" t="str">
        <x:f>IF(A40="","",N40+O40)</x:f>
      </x:c>
      <x:c r="Q40" s="37" t="str">
        <x:f>IF(A40="","",IF(COUNTIFS('Lots'!$A$6:$A$105,G40)=1,VLOOKUP(G40,'Lots'!$A$6:$J$105,10,FALSE),"Unknown lot"))</x:f>
      </x:c>
      <x:c r="R40" s="37" t="str">
        <x:f>IF(A40="","",IF(ISNUMBER(Q40),IF(F40="Return",-1,1)*H40*Q40,"Cost missing"))</x:f>
      </x:c>
      <x:c r="S40" s="37" t="str">
        <x:f>IF(A40="","",IF(ISNUMBER(R40),N40-R40,"Cost missing"))</x:f>
      </x:c>
      <x:c r="T40" s="42" t="str">
        <x:f>IF(A40="","",IF(COUNTIFS($A$6:$A$205,A40)&lt;&gt;1,"Duplicate ID",IF(OR(B40="",D40="",NOT(ISNUMBER(C40)),H40&lt;=0,NOT(ISNUMBER(I40)),I40&lt;0,J40&lt;0,J40&gt;H40*I40,K40&lt;0),"Check sale inputs",IF(NOT(ISNUMBER(Q40)),"Lot/cost incomplete",IF(OR(F40="Sale",F40="Return"),"OK","Type required")))))</x:f>
      </x:c>
    </x:row>
    <x:row r="41" ht="23" customHeight="1">
      <x:c r="A41" s="36"/>
      <x:c r="B41" s="36"/>
      <x:c r="C41" s="40"/>
      <x:c r="D41" s="36"/>
      <x:c r="E41" s="36"/>
      <x:c r="F41" s="36"/>
      <x:c r="G41" s="36"/>
      <x:c r="H41" s="41"/>
      <x:c r="I41" s="41"/>
      <x:c r="J41" s="41"/>
      <x:c r="K41" s="41"/>
      <x:c r="L41" s="36"/>
      <x:c r="M41" s="42" t="str">
        <x:f>IF(A41="","",IF(COUNTIFS('Lots'!$A$6:$A$105,G41)=1,VLOOKUP(G41,'Lots'!$A$6:$B$105,2,FALSE),"Unknown lot"))</x:f>
      </x:c>
      <x:c r="N41" s="37" t="str">
        <x:f>IF(A41="","",IF(F41="Return",-1,1)*(H41*I41-J41))</x:f>
      </x:c>
      <x:c r="O41" s="37" t="str">
        <x:f>IF(A41="","",IF(F41="Return",-K41,K41))</x:f>
      </x:c>
      <x:c r="P41" s="37" t="str">
        <x:f>IF(A41="","",N41+O41)</x:f>
      </x:c>
      <x:c r="Q41" s="37" t="str">
        <x:f>IF(A41="","",IF(COUNTIFS('Lots'!$A$6:$A$105,G41)=1,VLOOKUP(G41,'Lots'!$A$6:$J$105,10,FALSE),"Unknown lot"))</x:f>
      </x:c>
      <x:c r="R41" s="37" t="str">
        <x:f>IF(A41="","",IF(ISNUMBER(Q41),IF(F41="Return",-1,1)*H41*Q41,"Cost missing"))</x:f>
      </x:c>
      <x:c r="S41" s="37" t="str">
        <x:f>IF(A41="","",IF(ISNUMBER(R41),N41-R41,"Cost missing"))</x:f>
      </x:c>
      <x:c r="T41" s="42" t="str">
        <x:f>IF(A41="","",IF(COUNTIFS($A$6:$A$205,A41)&lt;&gt;1,"Duplicate ID",IF(OR(B41="",D41="",NOT(ISNUMBER(C41)),H41&lt;=0,NOT(ISNUMBER(I41)),I41&lt;0,J41&lt;0,J41&gt;H41*I41,K41&lt;0),"Check sale inputs",IF(NOT(ISNUMBER(Q41)),"Lot/cost incomplete",IF(OR(F41="Sale",F41="Return"),"OK","Type required")))))</x:f>
      </x:c>
    </x:row>
    <x:row r="42" ht="23" customHeight="1">
      <x:c r="A42" s="36"/>
      <x:c r="B42" s="36"/>
      <x:c r="C42" s="40"/>
      <x:c r="D42" s="36"/>
      <x:c r="E42" s="36"/>
      <x:c r="F42" s="36"/>
      <x:c r="G42" s="36"/>
      <x:c r="H42" s="41"/>
      <x:c r="I42" s="41"/>
      <x:c r="J42" s="41"/>
      <x:c r="K42" s="41"/>
      <x:c r="L42" s="36"/>
      <x:c r="M42" s="42" t="str">
        <x:f>IF(A42="","",IF(COUNTIFS('Lots'!$A$6:$A$105,G42)=1,VLOOKUP(G42,'Lots'!$A$6:$B$105,2,FALSE),"Unknown lot"))</x:f>
      </x:c>
      <x:c r="N42" s="37" t="str">
        <x:f>IF(A42="","",IF(F42="Return",-1,1)*(H42*I42-J42))</x:f>
      </x:c>
      <x:c r="O42" s="37" t="str">
        <x:f>IF(A42="","",IF(F42="Return",-K42,K42))</x:f>
      </x:c>
      <x:c r="P42" s="37" t="str">
        <x:f>IF(A42="","",N42+O42)</x:f>
      </x:c>
      <x:c r="Q42" s="37" t="str">
        <x:f>IF(A42="","",IF(COUNTIFS('Lots'!$A$6:$A$105,G42)=1,VLOOKUP(G42,'Lots'!$A$6:$J$105,10,FALSE),"Unknown lot"))</x:f>
      </x:c>
      <x:c r="R42" s="37" t="str">
        <x:f>IF(A42="","",IF(ISNUMBER(Q42),IF(F42="Return",-1,1)*H42*Q42,"Cost missing"))</x:f>
      </x:c>
      <x:c r="S42" s="37" t="str">
        <x:f>IF(A42="","",IF(ISNUMBER(R42),N42-R42,"Cost missing"))</x:f>
      </x:c>
      <x:c r="T42" s="42" t="str">
        <x:f>IF(A42="","",IF(COUNTIFS($A$6:$A$205,A42)&lt;&gt;1,"Duplicate ID",IF(OR(B42="",D42="",NOT(ISNUMBER(C42)),H42&lt;=0,NOT(ISNUMBER(I42)),I42&lt;0,J42&lt;0,J42&gt;H42*I42,K42&lt;0),"Check sale inputs",IF(NOT(ISNUMBER(Q42)),"Lot/cost incomplete",IF(OR(F42="Sale",F42="Return"),"OK","Type required")))))</x:f>
      </x:c>
    </x:row>
    <x:row r="43" ht="23" customHeight="1">
      <x:c r="A43" s="36"/>
      <x:c r="B43" s="36"/>
      <x:c r="C43" s="40"/>
      <x:c r="D43" s="36"/>
      <x:c r="E43" s="36"/>
      <x:c r="F43" s="36"/>
      <x:c r="G43" s="36"/>
      <x:c r="H43" s="41"/>
      <x:c r="I43" s="41"/>
      <x:c r="J43" s="41"/>
      <x:c r="K43" s="41"/>
      <x:c r="L43" s="36"/>
      <x:c r="M43" s="42" t="str">
        <x:f>IF(A43="","",IF(COUNTIFS('Lots'!$A$6:$A$105,G43)=1,VLOOKUP(G43,'Lots'!$A$6:$B$105,2,FALSE),"Unknown lot"))</x:f>
      </x:c>
      <x:c r="N43" s="37" t="str">
        <x:f>IF(A43="","",IF(F43="Return",-1,1)*(H43*I43-J43))</x:f>
      </x:c>
      <x:c r="O43" s="37" t="str">
        <x:f>IF(A43="","",IF(F43="Return",-K43,K43))</x:f>
      </x:c>
      <x:c r="P43" s="37" t="str">
        <x:f>IF(A43="","",N43+O43)</x:f>
      </x:c>
      <x:c r="Q43" s="37" t="str">
        <x:f>IF(A43="","",IF(COUNTIFS('Lots'!$A$6:$A$105,G43)=1,VLOOKUP(G43,'Lots'!$A$6:$J$105,10,FALSE),"Unknown lot"))</x:f>
      </x:c>
      <x:c r="R43" s="37" t="str">
        <x:f>IF(A43="","",IF(ISNUMBER(Q43),IF(F43="Return",-1,1)*H43*Q43,"Cost missing"))</x:f>
      </x:c>
      <x:c r="S43" s="37" t="str">
        <x:f>IF(A43="","",IF(ISNUMBER(R43),N43-R43,"Cost missing"))</x:f>
      </x:c>
      <x:c r="T43" s="42" t="str">
        <x:f>IF(A43="","",IF(COUNTIFS($A$6:$A$205,A43)&lt;&gt;1,"Duplicate ID",IF(OR(B43="",D43="",NOT(ISNUMBER(C43)),H43&lt;=0,NOT(ISNUMBER(I43)),I43&lt;0,J43&lt;0,J43&gt;H43*I43,K43&lt;0),"Check sale inputs",IF(NOT(ISNUMBER(Q43)),"Lot/cost incomplete",IF(OR(F43="Sale",F43="Return"),"OK","Type required")))))</x:f>
      </x:c>
    </x:row>
    <x:row r="44" ht="23" customHeight="1">
      <x:c r="A44" s="36"/>
      <x:c r="B44" s="36"/>
      <x:c r="C44" s="40"/>
      <x:c r="D44" s="36"/>
      <x:c r="E44" s="36"/>
      <x:c r="F44" s="36"/>
      <x:c r="G44" s="36"/>
      <x:c r="H44" s="41"/>
      <x:c r="I44" s="41"/>
      <x:c r="J44" s="41"/>
      <x:c r="K44" s="41"/>
      <x:c r="L44" s="36"/>
      <x:c r="M44" s="42" t="str">
        <x:f>IF(A44="","",IF(COUNTIFS('Lots'!$A$6:$A$105,G44)=1,VLOOKUP(G44,'Lots'!$A$6:$B$105,2,FALSE),"Unknown lot"))</x:f>
      </x:c>
      <x:c r="N44" s="37" t="str">
        <x:f>IF(A44="","",IF(F44="Return",-1,1)*(H44*I44-J44))</x:f>
      </x:c>
      <x:c r="O44" s="37" t="str">
        <x:f>IF(A44="","",IF(F44="Return",-K44,K44))</x:f>
      </x:c>
      <x:c r="P44" s="37" t="str">
        <x:f>IF(A44="","",N44+O44)</x:f>
      </x:c>
      <x:c r="Q44" s="37" t="str">
        <x:f>IF(A44="","",IF(COUNTIFS('Lots'!$A$6:$A$105,G44)=1,VLOOKUP(G44,'Lots'!$A$6:$J$105,10,FALSE),"Unknown lot"))</x:f>
      </x:c>
      <x:c r="R44" s="37" t="str">
        <x:f>IF(A44="","",IF(ISNUMBER(Q44),IF(F44="Return",-1,1)*H44*Q44,"Cost missing"))</x:f>
      </x:c>
      <x:c r="S44" s="37" t="str">
        <x:f>IF(A44="","",IF(ISNUMBER(R44),N44-R44,"Cost missing"))</x:f>
      </x:c>
      <x:c r="T44" s="42" t="str">
        <x:f>IF(A44="","",IF(COUNTIFS($A$6:$A$205,A44)&lt;&gt;1,"Duplicate ID",IF(OR(B44="",D44="",NOT(ISNUMBER(C44)),H44&lt;=0,NOT(ISNUMBER(I44)),I44&lt;0,J44&lt;0,J44&gt;H44*I44,K44&lt;0),"Check sale inputs",IF(NOT(ISNUMBER(Q44)),"Lot/cost incomplete",IF(OR(F44="Sale",F44="Return"),"OK","Type required")))))</x:f>
      </x:c>
    </x:row>
    <x:row r="45" ht="23" customHeight="1">
      <x:c r="A45" s="36"/>
      <x:c r="B45" s="36"/>
      <x:c r="C45" s="40"/>
      <x:c r="D45" s="36"/>
      <x:c r="E45" s="36"/>
      <x:c r="F45" s="36"/>
      <x:c r="G45" s="36"/>
      <x:c r="H45" s="41"/>
      <x:c r="I45" s="41"/>
      <x:c r="J45" s="41"/>
      <x:c r="K45" s="41"/>
      <x:c r="L45" s="36"/>
      <x:c r="M45" s="42" t="str">
        <x:f>IF(A45="","",IF(COUNTIFS('Lots'!$A$6:$A$105,G45)=1,VLOOKUP(G45,'Lots'!$A$6:$B$105,2,FALSE),"Unknown lot"))</x:f>
      </x:c>
      <x:c r="N45" s="37" t="str">
        <x:f>IF(A45="","",IF(F45="Return",-1,1)*(H45*I45-J45))</x:f>
      </x:c>
      <x:c r="O45" s="37" t="str">
        <x:f>IF(A45="","",IF(F45="Return",-K45,K45))</x:f>
      </x:c>
      <x:c r="P45" s="37" t="str">
        <x:f>IF(A45="","",N45+O45)</x:f>
      </x:c>
      <x:c r="Q45" s="37" t="str">
        <x:f>IF(A45="","",IF(COUNTIFS('Lots'!$A$6:$A$105,G45)=1,VLOOKUP(G45,'Lots'!$A$6:$J$105,10,FALSE),"Unknown lot"))</x:f>
      </x:c>
      <x:c r="R45" s="37" t="str">
        <x:f>IF(A45="","",IF(ISNUMBER(Q45),IF(F45="Return",-1,1)*H45*Q45,"Cost missing"))</x:f>
      </x:c>
      <x:c r="S45" s="37" t="str">
        <x:f>IF(A45="","",IF(ISNUMBER(R45),N45-R45,"Cost missing"))</x:f>
      </x:c>
      <x:c r="T45" s="42" t="str">
        <x:f>IF(A45="","",IF(COUNTIFS($A$6:$A$205,A45)&lt;&gt;1,"Duplicate ID",IF(OR(B45="",D45="",NOT(ISNUMBER(C45)),H45&lt;=0,NOT(ISNUMBER(I45)),I45&lt;0,J45&lt;0,J45&gt;H45*I45,K45&lt;0),"Check sale inputs",IF(NOT(ISNUMBER(Q45)),"Lot/cost incomplete",IF(OR(F45="Sale",F45="Return"),"OK","Type required")))))</x:f>
      </x:c>
    </x:row>
    <x:row r="46" ht="23" customHeight="1">
      <x:c r="A46" s="36"/>
      <x:c r="B46" s="36"/>
      <x:c r="C46" s="40"/>
      <x:c r="D46" s="36"/>
      <x:c r="E46" s="36"/>
      <x:c r="F46" s="36"/>
      <x:c r="G46" s="36"/>
      <x:c r="H46" s="41"/>
      <x:c r="I46" s="41"/>
      <x:c r="J46" s="41"/>
      <x:c r="K46" s="41"/>
      <x:c r="L46" s="36"/>
      <x:c r="M46" s="42" t="str">
        <x:f>IF(A46="","",IF(COUNTIFS('Lots'!$A$6:$A$105,G46)=1,VLOOKUP(G46,'Lots'!$A$6:$B$105,2,FALSE),"Unknown lot"))</x:f>
      </x:c>
      <x:c r="N46" s="37" t="str">
        <x:f>IF(A46="","",IF(F46="Return",-1,1)*(H46*I46-J46))</x:f>
      </x:c>
      <x:c r="O46" s="37" t="str">
        <x:f>IF(A46="","",IF(F46="Return",-K46,K46))</x:f>
      </x:c>
      <x:c r="P46" s="37" t="str">
        <x:f>IF(A46="","",N46+O46)</x:f>
      </x:c>
      <x:c r="Q46" s="37" t="str">
        <x:f>IF(A46="","",IF(COUNTIFS('Lots'!$A$6:$A$105,G46)=1,VLOOKUP(G46,'Lots'!$A$6:$J$105,10,FALSE),"Unknown lot"))</x:f>
      </x:c>
      <x:c r="R46" s="37" t="str">
        <x:f>IF(A46="","",IF(ISNUMBER(Q46),IF(F46="Return",-1,1)*H46*Q46,"Cost missing"))</x:f>
      </x:c>
      <x:c r="S46" s="37" t="str">
        <x:f>IF(A46="","",IF(ISNUMBER(R46),N46-R46,"Cost missing"))</x:f>
      </x:c>
      <x:c r="T46" s="42" t="str">
        <x:f>IF(A46="","",IF(COUNTIFS($A$6:$A$205,A46)&lt;&gt;1,"Duplicate ID",IF(OR(B46="",D46="",NOT(ISNUMBER(C46)),H46&lt;=0,NOT(ISNUMBER(I46)),I46&lt;0,J46&lt;0,J46&gt;H46*I46,K46&lt;0),"Check sale inputs",IF(NOT(ISNUMBER(Q46)),"Lot/cost incomplete",IF(OR(F46="Sale",F46="Return"),"OK","Type required")))))</x:f>
      </x:c>
    </x:row>
    <x:row r="47" ht="23" customHeight="1">
      <x:c r="A47" s="36"/>
      <x:c r="B47" s="36"/>
      <x:c r="C47" s="40"/>
      <x:c r="D47" s="36"/>
      <x:c r="E47" s="36"/>
      <x:c r="F47" s="36"/>
      <x:c r="G47" s="36"/>
      <x:c r="H47" s="41"/>
      <x:c r="I47" s="41"/>
      <x:c r="J47" s="41"/>
      <x:c r="K47" s="41"/>
      <x:c r="L47" s="36"/>
      <x:c r="M47" s="42" t="str">
        <x:f>IF(A47="","",IF(COUNTIFS('Lots'!$A$6:$A$105,G47)=1,VLOOKUP(G47,'Lots'!$A$6:$B$105,2,FALSE),"Unknown lot"))</x:f>
      </x:c>
      <x:c r="N47" s="37" t="str">
        <x:f>IF(A47="","",IF(F47="Return",-1,1)*(H47*I47-J47))</x:f>
      </x:c>
      <x:c r="O47" s="37" t="str">
        <x:f>IF(A47="","",IF(F47="Return",-K47,K47))</x:f>
      </x:c>
      <x:c r="P47" s="37" t="str">
        <x:f>IF(A47="","",N47+O47)</x:f>
      </x:c>
      <x:c r="Q47" s="37" t="str">
        <x:f>IF(A47="","",IF(COUNTIFS('Lots'!$A$6:$A$105,G47)=1,VLOOKUP(G47,'Lots'!$A$6:$J$105,10,FALSE),"Unknown lot"))</x:f>
      </x:c>
      <x:c r="R47" s="37" t="str">
        <x:f>IF(A47="","",IF(ISNUMBER(Q47),IF(F47="Return",-1,1)*H47*Q47,"Cost missing"))</x:f>
      </x:c>
      <x:c r="S47" s="37" t="str">
        <x:f>IF(A47="","",IF(ISNUMBER(R47),N47-R47,"Cost missing"))</x:f>
      </x:c>
      <x:c r="T47" s="42" t="str">
        <x:f>IF(A47="","",IF(COUNTIFS($A$6:$A$205,A47)&lt;&gt;1,"Duplicate ID",IF(OR(B47="",D47="",NOT(ISNUMBER(C47)),H47&lt;=0,NOT(ISNUMBER(I47)),I47&lt;0,J47&lt;0,J47&gt;H47*I47,K47&lt;0),"Check sale inputs",IF(NOT(ISNUMBER(Q47)),"Lot/cost incomplete",IF(OR(F47="Sale",F47="Return"),"OK","Type required")))))</x:f>
      </x:c>
    </x:row>
    <x:row r="48" ht="23" customHeight="1">
      <x:c r="A48" s="36"/>
      <x:c r="B48" s="36"/>
      <x:c r="C48" s="40"/>
      <x:c r="D48" s="36"/>
      <x:c r="E48" s="36"/>
      <x:c r="F48" s="36"/>
      <x:c r="G48" s="36"/>
      <x:c r="H48" s="41"/>
      <x:c r="I48" s="41"/>
      <x:c r="J48" s="41"/>
      <x:c r="K48" s="41"/>
      <x:c r="L48" s="36"/>
      <x:c r="M48" s="42" t="str">
        <x:f>IF(A48="","",IF(COUNTIFS('Lots'!$A$6:$A$105,G48)=1,VLOOKUP(G48,'Lots'!$A$6:$B$105,2,FALSE),"Unknown lot"))</x:f>
      </x:c>
      <x:c r="N48" s="37" t="str">
        <x:f>IF(A48="","",IF(F48="Return",-1,1)*(H48*I48-J48))</x:f>
      </x:c>
      <x:c r="O48" s="37" t="str">
        <x:f>IF(A48="","",IF(F48="Return",-K48,K48))</x:f>
      </x:c>
      <x:c r="P48" s="37" t="str">
        <x:f>IF(A48="","",N48+O48)</x:f>
      </x:c>
      <x:c r="Q48" s="37" t="str">
        <x:f>IF(A48="","",IF(COUNTIFS('Lots'!$A$6:$A$105,G48)=1,VLOOKUP(G48,'Lots'!$A$6:$J$105,10,FALSE),"Unknown lot"))</x:f>
      </x:c>
      <x:c r="R48" s="37" t="str">
        <x:f>IF(A48="","",IF(ISNUMBER(Q48),IF(F48="Return",-1,1)*H48*Q48,"Cost missing"))</x:f>
      </x:c>
      <x:c r="S48" s="37" t="str">
        <x:f>IF(A48="","",IF(ISNUMBER(R48),N48-R48,"Cost missing"))</x:f>
      </x:c>
      <x:c r="T48" s="42" t="str">
        <x:f>IF(A48="","",IF(COUNTIFS($A$6:$A$205,A48)&lt;&gt;1,"Duplicate ID",IF(OR(B48="",D48="",NOT(ISNUMBER(C48)),H48&lt;=0,NOT(ISNUMBER(I48)),I48&lt;0,J48&lt;0,J48&gt;H48*I48,K48&lt;0),"Check sale inputs",IF(NOT(ISNUMBER(Q48)),"Lot/cost incomplete",IF(OR(F48="Sale",F48="Return"),"OK","Type required")))))</x:f>
      </x:c>
    </x:row>
    <x:row r="49" ht="23" customHeight="1">
      <x:c r="A49" s="36"/>
      <x:c r="B49" s="36"/>
      <x:c r="C49" s="40"/>
      <x:c r="D49" s="36"/>
      <x:c r="E49" s="36"/>
      <x:c r="F49" s="36"/>
      <x:c r="G49" s="36"/>
      <x:c r="H49" s="41"/>
      <x:c r="I49" s="41"/>
      <x:c r="J49" s="41"/>
      <x:c r="K49" s="41"/>
      <x:c r="L49" s="36"/>
      <x:c r="M49" s="42" t="str">
        <x:f>IF(A49="","",IF(COUNTIFS('Lots'!$A$6:$A$105,G49)=1,VLOOKUP(G49,'Lots'!$A$6:$B$105,2,FALSE),"Unknown lot"))</x:f>
      </x:c>
      <x:c r="N49" s="37" t="str">
        <x:f>IF(A49="","",IF(F49="Return",-1,1)*(H49*I49-J49))</x:f>
      </x:c>
      <x:c r="O49" s="37" t="str">
        <x:f>IF(A49="","",IF(F49="Return",-K49,K49))</x:f>
      </x:c>
      <x:c r="P49" s="37" t="str">
        <x:f>IF(A49="","",N49+O49)</x:f>
      </x:c>
      <x:c r="Q49" s="37" t="str">
        <x:f>IF(A49="","",IF(COUNTIFS('Lots'!$A$6:$A$105,G49)=1,VLOOKUP(G49,'Lots'!$A$6:$J$105,10,FALSE),"Unknown lot"))</x:f>
      </x:c>
      <x:c r="R49" s="37" t="str">
        <x:f>IF(A49="","",IF(ISNUMBER(Q49),IF(F49="Return",-1,1)*H49*Q49,"Cost missing"))</x:f>
      </x:c>
      <x:c r="S49" s="37" t="str">
        <x:f>IF(A49="","",IF(ISNUMBER(R49),N49-R49,"Cost missing"))</x:f>
      </x:c>
      <x:c r="T49" s="42" t="str">
        <x:f>IF(A49="","",IF(COUNTIFS($A$6:$A$205,A49)&lt;&gt;1,"Duplicate ID",IF(OR(B49="",D49="",NOT(ISNUMBER(C49)),H49&lt;=0,NOT(ISNUMBER(I49)),I49&lt;0,J49&lt;0,J49&gt;H49*I49,K49&lt;0),"Check sale inputs",IF(NOT(ISNUMBER(Q49)),"Lot/cost incomplete",IF(OR(F49="Sale",F49="Return"),"OK","Type required")))))</x:f>
      </x:c>
    </x:row>
    <x:row r="50" ht="23" customHeight="1">
      <x:c r="A50" s="36"/>
      <x:c r="B50" s="36"/>
      <x:c r="C50" s="40"/>
      <x:c r="D50" s="36"/>
      <x:c r="E50" s="36"/>
      <x:c r="F50" s="36"/>
      <x:c r="G50" s="36"/>
      <x:c r="H50" s="41"/>
      <x:c r="I50" s="41"/>
      <x:c r="J50" s="41"/>
      <x:c r="K50" s="41"/>
      <x:c r="L50" s="36"/>
      <x:c r="M50" s="42" t="str">
        <x:f>IF(A50="","",IF(COUNTIFS('Lots'!$A$6:$A$105,G50)=1,VLOOKUP(G50,'Lots'!$A$6:$B$105,2,FALSE),"Unknown lot"))</x:f>
      </x:c>
      <x:c r="N50" s="37" t="str">
        <x:f>IF(A50="","",IF(F50="Return",-1,1)*(H50*I50-J50))</x:f>
      </x:c>
      <x:c r="O50" s="37" t="str">
        <x:f>IF(A50="","",IF(F50="Return",-K50,K50))</x:f>
      </x:c>
      <x:c r="P50" s="37" t="str">
        <x:f>IF(A50="","",N50+O50)</x:f>
      </x:c>
      <x:c r="Q50" s="37" t="str">
        <x:f>IF(A50="","",IF(COUNTIFS('Lots'!$A$6:$A$105,G50)=1,VLOOKUP(G50,'Lots'!$A$6:$J$105,10,FALSE),"Unknown lot"))</x:f>
      </x:c>
      <x:c r="R50" s="37" t="str">
        <x:f>IF(A50="","",IF(ISNUMBER(Q50),IF(F50="Return",-1,1)*H50*Q50,"Cost missing"))</x:f>
      </x:c>
      <x:c r="S50" s="37" t="str">
        <x:f>IF(A50="","",IF(ISNUMBER(R50),N50-R50,"Cost missing"))</x:f>
      </x:c>
      <x:c r="T50" s="42" t="str">
        <x:f>IF(A50="","",IF(COUNTIFS($A$6:$A$205,A50)&lt;&gt;1,"Duplicate ID",IF(OR(B50="",D50="",NOT(ISNUMBER(C50)),H50&lt;=0,NOT(ISNUMBER(I50)),I50&lt;0,J50&lt;0,J50&gt;H50*I50,K50&lt;0),"Check sale inputs",IF(NOT(ISNUMBER(Q50)),"Lot/cost incomplete",IF(OR(F50="Sale",F50="Return"),"OK","Type required")))))</x:f>
      </x:c>
    </x:row>
    <x:row r="51" ht="23" customHeight="1">
      <x:c r="A51" s="36"/>
      <x:c r="B51" s="36"/>
      <x:c r="C51" s="40"/>
      <x:c r="D51" s="36"/>
      <x:c r="E51" s="36"/>
      <x:c r="F51" s="36"/>
      <x:c r="G51" s="36"/>
      <x:c r="H51" s="41"/>
      <x:c r="I51" s="41"/>
      <x:c r="J51" s="41"/>
      <x:c r="K51" s="41"/>
      <x:c r="L51" s="36"/>
      <x:c r="M51" s="42" t="str">
        <x:f>IF(A51="","",IF(COUNTIFS('Lots'!$A$6:$A$105,G51)=1,VLOOKUP(G51,'Lots'!$A$6:$B$105,2,FALSE),"Unknown lot"))</x:f>
      </x:c>
      <x:c r="N51" s="37" t="str">
        <x:f>IF(A51="","",IF(F51="Return",-1,1)*(H51*I51-J51))</x:f>
      </x:c>
      <x:c r="O51" s="37" t="str">
        <x:f>IF(A51="","",IF(F51="Return",-K51,K51))</x:f>
      </x:c>
      <x:c r="P51" s="37" t="str">
        <x:f>IF(A51="","",N51+O51)</x:f>
      </x:c>
      <x:c r="Q51" s="37" t="str">
        <x:f>IF(A51="","",IF(COUNTIFS('Lots'!$A$6:$A$105,G51)=1,VLOOKUP(G51,'Lots'!$A$6:$J$105,10,FALSE),"Unknown lot"))</x:f>
      </x:c>
      <x:c r="R51" s="37" t="str">
        <x:f>IF(A51="","",IF(ISNUMBER(Q51),IF(F51="Return",-1,1)*H51*Q51,"Cost missing"))</x:f>
      </x:c>
      <x:c r="S51" s="37" t="str">
        <x:f>IF(A51="","",IF(ISNUMBER(R51),N51-R51,"Cost missing"))</x:f>
      </x:c>
      <x:c r="T51" s="42" t="str">
        <x:f>IF(A51="","",IF(COUNTIFS($A$6:$A$205,A51)&lt;&gt;1,"Duplicate ID",IF(OR(B51="",D51="",NOT(ISNUMBER(C51)),H51&lt;=0,NOT(ISNUMBER(I51)),I51&lt;0,J51&lt;0,J51&gt;H51*I51,K51&lt;0),"Check sale inputs",IF(NOT(ISNUMBER(Q51)),"Lot/cost incomplete",IF(OR(F51="Sale",F51="Return"),"OK","Type required")))))</x:f>
      </x:c>
    </x:row>
    <x:row r="52" ht="23" customHeight="1">
      <x:c r="A52" s="36"/>
      <x:c r="B52" s="36"/>
      <x:c r="C52" s="40"/>
      <x:c r="D52" s="36"/>
      <x:c r="E52" s="36"/>
      <x:c r="F52" s="36"/>
      <x:c r="G52" s="36"/>
      <x:c r="H52" s="41"/>
      <x:c r="I52" s="41"/>
      <x:c r="J52" s="41"/>
      <x:c r="K52" s="41"/>
      <x:c r="L52" s="36"/>
      <x:c r="M52" s="42" t="str">
        <x:f>IF(A52="","",IF(COUNTIFS('Lots'!$A$6:$A$105,G52)=1,VLOOKUP(G52,'Lots'!$A$6:$B$105,2,FALSE),"Unknown lot"))</x:f>
      </x:c>
      <x:c r="N52" s="37" t="str">
        <x:f>IF(A52="","",IF(F52="Return",-1,1)*(H52*I52-J52))</x:f>
      </x:c>
      <x:c r="O52" s="37" t="str">
        <x:f>IF(A52="","",IF(F52="Return",-K52,K52))</x:f>
      </x:c>
      <x:c r="P52" s="37" t="str">
        <x:f>IF(A52="","",N52+O52)</x:f>
      </x:c>
      <x:c r="Q52" s="37" t="str">
        <x:f>IF(A52="","",IF(COUNTIFS('Lots'!$A$6:$A$105,G52)=1,VLOOKUP(G52,'Lots'!$A$6:$J$105,10,FALSE),"Unknown lot"))</x:f>
      </x:c>
      <x:c r="R52" s="37" t="str">
        <x:f>IF(A52="","",IF(ISNUMBER(Q52),IF(F52="Return",-1,1)*H52*Q52,"Cost missing"))</x:f>
      </x:c>
      <x:c r="S52" s="37" t="str">
        <x:f>IF(A52="","",IF(ISNUMBER(R52),N52-R52,"Cost missing"))</x:f>
      </x:c>
      <x:c r="T52" s="42" t="str">
        <x:f>IF(A52="","",IF(COUNTIFS($A$6:$A$205,A52)&lt;&gt;1,"Duplicate ID",IF(OR(B52="",D52="",NOT(ISNUMBER(C52)),H52&lt;=0,NOT(ISNUMBER(I52)),I52&lt;0,J52&lt;0,J52&gt;H52*I52,K52&lt;0),"Check sale inputs",IF(NOT(ISNUMBER(Q52)),"Lot/cost incomplete",IF(OR(F52="Sale",F52="Return"),"OK","Type required")))))</x:f>
      </x:c>
    </x:row>
    <x:row r="53" ht="23" customHeight="1">
      <x:c r="A53" s="36"/>
      <x:c r="B53" s="36"/>
      <x:c r="C53" s="40"/>
      <x:c r="D53" s="36"/>
      <x:c r="E53" s="36"/>
      <x:c r="F53" s="36"/>
      <x:c r="G53" s="36"/>
      <x:c r="H53" s="41"/>
      <x:c r="I53" s="41"/>
      <x:c r="J53" s="41"/>
      <x:c r="K53" s="41"/>
      <x:c r="L53" s="36"/>
      <x:c r="M53" s="42" t="str">
        <x:f>IF(A53="","",IF(COUNTIFS('Lots'!$A$6:$A$105,G53)=1,VLOOKUP(G53,'Lots'!$A$6:$B$105,2,FALSE),"Unknown lot"))</x:f>
      </x:c>
      <x:c r="N53" s="37" t="str">
        <x:f>IF(A53="","",IF(F53="Return",-1,1)*(H53*I53-J53))</x:f>
      </x:c>
      <x:c r="O53" s="37" t="str">
        <x:f>IF(A53="","",IF(F53="Return",-K53,K53))</x:f>
      </x:c>
      <x:c r="P53" s="37" t="str">
        <x:f>IF(A53="","",N53+O53)</x:f>
      </x:c>
      <x:c r="Q53" s="37" t="str">
        <x:f>IF(A53="","",IF(COUNTIFS('Lots'!$A$6:$A$105,G53)=1,VLOOKUP(G53,'Lots'!$A$6:$J$105,10,FALSE),"Unknown lot"))</x:f>
      </x:c>
      <x:c r="R53" s="37" t="str">
        <x:f>IF(A53="","",IF(ISNUMBER(Q53),IF(F53="Return",-1,1)*H53*Q53,"Cost missing"))</x:f>
      </x:c>
      <x:c r="S53" s="37" t="str">
        <x:f>IF(A53="","",IF(ISNUMBER(R53),N53-R53,"Cost missing"))</x:f>
      </x:c>
      <x:c r="T53" s="42" t="str">
        <x:f>IF(A53="","",IF(COUNTIFS($A$6:$A$205,A53)&lt;&gt;1,"Duplicate ID",IF(OR(B53="",D53="",NOT(ISNUMBER(C53)),H53&lt;=0,NOT(ISNUMBER(I53)),I53&lt;0,J53&lt;0,J53&gt;H53*I53,K53&lt;0),"Check sale inputs",IF(NOT(ISNUMBER(Q53)),"Lot/cost incomplete",IF(OR(F53="Sale",F53="Return"),"OK","Type required")))))</x:f>
      </x:c>
    </x:row>
    <x:row r="54" ht="23" customHeight="1">
      <x:c r="A54" s="36"/>
      <x:c r="B54" s="36"/>
      <x:c r="C54" s="40"/>
      <x:c r="D54" s="36"/>
      <x:c r="E54" s="36"/>
      <x:c r="F54" s="36"/>
      <x:c r="G54" s="36"/>
      <x:c r="H54" s="41"/>
      <x:c r="I54" s="41"/>
      <x:c r="J54" s="41"/>
      <x:c r="K54" s="41"/>
      <x:c r="L54" s="36"/>
      <x:c r="M54" s="42" t="str">
        <x:f>IF(A54="","",IF(COUNTIFS('Lots'!$A$6:$A$105,G54)=1,VLOOKUP(G54,'Lots'!$A$6:$B$105,2,FALSE),"Unknown lot"))</x:f>
      </x:c>
      <x:c r="N54" s="37" t="str">
        <x:f>IF(A54="","",IF(F54="Return",-1,1)*(H54*I54-J54))</x:f>
      </x:c>
      <x:c r="O54" s="37" t="str">
        <x:f>IF(A54="","",IF(F54="Return",-K54,K54))</x:f>
      </x:c>
      <x:c r="P54" s="37" t="str">
        <x:f>IF(A54="","",N54+O54)</x:f>
      </x:c>
      <x:c r="Q54" s="37" t="str">
        <x:f>IF(A54="","",IF(COUNTIFS('Lots'!$A$6:$A$105,G54)=1,VLOOKUP(G54,'Lots'!$A$6:$J$105,10,FALSE),"Unknown lot"))</x:f>
      </x:c>
      <x:c r="R54" s="37" t="str">
        <x:f>IF(A54="","",IF(ISNUMBER(Q54),IF(F54="Return",-1,1)*H54*Q54,"Cost missing"))</x:f>
      </x:c>
      <x:c r="S54" s="37" t="str">
        <x:f>IF(A54="","",IF(ISNUMBER(R54),N54-R54,"Cost missing"))</x:f>
      </x:c>
      <x:c r="T54" s="42" t="str">
        <x:f>IF(A54="","",IF(COUNTIFS($A$6:$A$205,A54)&lt;&gt;1,"Duplicate ID",IF(OR(B54="",D54="",NOT(ISNUMBER(C54)),H54&lt;=0,NOT(ISNUMBER(I54)),I54&lt;0,J54&lt;0,J54&gt;H54*I54,K54&lt;0),"Check sale inputs",IF(NOT(ISNUMBER(Q54)),"Lot/cost incomplete",IF(OR(F54="Sale",F54="Return"),"OK","Type required")))))</x:f>
      </x:c>
    </x:row>
    <x:row r="55" ht="23" customHeight="1">
      <x:c r="A55" s="36"/>
      <x:c r="B55" s="36"/>
      <x:c r="C55" s="40"/>
      <x:c r="D55" s="36"/>
      <x:c r="E55" s="36"/>
      <x:c r="F55" s="36"/>
      <x:c r="G55" s="36"/>
      <x:c r="H55" s="41"/>
      <x:c r="I55" s="41"/>
      <x:c r="J55" s="41"/>
      <x:c r="K55" s="41"/>
      <x:c r="L55" s="36"/>
      <x:c r="M55" s="42" t="str">
        <x:f>IF(A55="","",IF(COUNTIFS('Lots'!$A$6:$A$105,G55)=1,VLOOKUP(G55,'Lots'!$A$6:$B$105,2,FALSE),"Unknown lot"))</x:f>
      </x:c>
      <x:c r="N55" s="37" t="str">
        <x:f>IF(A55="","",IF(F55="Return",-1,1)*(H55*I55-J55))</x:f>
      </x:c>
      <x:c r="O55" s="37" t="str">
        <x:f>IF(A55="","",IF(F55="Return",-K55,K55))</x:f>
      </x:c>
      <x:c r="P55" s="37" t="str">
        <x:f>IF(A55="","",N55+O55)</x:f>
      </x:c>
      <x:c r="Q55" s="37" t="str">
        <x:f>IF(A55="","",IF(COUNTIFS('Lots'!$A$6:$A$105,G55)=1,VLOOKUP(G55,'Lots'!$A$6:$J$105,10,FALSE),"Unknown lot"))</x:f>
      </x:c>
      <x:c r="R55" s="37" t="str">
        <x:f>IF(A55="","",IF(ISNUMBER(Q55),IF(F55="Return",-1,1)*H55*Q55,"Cost missing"))</x:f>
      </x:c>
      <x:c r="S55" s="37" t="str">
        <x:f>IF(A55="","",IF(ISNUMBER(R55),N55-R55,"Cost missing"))</x:f>
      </x:c>
      <x:c r="T55" s="42" t="str">
        <x:f>IF(A55="","",IF(COUNTIFS($A$6:$A$205,A55)&lt;&gt;1,"Duplicate ID",IF(OR(B55="",D55="",NOT(ISNUMBER(C55)),H55&lt;=0,NOT(ISNUMBER(I55)),I55&lt;0,J55&lt;0,J55&gt;H55*I55,K55&lt;0),"Check sale inputs",IF(NOT(ISNUMBER(Q55)),"Lot/cost incomplete",IF(OR(F55="Sale",F55="Return"),"OK","Type required")))))</x:f>
      </x:c>
    </x:row>
    <x:row r="56" ht="23" customHeight="1">
      <x:c r="A56" s="36"/>
      <x:c r="B56" s="36"/>
      <x:c r="C56" s="40"/>
      <x:c r="D56" s="36"/>
      <x:c r="E56" s="36"/>
      <x:c r="F56" s="36"/>
      <x:c r="G56" s="36"/>
      <x:c r="H56" s="41"/>
      <x:c r="I56" s="41"/>
      <x:c r="J56" s="41"/>
      <x:c r="K56" s="41"/>
      <x:c r="L56" s="36"/>
      <x:c r="M56" s="42" t="str">
        <x:f>IF(A56="","",IF(COUNTIFS('Lots'!$A$6:$A$105,G56)=1,VLOOKUP(G56,'Lots'!$A$6:$B$105,2,FALSE),"Unknown lot"))</x:f>
      </x:c>
      <x:c r="N56" s="37" t="str">
        <x:f>IF(A56="","",IF(F56="Return",-1,1)*(H56*I56-J56))</x:f>
      </x:c>
      <x:c r="O56" s="37" t="str">
        <x:f>IF(A56="","",IF(F56="Return",-K56,K56))</x:f>
      </x:c>
      <x:c r="P56" s="37" t="str">
        <x:f>IF(A56="","",N56+O56)</x:f>
      </x:c>
      <x:c r="Q56" s="37" t="str">
        <x:f>IF(A56="","",IF(COUNTIFS('Lots'!$A$6:$A$105,G56)=1,VLOOKUP(G56,'Lots'!$A$6:$J$105,10,FALSE),"Unknown lot"))</x:f>
      </x:c>
      <x:c r="R56" s="37" t="str">
        <x:f>IF(A56="","",IF(ISNUMBER(Q56),IF(F56="Return",-1,1)*H56*Q56,"Cost missing"))</x:f>
      </x:c>
      <x:c r="S56" s="37" t="str">
        <x:f>IF(A56="","",IF(ISNUMBER(R56),N56-R56,"Cost missing"))</x:f>
      </x:c>
      <x:c r="T56" s="42" t="str">
        <x:f>IF(A56="","",IF(COUNTIFS($A$6:$A$205,A56)&lt;&gt;1,"Duplicate ID",IF(OR(B56="",D56="",NOT(ISNUMBER(C56)),H56&lt;=0,NOT(ISNUMBER(I56)),I56&lt;0,J56&lt;0,J56&gt;H56*I56,K56&lt;0),"Check sale inputs",IF(NOT(ISNUMBER(Q56)),"Lot/cost incomplete",IF(OR(F56="Sale",F56="Return"),"OK","Type required")))))</x:f>
      </x:c>
    </x:row>
    <x:row r="57" ht="23" customHeight="1">
      <x:c r="A57" s="36"/>
      <x:c r="B57" s="36"/>
      <x:c r="C57" s="40"/>
      <x:c r="D57" s="36"/>
      <x:c r="E57" s="36"/>
      <x:c r="F57" s="36"/>
      <x:c r="G57" s="36"/>
      <x:c r="H57" s="41"/>
      <x:c r="I57" s="41"/>
      <x:c r="J57" s="41"/>
      <x:c r="K57" s="41"/>
      <x:c r="L57" s="36"/>
      <x:c r="M57" s="42" t="str">
        <x:f>IF(A57="","",IF(COUNTIFS('Lots'!$A$6:$A$105,G57)=1,VLOOKUP(G57,'Lots'!$A$6:$B$105,2,FALSE),"Unknown lot"))</x:f>
      </x:c>
      <x:c r="N57" s="37" t="str">
        <x:f>IF(A57="","",IF(F57="Return",-1,1)*(H57*I57-J57))</x:f>
      </x:c>
      <x:c r="O57" s="37" t="str">
        <x:f>IF(A57="","",IF(F57="Return",-K57,K57))</x:f>
      </x:c>
      <x:c r="P57" s="37" t="str">
        <x:f>IF(A57="","",N57+O57)</x:f>
      </x:c>
      <x:c r="Q57" s="37" t="str">
        <x:f>IF(A57="","",IF(COUNTIFS('Lots'!$A$6:$A$105,G57)=1,VLOOKUP(G57,'Lots'!$A$6:$J$105,10,FALSE),"Unknown lot"))</x:f>
      </x:c>
      <x:c r="R57" s="37" t="str">
        <x:f>IF(A57="","",IF(ISNUMBER(Q57),IF(F57="Return",-1,1)*H57*Q57,"Cost missing"))</x:f>
      </x:c>
      <x:c r="S57" s="37" t="str">
        <x:f>IF(A57="","",IF(ISNUMBER(R57),N57-R57,"Cost missing"))</x:f>
      </x:c>
      <x:c r="T57" s="42" t="str">
        <x:f>IF(A57="","",IF(COUNTIFS($A$6:$A$205,A57)&lt;&gt;1,"Duplicate ID",IF(OR(B57="",D57="",NOT(ISNUMBER(C57)),H57&lt;=0,NOT(ISNUMBER(I57)),I57&lt;0,J57&lt;0,J57&gt;H57*I57,K57&lt;0),"Check sale inputs",IF(NOT(ISNUMBER(Q57)),"Lot/cost incomplete",IF(OR(F57="Sale",F57="Return"),"OK","Type required")))))</x:f>
      </x:c>
    </x:row>
    <x:row r="58" ht="23" customHeight="1">
      <x:c r="A58" s="36"/>
      <x:c r="B58" s="36"/>
      <x:c r="C58" s="40"/>
      <x:c r="D58" s="36"/>
      <x:c r="E58" s="36"/>
      <x:c r="F58" s="36"/>
      <x:c r="G58" s="36"/>
      <x:c r="H58" s="41"/>
      <x:c r="I58" s="41"/>
      <x:c r="J58" s="41"/>
      <x:c r="K58" s="41"/>
      <x:c r="L58" s="36"/>
      <x:c r="M58" s="42" t="str">
        <x:f>IF(A58="","",IF(COUNTIFS('Lots'!$A$6:$A$105,G58)=1,VLOOKUP(G58,'Lots'!$A$6:$B$105,2,FALSE),"Unknown lot"))</x:f>
      </x:c>
      <x:c r="N58" s="37" t="str">
        <x:f>IF(A58="","",IF(F58="Return",-1,1)*(H58*I58-J58))</x:f>
      </x:c>
      <x:c r="O58" s="37" t="str">
        <x:f>IF(A58="","",IF(F58="Return",-K58,K58))</x:f>
      </x:c>
      <x:c r="P58" s="37" t="str">
        <x:f>IF(A58="","",N58+O58)</x:f>
      </x:c>
      <x:c r="Q58" s="37" t="str">
        <x:f>IF(A58="","",IF(COUNTIFS('Lots'!$A$6:$A$105,G58)=1,VLOOKUP(G58,'Lots'!$A$6:$J$105,10,FALSE),"Unknown lot"))</x:f>
      </x:c>
      <x:c r="R58" s="37" t="str">
        <x:f>IF(A58="","",IF(ISNUMBER(Q58),IF(F58="Return",-1,1)*H58*Q58,"Cost missing"))</x:f>
      </x:c>
      <x:c r="S58" s="37" t="str">
        <x:f>IF(A58="","",IF(ISNUMBER(R58),N58-R58,"Cost missing"))</x:f>
      </x:c>
      <x:c r="T58" s="42" t="str">
        <x:f>IF(A58="","",IF(COUNTIFS($A$6:$A$205,A58)&lt;&gt;1,"Duplicate ID",IF(OR(B58="",D58="",NOT(ISNUMBER(C58)),H58&lt;=0,NOT(ISNUMBER(I58)),I58&lt;0,J58&lt;0,J58&gt;H58*I58,K58&lt;0),"Check sale inputs",IF(NOT(ISNUMBER(Q58)),"Lot/cost incomplete",IF(OR(F58="Sale",F58="Return"),"OK","Type required")))))</x:f>
      </x:c>
    </x:row>
    <x:row r="59" ht="23" customHeight="1">
      <x:c r="A59" s="36"/>
      <x:c r="B59" s="36"/>
      <x:c r="C59" s="40"/>
      <x:c r="D59" s="36"/>
      <x:c r="E59" s="36"/>
      <x:c r="F59" s="36"/>
      <x:c r="G59" s="36"/>
      <x:c r="H59" s="41"/>
      <x:c r="I59" s="41"/>
      <x:c r="J59" s="41"/>
      <x:c r="K59" s="41"/>
      <x:c r="L59" s="36"/>
      <x:c r="M59" s="42" t="str">
        <x:f>IF(A59="","",IF(COUNTIFS('Lots'!$A$6:$A$105,G59)=1,VLOOKUP(G59,'Lots'!$A$6:$B$105,2,FALSE),"Unknown lot"))</x:f>
      </x:c>
      <x:c r="N59" s="37" t="str">
        <x:f>IF(A59="","",IF(F59="Return",-1,1)*(H59*I59-J59))</x:f>
      </x:c>
      <x:c r="O59" s="37" t="str">
        <x:f>IF(A59="","",IF(F59="Return",-K59,K59))</x:f>
      </x:c>
      <x:c r="P59" s="37" t="str">
        <x:f>IF(A59="","",N59+O59)</x:f>
      </x:c>
      <x:c r="Q59" s="37" t="str">
        <x:f>IF(A59="","",IF(COUNTIFS('Lots'!$A$6:$A$105,G59)=1,VLOOKUP(G59,'Lots'!$A$6:$J$105,10,FALSE),"Unknown lot"))</x:f>
      </x:c>
      <x:c r="R59" s="37" t="str">
        <x:f>IF(A59="","",IF(ISNUMBER(Q59),IF(F59="Return",-1,1)*H59*Q59,"Cost missing"))</x:f>
      </x:c>
      <x:c r="S59" s="37" t="str">
        <x:f>IF(A59="","",IF(ISNUMBER(R59),N59-R59,"Cost missing"))</x:f>
      </x:c>
      <x:c r="T59" s="42" t="str">
        <x:f>IF(A59="","",IF(COUNTIFS($A$6:$A$205,A59)&lt;&gt;1,"Duplicate ID",IF(OR(B59="",D59="",NOT(ISNUMBER(C59)),H59&lt;=0,NOT(ISNUMBER(I59)),I59&lt;0,J59&lt;0,J59&gt;H59*I59,K59&lt;0),"Check sale inputs",IF(NOT(ISNUMBER(Q59)),"Lot/cost incomplete",IF(OR(F59="Sale",F59="Return"),"OK","Type required")))))</x:f>
      </x:c>
    </x:row>
    <x:row r="60" ht="23" customHeight="1">
      <x:c r="A60" s="36"/>
      <x:c r="B60" s="36"/>
      <x:c r="C60" s="40"/>
      <x:c r="D60" s="36"/>
      <x:c r="E60" s="36"/>
      <x:c r="F60" s="36"/>
      <x:c r="G60" s="36"/>
      <x:c r="H60" s="41"/>
      <x:c r="I60" s="41"/>
      <x:c r="J60" s="41"/>
      <x:c r="K60" s="41"/>
      <x:c r="L60" s="36"/>
      <x:c r="M60" s="42" t="str">
        <x:f>IF(A60="","",IF(COUNTIFS('Lots'!$A$6:$A$105,G60)=1,VLOOKUP(G60,'Lots'!$A$6:$B$105,2,FALSE),"Unknown lot"))</x:f>
      </x:c>
      <x:c r="N60" s="37" t="str">
        <x:f>IF(A60="","",IF(F60="Return",-1,1)*(H60*I60-J60))</x:f>
      </x:c>
      <x:c r="O60" s="37" t="str">
        <x:f>IF(A60="","",IF(F60="Return",-K60,K60))</x:f>
      </x:c>
      <x:c r="P60" s="37" t="str">
        <x:f>IF(A60="","",N60+O60)</x:f>
      </x:c>
      <x:c r="Q60" s="37" t="str">
        <x:f>IF(A60="","",IF(COUNTIFS('Lots'!$A$6:$A$105,G60)=1,VLOOKUP(G60,'Lots'!$A$6:$J$105,10,FALSE),"Unknown lot"))</x:f>
      </x:c>
      <x:c r="R60" s="37" t="str">
        <x:f>IF(A60="","",IF(ISNUMBER(Q60),IF(F60="Return",-1,1)*H60*Q60,"Cost missing"))</x:f>
      </x:c>
      <x:c r="S60" s="37" t="str">
        <x:f>IF(A60="","",IF(ISNUMBER(R60),N60-R60,"Cost missing"))</x:f>
      </x:c>
      <x:c r="T60" s="42" t="str">
        <x:f>IF(A60="","",IF(COUNTIFS($A$6:$A$205,A60)&lt;&gt;1,"Duplicate ID",IF(OR(B60="",D60="",NOT(ISNUMBER(C60)),H60&lt;=0,NOT(ISNUMBER(I60)),I60&lt;0,J60&lt;0,J60&gt;H60*I60,K60&lt;0),"Check sale inputs",IF(NOT(ISNUMBER(Q60)),"Lot/cost incomplete",IF(OR(F60="Sale",F60="Return"),"OK","Type required")))))</x:f>
      </x:c>
    </x:row>
    <x:row r="61" ht="23" customHeight="1">
      <x:c r="A61" s="36"/>
      <x:c r="B61" s="36"/>
      <x:c r="C61" s="40"/>
      <x:c r="D61" s="36"/>
      <x:c r="E61" s="36"/>
      <x:c r="F61" s="36"/>
      <x:c r="G61" s="36"/>
      <x:c r="H61" s="41"/>
      <x:c r="I61" s="41"/>
      <x:c r="J61" s="41"/>
      <x:c r="K61" s="41"/>
      <x:c r="L61" s="36"/>
      <x:c r="M61" s="42" t="str">
        <x:f>IF(A61="","",IF(COUNTIFS('Lots'!$A$6:$A$105,G61)=1,VLOOKUP(G61,'Lots'!$A$6:$B$105,2,FALSE),"Unknown lot"))</x:f>
      </x:c>
      <x:c r="N61" s="37" t="str">
        <x:f>IF(A61="","",IF(F61="Return",-1,1)*(H61*I61-J61))</x:f>
      </x:c>
      <x:c r="O61" s="37" t="str">
        <x:f>IF(A61="","",IF(F61="Return",-K61,K61))</x:f>
      </x:c>
      <x:c r="P61" s="37" t="str">
        <x:f>IF(A61="","",N61+O61)</x:f>
      </x:c>
      <x:c r="Q61" s="37" t="str">
        <x:f>IF(A61="","",IF(COUNTIFS('Lots'!$A$6:$A$105,G61)=1,VLOOKUP(G61,'Lots'!$A$6:$J$105,10,FALSE),"Unknown lot"))</x:f>
      </x:c>
      <x:c r="R61" s="37" t="str">
        <x:f>IF(A61="","",IF(ISNUMBER(Q61),IF(F61="Return",-1,1)*H61*Q61,"Cost missing"))</x:f>
      </x:c>
      <x:c r="S61" s="37" t="str">
        <x:f>IF(A61="","",IF(ISNUMBER(R61),N61-R61,"Cost missing"))</x:f>
      </x:c>
      <x:c r="T61" s="42" t="str">
        <x:f>IF(A61="","",IF(COUNTIFS($A$6:$A$205,A61)&lt;&gt;1,"Duplicate ID",IF(OR(B61="",D61="",NOT(ISNUMBER(C61)),H61&lt;=0,NOT(ISNUMBER(I61)),I61&lt;0,J61&lt;0,J61&gt;H61*I61,K61&lt;0),"Check sale inputs",IF(NOT(ISNUMBER(Q61)),"Lot/cost incomplete",IF(OR(F61="Sale",F61="Return"),"OK","Type required")))))</x:f>
      </x:c>
    </x:row>
    <x:row r="62" ht="23" customHeight="1">
      <x:c r="A62" s="36"/>
      <x:c r="B62" s="36"/>
      <x:c r="C62" s="40"/>
      <x:c r="D62" s="36"/>
      <x:c r="E62" s="36"/>
      <x:c r="F62" s="36"/>
      <x:c r="G62" s="36"/>
      <x:c r="H62" s="41"/>
      <x:c r="I62" s="41"/>
      <x:c r="J62" s="41"/>
      <x:c r="K62" s="41"/>
      <x:c r="L62" s="36"/>
      <x:c r="M62" s="42" t="str">
        <x:f>IF(A62="","",IF(COUNTIFS('Lots'!$A$6:$A$105,G62)=1,VLOOKUP(G62,'Lots'!$A$6:$B$105,2,FALSE),"Unknown lot"))</x:f>
      </x:c>
      <x:c r="N62" s="37" t="str">
        <x:f>IF(A62="","",IF(F62="Return",-1,1)*(H62*I62-J62))</x:f>
      </x:c>
      <x:c r="O62" s="37" t="str">
        <x:f>IF(A62="","",IF(F62="Return",-K62,K62))</x:f>
      </x:c>
      <x:c r="P62" s="37" t="str">
        <x:f>IF(A62="","",N62+O62)</x:f>
      </x:c>
      <x:c r="Q62" s="37" t="str">
        <x:f>IF(A62="","",IF(COUNTIFS('Lots'!$A$6:$A$105,G62)=1,VLOOKUP(G62,'Lots'!$A$6:$J$105,10,FALSE),"Unknown lot"))</x:f>
      </x:c>
      <x:c r="R62" s="37" t="str">
        <x:f>IF(A62="","",IF(ISNUMBER(Q62),IF(F62="Return",-1,1)*H62*Q62,"Cost missing"))</x:f>
      </x:c>
      <x:c r="S62" s="37" t="str">
        <x:f>IF(A62="","",IF(ISNUMBER(R62),N62-R62,"Cost missing"))</x:f>
      </x:c>
      <x:c r="T62" s="42" t="str">
        <x:f>IF(A62="","",IF(COUNTIFS($A$6:$A$205,A62)&lt;&gt;1,"Duplicate ID",IF(OR(B62="",D62="",NOT(ISNUMBER(C62)),H62&lt;=0,NOT(ISNUMBER(I62)),I62&lt;0,J62&lt;0,J62&gt;H62*I62,K62&lt;0),"Check sale inputs",IF(NOT(ISNUMBER(Q62)),"Lot/cost incomplete",IF(OR(F62="Sale",F62="Return"),"OK","Type required")))))</x:f>
      </x:c>
    </x:row>
    <x:row r="63" ht="23" customHeight="1">
      <x:c r="A63" s="36"/>
      <x:c r="B63" s="36"/>
      <x:c r="C63" s="40"/>
      <x:c r="D63" s="36"/>
      <x:c r="E63" s="36"/>
      <x:c r="F63" s="36"/>
      <x:c r="G63" s="36"/>
      <x:c r="H63" s="41"/>
      <x:c r="I63" s="41"/>
      <x:c r="J63" s="41"/>
      <x:c r="K63" s="41"/>
      <x:c r="L63" s="36"/>
      <x:c r="M63" s="42" t="str">
        <x:f>IF(A63="","",IF(COUNTIFS('Lots'!$A$6:$A$105,G63)=1,VLOOKUP(G63,'Lots'!$A$6:$B$105,2,FALSE),"Unknown lot"))</x:f>
      </x:c>
      <x:c r="N63" s="37" t="str">
        <x:f>IF(A63="","",IF(F63="Return",-1,1)*(H63*I63-J63))</x:f>
      </x:c>
      <x:c r="O63" s="37" t="str">
        <x:f>IF(A63="","",IF(F63="Return",-K63,K63))</x:f>
      </x:c>
      <x:c r="P63" s="37" t="str">
        <x:f>IF(A63="","",N63+O63)</x:f>
      </x:c>
      <x:c r="Q63" s="37" t="str">
        <x:f>IF(A63="","",IF(COUNTIFS('Lots'!$A$6:$A$105,G63)=1,VLOOKUP(G63,'Lots'!$A$6:$J$105,10,FALSE),"Unknown lot"))</x:f>
      </x:c>
      <x:c r="R63" s="37" t="str">
        <x:f>IF(A63="","",IF(ISNUMBER(Q63),IF(F63="Return",-1,1)*H63*Q63,"Cost missing"))</x:f>
      </x:c>
      <x:c r="S63" s="37" t="str">
        <x:f>IF(A63="","",IF(ISNUMBER(R63),N63-R63,"Cost missing"))</x:f>
      </x:c>
      <x:c r="T63" s="42" t="str">
        <x:f>IF(A63="","",IF(COUNTIFS($A$6:$A$205,A63)&lt;&gt;1,"Duplicate ID",IF(OR(B63="",D63="",NOT(ISNUMBER(C63)),H63&lt;=0,NOT(ISNUMBER(I63)),I63&lt;0,J63&lt;0,J63&gt;H63*I63,K63&lt;0),"Check sale inputs",IF(NOT(ISNUMBER(Q63)),"Lot/cost incomplete",IF(OR(F63="Sale",F63="Return"),"OK","Type required")))))</x:f>
      </x:c>
    </x:row>
    <x:row r="64" ht="23" customHeight="1">
      <x:c r="A64" s="36"/>
      <x:c r="B64" s="36"/>
      <x:c r="C64" s="40"/>
      <x:c r="D64" s="36"/>
      <x:c r="E64" s="36"/>
      <x:c r="F64" s="36"/>
      <x:c r="G64" s="36"/>
      <x:c r="H64" s="41"/>
      <x:c r="I64" s="41"/>
      <x:c r="J64" s="41"/>
      <x:c r="K64" s="41"/>
      <x:c r="L64" s="36"/>
      <x:c r="M64" s="42" t="str">
        <x:f>IF(A64="","",IF(COUNTIFS('Lots'!$A$6:$A$105,G64)=1,VLOOKUP(G64,'Lots'!$A$6:$B$105,2,FALSE),"Unknown lot"))</x:f>
      </x:c>
      <x:c r="N64" s="37" t="str">
        <x:f>IF(A64="","",IF(F64="Return",-1,1)*(H64*I64-J64))</x:f>
      </x:c>
      <x:c r="O64" s="37" t="str">
        <x:f>IF(A64="","",IF(F64="Return",-K64,K64))</x:f>
      </x:c>
      <x:c r="P64" s="37" t="str">
        <x:f>IF(A64="","",N64+O64)</x:f>
      </x:c>
      <x:c r="Q64" s="37" t="str">
        <x:f>IF(A64="","",IF(COUNTIFS('Lots'!$A$6:$A$105,G64)=1,VLOOKUP(G64,'Lots'!$A$6:$J$105,10,FALSE),"Unknown lot"))</x:f>
      </x:c>
      <x:c r="R64" s="37" t="str">
        <x:f>IF(A64="","",IF(ISNUMBER(Q64),IF(F64="Return",-1,1)*H64*Q64,"Cost missing"))</x:f>
      </x:c>
      <x:c r="S64" s="37" t="str">
        <x:f>IF(A64="","",IF(ISNUMBER(R64),N64-R64,"Cost missing"))</x:f>
      </x:c>
      <x:c r="T64" s="42" t="str">
        <x:f>IF(A64="","",IF(COUNTIFS($A$6:$A$205,A64)&lt;&gt;1,"Duplicate ID",IF(OR(B64="",D64="",NOT(ISNUMBER(C64)),H64&lt;=0,NOT(ISNUMBER(I64)),I64&lt;0,J64&lt;0,J64&gt;H64*I64,K64&lt;0),"Check sale inputs",IF(NOT(ISNUMBER(Q64)),"Lot/cost incomplete",IF(OR(F64="Sale",F64="Return"),"OK","Type required")))))</x:f>
      </x:c>
    </x:row>
    <x:row r="65" ht="23" customHeight="1">
      <x:c r="A65" s="36"/>
      <x:c r="B65" s="36"/>
      <x:c r="C65" s="40"/>
      <x:c r="D65" s="36"/>
      <x:c r="E65" s="36"/>
      <x:c r="F65" s="36"/>
      <x:c r="G65" s="36"/>
      <x:c r="H65" s="41"/>
      <x:c r="I65" s="41"/>
      <x:c r="J65" s="41"/>
      <x:c r="K65" s="41"/>
      <x:c r="L65" s="36"/>
      <x:c r="M65" s="42" t="str">
        <x:f>IF(A65="","",IF(COUNTIFS('Lots'!$A$6:$A$105,G65)=1,VLOOKUP(G65,'Lots'!$A$6:$B$105,2,FALSE),"Unknown lot"))</x:f>
      </x:c>
      <x:c r="N65" s="37" t="str">
        <x:f>IF(A65="","",IF(F65="Return",-1,1)*(H65*I65-J65))</x:f>
      </x:c>
      <x:c r="O65" s="37" t="str">
        <x:f>IF(A65="","",IF(F65="Return",-K65,K65))</x:f>
      </x:c>
      <x:c r="P65" s="37" t="str">
        <x:f>IF(A65="","",N65+O65)</x:f>
      </x:c>
      <x:c r="Q65" s="37" t="str">
        <x:f>IF(A65="","",IF(COUNTIFS('Lots'!$A$6:$A$105,G65)=1,VLOOKUP(G65,'Lots'!$A$6:$J$105,10,FALSE),"Unknown lot"))</x:f>
      </x:c>
      <x:c r="R65" s="37" t="str">
        <x:f>IF(A65="","",IF(ISNUMBER(Q65),IF(F65="Return",-1,1)*H65*Q65,"Cost missing"))</x:f>
      </x:c>
      <x:c r="S65" s="37" t="str">
        <x:f>IF(A65="","",IF(ISNUMBER(R65),N65-R65,"Cost missing"))</x:f>
      </x:c>
      <x:c r="T65" s="42" t="str">
        <x:f>IF(A65="","",IF(COUNTIFS($A$6:$A$205,A65)&lt;&gt;1,"Duplicate ID",IF(OR(B65="",D65="",NOT(ISNUMBER(C65)),H65&lt;=0,NOT(ISNUMBER(I65)),I65&lt;0,J65&lt;0,J65&gt;H65*I65,K65&lt;0),"Check sale inputs",IF(NOT(ISNUMBER(Q65)),"Lot/cost incomplete",IF(OR(F65="Sale",F65="Return"),"OK","Type required")))))</x:f>
      </x:c>
    </x:row>
    <x:row r="66" ht="23" customHeight="1">
      <x:c r="A66" s="36"/>
      <x:c r="B66" s="36"/>
      <x:c r="C66" s="40"/>
      <x:c r="D66" s="36"/>
      <x:c r="E66" s="36"/>
      <x:c r="F66" s="36"/>
      <x:c r="G66" s="36"/>
      <x:c r="H66" s="41"/>
      <x:c r="I66" s="41"/>
      <x:c r="J66" s="41"/>
      <x:c r="K66" s="41"/>
      <x:c r="L66" s="36"/>
      <x:c r="M66" s="42" t="str">
        <x:f>IF(A66="","",IF(COUNTIFS('Lots'!$A$6:$A$105,G66)=1,VLOOKUP(G66,'Lots'!$A$6:$B$105,2,FALSE),"Unknown lot"))</x:f>
      </x:c>
      <x:c r="N66" s="37" t="str">
        <x:f>IF(A66="","",IF(F66="Return",-1,1)*(H66*I66-J66))</x:f>
      </x:c>
      <x:c r="O66" s="37" t="str">
        <x:f>IF(A66="","",IF(F66="Return",-K66,K66))</x:f>
      </x:c>
      <x:c r="P66" s="37" t="str">
        <x:f>IF(A66="","",N66+O66)</x:f>
      </x:c>
      <x:c r="Q66" s="37" t="str">
        <x:f>IF(A66="","",IF(COUNTIFS('Lots'!$A$6:$A$105,G66)=1,VLOOKUP(G66,'Lots'!$A$6:$J$105,10,FALSE),"Unknown lot"))</x:f>
      </x:c>
      <x:c r="R66" s="37" t="str">
        <x:f>IF(A66="","",IF(ISNUMBER(Q66),IF(F66="Return",-1,1)*H66*Q66,"Cost missing"))</x:f>
      </x:c>
      <x:c r="S66" s="37" t="str">
        <x:f>IF(A66="","",IF(ISNUMBER(R66),N66-R66,"Cost missing"))</x:f>
      </x:c>
      <x:c r="T66" s="42" t="str">
        <x:f>IF(A66="","",IF(COUNTIFS($A$6:$A$205,A66)&lt;&gt;1,"Duplicate ID",IF(OR(B66="",D66="",NOT(ISNUMBER(C66)),H66&lt;=0,NOT(ISNUMBER(I66)),I66&lt;0,J66&lt;0,J66&gt;H66*I66,K66&lt;0),"Check sale inputs",IF(NOT(ISNUMBER(Q66)),"Lot/cost incomplete",IF(OR(F66="Sale",F66="Return"),"OK","Type required")))))</x:f>
      </x:c>
    </x:row>
    <x:row r="67" ht="23" customHeight="1">
      <x:c r="A67" s="36"/>
      <x:c r="B67" s="36"/>
      <x:c r="C67" s="40"/>
      <x:c r="D67" s="36"/>
      <x:c r="E67" s="36"/>
      <x:c r="F67" s="36"/>
      <x:c r="G67" s="36"/>
      <x:c r="H67" s="41"/>
      <x:c r="I67" s="41"/>
      <x:c r="J67" s="41"/>
      <x:c r="K67" s="41"/>
      <x:c r="L67" s="36"/>
      <x:c r="M67" s="42" t="str">
        <x:f>IF(A67="","",IF(COUNTIFS('Lots'!$A$6:$A$105,G67)=1,VLOOKUP(G67,'Lots'!$A$6:$B$105,2,FALSE),"Unknown lot"))</x:f>
      </x:c>
      <x:c r="N67" s="37" t="str">
        <x:f>IF(A67="","",IF(F67="Return",-1,1)*(H67*I67-J67))</x:f>
      </x:c>
      <x:c r="O67" s="37" t="str">
        <x:f>IF(A67="","",IF(F67="Return",-K67,K67))</x:f>
      </x:c>
      <x:c r="P67" s="37" t="str">
        <x:f>IF(A67="","",N67+O67)</x:f>
      </x:c>
      <x:c r="Q67" s="37" t="str">
        <x:f>IF(A67="","",IF(COUNTIFS('Lots'!$A$6:$A$105,G67)=1,VLOOKUP(G67,'Lots'!$A$6:$J$105,10,FALSE),"Unknown lot"))</x:f>
      </x:c>
      <x:c r="R67" s="37" t="str">
        <x:f>IF(A67="","",IF(ISNUMBER(Q67),IF(F67="Return",-1,1)*H67*Q67,"Cost missing"))</x:f>
      </x:c>
      <x:c r="S67" s="37" t="str">
        <x:f>IF(A67="","",IF(ISNUMBER(R67),N67-R67,"Cost missing"))</x:f>
      </x:c>
      <x:c r="T67" s="42" t="str">
        <x:f>IF(A67="","",IF(COUNTIFS($A$6:$A$205,A67)&lt;&gt;1,"Duplicate ID",IF(OR(B67="",D67="",NOT(ISNUMBER(C67)),H67&lt;=0,NOT(ISNUMBER(I67)),I67&lt;0,J67&lt;0,J67&gt;H67*I67,K67&lt;0),"Check sale inputs",IF(NOT(ISNUMBER(Q67)),"Lot/cost incomplete",IF(OR(F67="Sale",F67="Return"),"OK","Type required")))))</x:f>
      </x:c>
    </x:row>
    <x:row r="68" ht="23" customHeight="1">
      <x:c r="A68" s="36"/>
      <x:c r="B68" s="36"/>
      <x:c r="C68" s="40"/>
      <x:c r="D68" s="36"/>
      <x:c r="E68" s="36"/>
      <x:c r="F68" s="36"/>
      <x:c r="G68" s="36"/>
      <x:c r="H68" s="41"/>
      <x:c r="I68" s="41"/>
      <x:c r="J68" s="41"/>
      <x:c r="K68" s="41"/>
      <x:c r="L68" s="36"/>
      <x:c r="M68" s="42" t="str">
        <x:f>IF(A68="","",IF(COUNTIFS('Lots'!$A$6:$A$105,G68)=1,VLOOKUP(G68,'Lots'!$A$6:$B$105,2,FALSE),"Unknown lot"))</x:f>
      </x:c>
      <x:c r="N68" s="37" t="str">
        <x:f>IF(A68="","",IF(F68="Return",-1,1)*(H68*I68-J68))</x:f>
      </x:c>
      <x:c r="O68" s="37" t="str">
        <x:f>IF(A68="","",IF(F68="Return",-K68,K68))</x:f>
      </x:c>
      <x:c r="P68" s="37" t="str">
        <x:f>IF(A68="","",N68+O68)</x:f>
      </x:c>
      <x:c r="Q68" s="37" t="str">
        <x:f>IF(A68="","",IF(COUNTIFS('Lots'!$A$6:$A$105,G68)=1,VLOOKUP(G68,'Lots'!$A$6:$J$105,10,FALSE),"Unknown lot"))</x:f>
      </x:c>
      <x:c r="R68" s="37" t="str">
        <x:f>IF(A68="","",IF(ISNUMBER(Q68),IF(F68="Return",-1,1)*H68*Q68,"Cost missing"))</x:f>
      </x:c>
      <x:c r="S68" s="37" t="str">
        <x:f>IF(A68="","",IF(ISNUMBER(R68),N68-R68,"Cost missing"))</x:f>
      </x:c>
      <x:c r="T68" s="42" t="str">
        <x:f>IF(A68="","",IF(COUNTIFS($A$6:$A$205,A68)&lt;&gt;1,"Duplicate ID",IF(OR(B68="",D68="",NOT(ISNUMBER(C68)),H68&lt;=0,NOT(ISNUMBER(I68)),I68&lt;0,J68&lt;0,J68&gt;H68*I68,K68&lt;0),"Check sale inputs",IF(NOT(ISNUMBER(Q68)),"Lot/cost incomplete",IF(OR(F68="Sale",F68="Return"),"OK","Type required")))))</x:f>
      </x:c>
    </x:row>
    <x:row r="69" ht="23" customHeight="1">
      <x:c r="A69" s="36"/>
      <x:c r="B69" s="36"/>
      <x:c r="C69" s="40"/>
      <x:c r="D69" s="36"/>
      <x:c r="E69" s="36"/>
      <x:c r="F69" s="36"/>
      <x:c r="G69" s="36"/>
      <x:c r="H69" s="41"/>
      <x:c r="I69" s="41"/>
      <x:c r="J69" s="41"/>
      <x:c r="K69" s="41"/>
      <x:c r="L69" s="36"/>
      <x:c r="M69" s="42" t="str">
        <x:f>IF(A69="","",IF(COUNTIFS('Lots'!$A$6:$A$105,G69)=1,VLOOKUP(G69,'Lots'!$A$6:$B$105,2,FALSE),"Unknown lot"))</x:f>
      </x:c>
      <x:c r="N69" s="37" t="str">
        <x:f>IF(A69="","",IF(F69="Return",-1,1)*(H69*I69-J69))</x:f>
      </x:c>
      <x:c r="O69" s="37" t="str">
        <x:f>IF(A69="","",IF(F69="Return",-K69,K69))</x:f>
      </x:c>
      <x:c r="P69" s="37" t="str">
        <x:f>IF(A69="","",N69+O69)</x:f>
      </x:c>
      <x:c r="Q69" s="37" t="str">
        <x:f>IF(A69="","",IF(COUNTIFS('Lots'!$A$6:$A$105,G69)=1,VLOOKUP(G69,'Lots'!$A$6:$J$105,10,FALSE),"Unknown lot"))</x:f>
      </x:c>
      <x:c r="R69" s="37" t="str">
        <x:f>IF(A69="","",IF(ISNUMBER(Q69),IF(F69="Return",-1,1)*H69*Q69,"Cost missing"))</x:f>
      </x:c>
      <x:c r="S69" s="37" t="str">
        <x:f>IF(A69="","",IF(ISNUMBER(R69),N69-R69,"Cost missing"))</x:f>
      </x:c>
      <x:c r="T69" s="42" t="str">
        <x:f>IF(A69="","",IF(COUNTIFS($A$6:$A$205,A69)&lt;&gt;1,"Duplicate ID",IF(OR(B69="",D69="",NOT(ISNUMBER(C69)),H69&lt;=0,NOT(ISNUMBER(I69)),I69&lt;0,J69&lt;0,J69&gt;H69*I69,K69&lt;0),"Check sale inputs",IF(NOT(ISNUMBER(Q69)),"Lot/cost incomplete",IF(OR(F69="Sale",F69="Return"),"OK","Type required")))))</x:f>
      </x:c>
    </x:row>
    <x:row r="70" ht="23" customHeight="1">
      <x:c r="A70" s="36"/>
      <x:c r="B70" s="36"/>
      <x:c r="C70" s="40"/>
      <x:c r="D70" s="36"/>
      <x:c r="E70" s="36"/>
      <x:c r="F70" s="36"/>
      <x:c r="G70" s="36"/>
      <x:c r="H70" s="41"/>
      <x:c r="I70" s="41"/>
      <x:c r="J70" s="41"/>
      <x:c r="K70" s="41"/>
      <x:c r="L70" s="36"/>
      <x:c r="M70" s="42" t="str">
        <x:f>IF(A70="","",IF(COUNTIFS('Lots'!$A$6:$A$105,G70)=1,VLOOKUP(G70,'Lots'!$A$6:$B$105,2,FALSE),"Unknown lot"))</x:f>
      </x:c>
      <x:c r="N70" s="37" t="str">
        <x:f>IF(A70="","",IF(F70="Return",-1,1)*(H70*I70-J70))</x:f>
      </x:c>
      <x:c r="O70" s="37" t="str">
        <x:f>IF(A70="","",IF(F70="Return",-K70,K70))</x:f>
      </x:c>
      <x:c r="P70" s="37" t="str">
        <x:f>IF(A70="","",N70+O70)</x:f>
      </x:c>
      <x:c r="Q70" s="37" t="str">
        <x:f>IF(A70="","",IF(COUNTIFS('Lots'!$A$6:$A$105,G70)=1,VLOOKUP(G70,'Lots'!$A$6:$J$105,10,FALSE),"Unknown lot"))</x:f>
      </x:c>
      <x:c r="R70" s="37" t="str">
        <x:f>IF(A70="","",IF(ISNUMBER(Q70),IF(F70="Return",-1,1)*H70*Q70,"Cost missing"))</x:f>
      </x:c>
      <x:c r="S70" s="37" t="str">
        <x:f>IF(A70="","",IF(ISNUMBER(R70),N70-R70,"Cost missing"))</x:f>
      </x:c>
      <x:c r="T70" s="42" t="str">
        <x:f>IF(A70="","",IF(COUNTIFS($A$6:$A$205,A70)&lt;&gt;1,"Duplicate ID",IF(OR(B70="",D70="",NOT(ISNUMBER(C70)),H70&lt;=0,NOT(ISNUMBER(I70)),I70&lt;0,J70&lt;0,J70&gt;H70*I70,K70&lt;0),"Check sale inputs",IF(NOT(ISNUMBER(Q70)),"Lot/cost incomplete",IF(OR(F70="Sale",F70="Return"),"OK","Type required")))))</x:f>
      </x:c>
    </x:row>
    <x:row r="71" ht="23" customHeight="1">
      <x:c r="A71" s="36"/>
      <x:c r="B71" s="36"/>
      <x:c r="C71" s="40"/>
      <x:c r="D71" s="36"/>
      <x:c r="E71" s="36"/>
      <x:c r="F71" s="36"/>
      <x:c r="G71" s="36"/>
      <x:c r="H71" s="41"/>
      <x:c r="I71" s="41"/>
      <x:c r="J71" s="41"/>
      <x:c r="K71" s="41"/>
      <x:c r="L71" s="36"/>
      <x:c r="M71" s="42" t="str">
        <x:f>IF(A71="","",IF(COUNTIFS('Lots'!$A$6:$A$105,G71)=1,VLOOKUP(G71,'Lots'!$A$6:$B$105,2,FALSE),"Unknown lot"))</x:f>
      </x:c>
      <x:c r="N71" s="37" t="str">
        <x:f>IF(A71="","",IF(F71="Return",-1,1)*(H71*I71-J71))</x:f>
      </x:c>
      <x:c r="O71" s="37" t="str">
        <x:f>IF(A71="","",IF(F71="Return",-K71,K71))</x:f>
      </x:c>
      <x:c r="P71" s="37" t="str">
        <x:f>IF(A71="","",N71+O71)</x:f>
      </x:c>
      <x:c r="Q71" s="37" t="str">
        <x:f>IF(A71="","",IF(COUNTIFS('Lots'!$A$6:$A$105,G71)=1,VLOOKUP(G71,'Lots'!$A$6:$J$105,10,FALSE),"Unknown lot"))</x:f>
      </x:c>
      <x:c r="R71" s="37" t="str">
        <x:f>IF(A71="","",IF(ISNUMBER(Q71),IF(F71="Return",-1,1)*H71*Q71,"Cost missing"))</x:f>
      </x:c>
      <x:c r="S71" s="37" t="str">
        <x:f>IF(A71="","",IF(ISNUMBER(R71),N71-R71,"Cost missing"))</x:f>
      </x:c>
      <x:c r="T71" s="42" t="str">
        <x:f>IF(A71="","",IF(COUNTIFS($A$6:$A$205,A71)&lt;&gt;1,"Duplicate ID",IF(OR(B71="",D71="",NOT(ISNUMBER(C71)),H71&lt;=0,NOT(ISNUMBER(I71)),I71&lt;0,J71&lt;0,J71&gt;H71*I71,K71&lt;0),"Check sale inputs",IF(NOT(ISNUMBER(Q71)),"Lot/cost incomplete",IF(OR(F71="Sale",F71="Return"),"OK","Type required")))))</x:f>
      </x:c>
    </x:row>
    <x:row r="72" ht="23" customHeight="1">
      <x:c r="A72" s="36"/>
      <x:c r="B72" s="36"/>
      <x:c r="C72" s="40"/>
      <x:c r="D72" s="36"/>
      <x:c r="E72" s="36"/>
      <x:c r="F72" s="36"/>
      <x:c r="G72" s="36"/>
      <x:c r="H72" s="41"/>
      <x:c r="I72" s="41"/>
      <x:c r="J72" s="41"/>
      <x:c r="K72" s="41"/>
      <x:c r="L72" s="36"/>
      <x:c r="M72" s="42" t="str">
        <x:f>IF(A72="","",IF(COUNTIFS('Lots'!$A$6:$A$105,G72)=1,VLOOKUP(G72,'Lots'!$A$6:$B$105,2,FALSE),"Unknown lot"))</x:f>
      </x:c>
      <x:c r="N72" s="37" t="str">
        <x:f>IF(A72="","",IF(F72="Return",-1,1)*(H72*I72-J72))</x:f>
      </x:c>
      <x:c r="O72" s="37" t="str">
        <x:f>IF(A72="","",IF(F72="Return",-K72,K72))</x:f>
      </x:c>
      <x:c r="P72" s="37" t="str">
        <x:f>IF(A72="","",N72+O72)</x:f>
      </x:c>
      <x:c r="Q72" s="37" t="str">
        <x:f>IF(A72="","",IF(COUNTIFS('Lots'!$A$6:$A$105,G72)=1,VLOOKUP(G72,'Lots'!$A$6:$J$105,10,FALSE),"Unknown lot"))</x:f>
      </x:c>
      <x:c r="R72" s="37" t="str">
        <x:f>IF(A72="","",IF(ISNUMBER(Q72),IF(F72="Return",-1,1)*H72*Q72,"Cost missing"))</x:f>
      </x:c>
      <x:c r="S72" s="37" t="str">
        <x:f>IF(A72="","",IF(ISNUMBER(R72),N72-R72,"Cost missing"))</x:f>
      </x:c>
      <x:c r="T72" s="42" t="str">
        <x:f>IF(A72="","",IF(COUNTIFS($A$6:$A$205,A72)&lt;&gt;1,"Duplicate ID",IF(OR(B72="",D72="",NOT(ISNUMBER(C72)),H72&lt;=0,NOT(ISNUMBER(I72)),I72&lt;0,J72&lt;0,J72&gt;H72*I72,K72&lt;0),"Check sale inputs",IF(NOT(ISNUMBER(Q72)),"Lot/cost incomplete",IF(OR(F72="Sale",F72="Return"),"OK","Type required")))))</x:f>
      </x:c>
    </x:row>
    <x:row r="73" ht="23" customHeight="1">
      <x:c r="A73" s="36"/>
      <x:c r="B73" s="36"/>
      <x:c r="C73" s="40"/>
      <x:c r="D73" s="36"/>
      <x:c r="E73" s="36"/>
      <x:c r="F73" s="36"/>
      <x:c r="G73" s="36"/>
      <x:c r="H73" s="41"/>
      <x:c r="I73" s="41"/>
      <x:c r="J73" s="41"/>
      <x:c r="K73" s="41"/>
      <x:c r="L73" s="36"/>
      <x:c r="M73" s="42" t="str">
        <x:f>IF(A73="","",IF(COUNTIFS('Lots'!$A$6:$A$105,G73)=1,VLOOKUP(G73,'Lots'!$A$6:$B$105,2,FALSE),"Unknown lot"))</x:f>
      </x:c>
      <x:c r="N73" s="37" t="str">
        <x:f>IF(A73="","",IF(F73="Return",-1,1)*(H73*I73-J73))</x:f>
      </x:c>
      <x:c r="O73" s="37" t="str">
        <x:f>IF(A73="","",IF(F73="Return",-K73,K73))</x:f>
      </x:c>
      <x:c r="P73" s="37" t="str">
        <x:f>IF(A73="","",N73+O73)</x:f>
      </x:c>
      <x:c r="Q73" s="37" t="str">
        <x:f>IF(A73="","",IF(COUNTIFS('Lots'!$A$6:$A$105,G73)=1,VLOOKUP(G73,'Lots'!$A$6:$J$105,10,FALSE),"Unknown lot"))</x:f>
      </x:c>
      <x:c r="R73" s="37" t="str">
        <x:f>IF(A73="","",IF(ISNUMBER(Q73),IF(F73="Return",-1,1)*H73*Q73,"Cost missing"))</x:f>
      </x:c>
      <x:c r="S73" s="37" t="str">
        <x:f>IF(A73="","",IF(ISNUMBER(R73),N73-R73,"Cost missing"))</x:f>
      </x:c>
      <x:c r="T73" s="42" t="str">
        <x:f>IF(A73="","",IF(COUNTIFS($A$6:$A$205,A73)&lt;&gt;1,"Duplicate ID",IF(OR(B73="",D73="",NOT(ISNUMBER(C73)),H73&lt;=0,NOT(ISNUMBER(I73)),I73&lt;0,J73&lt;0,J73&gt;H73*I73,K73&lt;0),"Check sale inputs",IF(NOT(ISNUMBER(Q73)),"Lot/cost incomplete",IF(OR(F73="Sale",F73="Return"),"OK","Type required")))))</x:f>
      </x:c>
    </x:row>
    <x:row r="74" ht="23" customHeight="1">
      <x:c r="A74" s="36"/>
      <x:c r="B74" s="36"/>
      <x:c r="C74" s="40"/>
      <x:c r="D74" s="36"/>
      <x:c r="E74" s="36"/>
      <x:c r="F74" s="36"/>
      <x:c r="G74" s="36"/>
      <x:c r="H74" s="41"/>
      <x:c r="I74" s="41"/>
      <x:c r="J74" s="41"/>
      <x:c r="K74" s="41"/>
      <x:c r="L74" s="36"/>
      <x:c r="M74" s="42" t="str">
        <x:f>IF(A74="","",IF(COUNTIFS('Lots'!$A$6:$A$105,G74)=1,VLOOKUP(G74,'Lots'!$A$6:$B$105,2,FALSE),"Unknown lot"))</x:f>
      </x:c>
      <x:c r="N74" s="37" t="str">
        <x:f>IF(A74="","",IF(F74="Return",-1,1)*(H74*I74-J74))</x:f>
      </x:c>
      <x:c r="O74" s="37" t="str">
        <x:f>IF(A74="","",IF(F74="Return",-K74,K74))</x:f>
      </x:c>
      <x:c r="P74" s="37" t="str">
        <x:f>IF(A74="","",N74+O74)</x:f>
      </x:c>
      <x:c r="Q74" s="37" t="str">
        <x:f>IF(A74="","",IF(COUNTIFS('Lots'!$A$6:$A$105,G74)=1,VLOOKUP(G74,'Lots'!$A$6:$J$105,10,FALSE),"Unknown lot"))</x:f>
      </x:c>
      <x:c r="R74" s="37" t="str">
        <x:f>IF(A74="","",IF(ISNUMBER(Q74),IF(F74="Return",-1,1)*H74*Q74,"Cost missing"))</x:f>
      </x:c>
      <x:c r="S74" s="37" t="str">
        <x:f>IF(A74="","",IF(ISNUMBER(R74),N74-R74,"Cost missing"))</x:f>
      </x:c>
      <x:c r="T74" s="42" t="str">
        <x:f>IF(A74="","",IF(COUNTIFS($A$6:$A$205,A74)&lt;&gt;1,"Duplicate ID",IF(OR(B74="",D74="",NOT(ISNUMBER(C74)),H74&lt;=0,NOT(ISNUMBER(I74)),I74&lt;0,J74&lt;0,J74&gt;H74*I74,K74&lt;0),"Check sale inputs",IF(NOT(ISNUMBER(Q74)),"Lot/cost incomplete",IF(OR(F74="Sale",F74="Return"),"OK","Type required")))))</x:f>
      </x:c>
    </x:row>
    <x:row r="75" ht="23" customHeight="1">
      <x:c r="A75" s="36"/>
      <x:c r="B75" s="36"/>
      <x:c r="C75" s="40"/>
      <x:c r="D75" s="36"/>
      <x:c r="E75" s="36"/>
      <x:c r="F75" s="36"/>
      <x:c r="G75" s="36"/>
      <x:c r="H75" s="41"/>
      <x:c r="I75" s="41"/>
      <x:c r="J75" s="41"/>
      <x:c r="K75" s="41"/>
      <x:c r="L75" s="36"/>
      <x:c r="M75" s="42" t="str">
        <x:f>IF(A75="","",IF(COUNTIFS('Lots'!$A$6:$A$105,G75)=1,VLOOKUP(G75,'Lots'!$A$6:$B$105,2,FALSE),"Unknown lot"))</x:f>
      </x:c>
      <x:c r="N75" s="37" t="str">
        <x:f>IF(A75="","",IF(F75="Return",-1,1)*(H75*I75-J75))</x:f>
      </x:c>
      <x:c r="O75" s="37" t="str">
        <x:f>IF(A75="","",IF(F75="Return",-K75,K75))</x:f>
      </x:c>
      <x:c r="P75" s="37" t="str">
        <x:f>IF(A75="","",N75+O75)</x:f>
      </x:c>
      <x:c r="Q75" s="37" t="str">
        <x:f>IF(A75="","",IF(COUNTIFS('Lots'!$A$6:$A$105,G75)=1,VLOOKUP(G75,'Lots'!$A$6:$J$105,10,FALSE),"Unknown lot"))</x:f>
      </x:c>
      <x:c r="R75" s="37" t="str">
        <x:f>IF(A75="","",IF(ISNUMBER(Q75),IF(F75="Return",-1,1)*H75*Q75,"Cost missing"))</x:f>
      </x:c>
      <x:c r="S75" s="37" t="str">
        <x:f>IF(A75="","",IF(ISNUMBER(R75),N75-R75,"Cost missing"))</x:f>
      </x:c>
      <x:c r="T75" s="42" t="str">
        <x:f>IF(A75="","",IF(COUNTIFS($A$6:$A$205,A75)&lt;&gt;1,"Duplicate ID",IF(OR(B75="",D75="",NOT(ISNUMBER(C75)),H75&lt;=0,NOT(ISNUMBER(I75)),I75&lt;0,J75&lt;0,J75&gt;H75*I75,K75&lt;0),"Check sale inputs",IF(NOT(ISNUMBER(Q75)),"Lot/cost incomplete",IF(OR(F75="Sale",F75="Return"),"OK","Type required")))))</x:f>
      </x:c>
    </x:row>
    <x:row r="76" ht="23" customHeight="1">
      <x:c r="A76" s="36"/>
      <x:c r="B76" s="36"/>
      <x:c r="C76" s="40"/>
      <x:c r="D76" s="36"/>
      <x:c r="E76" s="36"/>
      <x:c r="F76" s="36"/>
      <x:c r="G76" s="36"/>
      <x:c r="H76" s="41"/>
      <x:c r="I76" s="41"/>
      <x:c r="J76" s="41"/>
      <x:c r="K76" s="41"/>
      <x:c r="L76" s="36"/>
      <x:c r="M76" s="42" t="str">
        <x:f>IF(A76="","",IF(COUNTIFS('Lots'!$A$6:$A$105,G76)=1,VLOOKUP(G76,'Lots'!$A$6:$B$105,2,FALSE),"Unknown lot"))</x:f>
      </x:c>
      <x:c r="N76" s="37" t="str">
        <x:f>IF(A76="","",IF(F76="Return",-1,1)*(H76*I76-J76))</x:f>
      </x:c>
      <x:c r="O76" s="37" t="str">
        <x:f>IF(A76="","",IF(F76="Return",-K76,K76))</x:f>
      </x:c>
      <x:c r="P76" s="37" t="str">
        <x:f>IF(A76="","",N76+O76)</x:f>
      </x:c>
      <x:c r="Q76" s="37" t="str">
        <x:f>IF(A76="","",IF(COUNTIFS('Lots'!$A$6:$A$105,G76)=1,VLOOKUP(G76,'Lots'!$A$6:$J$105,10,FALSE),"Unknown lot"))</x:f>
      </x:c>
      <x:c r="R76" s="37" t="str">
        <x:f>IF(A76="","",IF(ISNUMBER(Q76),IF(F76="Return",-1,1)*H76*Q76,"Cost missing"))</x:f>
      </x:c>
      <x:c r="S76" s="37" t="str">
        <x:f>IF(A76="","",IF(ISNUMBER(R76),N76-R76,"Cost missing"))</x:f>
      </x:c>
      <x:c r="T76" s="42" t="str">
        <x:f>IF(A76="","",IF(COUNTIFS($A$6:$A$205,A76)&lt;&gt;1,"Duplicate ID",IF(OR(B76="",D76="",NOT(ISNUMBER(C76)),H76&lt;=0,NOT(ISNUMBER(I76)),I76&lt;0,J76&lt;0,J76&gt;H76*I76,K76&lt;0),"Check sale inputs",IF(NOT(ISNUMBER(Q76)),"Lot/cost incomplete",IF(OR(F76="Sale",F76="Return"),"OK","Type required")))))</x:f>
      </x:c>
    </x:row>
    <x:row r="77" ht="23" customHeight="1">
      <x:c r="A77" s="36"/>
      <x:c r="B77" s="36"/>
      <x:c r="C77" s="40"/>
      <x:c r="D77" s="36"/>
      <x:c r="E77" s="36"/>
      <x:c r="F77" s="36"/>
      <x:c r="G77" s="36"/>
      <x:c r="H77" s="41"/>
      <x:c r="I77" s="41"/>
      <x:c r="J77" s="41"/>
      <x:c r="K77" s="41"/>
      <x:c r="L77" s="36"/>
      <x:c r="M77" s="42" t="str">
        <x:f>IF(A77="","",IF(COUNTIFS('Lots'!$A$6:$A$105,G77)=1,VLOOKUP(G77,'Lots'!$A$6:$B$105,2,FALSE),"Unknown lot"))</x:f>
      </x:c>
      <x:c r="N77" s="37" t="str">
        <x:f>IF(A77="","",IF(F77="Return",-1,1)*(H77*I77-J77))</x:f>
      </x:c>
      <x:c r="O77" s="37" t="str">
        <x:f>IF(A77="","",IF(F77="Return",-K77,K77))</x:f>
      </x:c>
      <x:c r="P77" s="37" t="str">
        <x:f>IF(A77="","",N77+O77)</x:f>
      </x:c>
      <x:c r="Q77" s="37" t="str">
        <x:f>IF(A77="","",IF(COUNTIFS('Lots'!$A$6:$A$105,G77)=1,VLOOKUP(G77,'Lots'!$A$6:$J$105,10,FALSE),"Unknown lot"))</x:f>
      </x:c>
      <x:c r="R77" s="37" t="str">
        <x:f>IF(A77="","",IF(ISNUMBER(Q77),IF(F77="Return",-1,1)*H77*Q77,"Cost missing"))</x:f>
      </x:c>
      <x:c r="S77" s="37" t="str">
        <x:f>IF(A77="","",IF(ISNUMBER(R77),N77-R77,"Cost missing"))</x:f>
      </x:c>
      <x:c r="T77" s="42" t="str">
        <x:f>IF(A77="","",IF(COUNTIFS($A$6:$A$205,A77)&lt;&gt;1,"Duplicate ID",IF(OR(B77="",D77="",NOT(ISNUMBER(C77)),H77&lt;=0,NOT(ISNUMBER(I77)),I77&lt;0,J77&lt;0,J77&gt;H77*I77,K77&lt;0),"Check sale inputs",IF(NOT(ISNUMBER(Q77)),"Lot/cost incomplete",IF(OR(F77="Sale",F77="Return"),"OK","Type required")))))</x:f>
      </x:c>
    </x:row>
    <x:row r="78" ht="23" customHeight="1">
      <x:c r="A78" s="36"/>
      <x:c r="B78" s="36"/>
      <x:c r="C78" s="40"/>
      <x:c r="D78" s="36"/>
      <x:c r="E78" s="36"/>
      <x:c r="F78" s="36"/>
      <x:c r="G78" s="36"/>
      <x:c r="H78" s="41"/>
      <x:c r="I78" s="41"/>
      <x:c r="J78" s="41"/>
      <x:c r="K78" s="41"/>
      <x:c r="L78" s="36"/>
      <x:c r="M78" s="42" t="str">
        <x:f>IF(A78="","",IF(COUNTIFS('Lots'!$A$6:$A$105,G78)=1,VLOOKUP(G78,'Lots'!$A$6:$B$105,2,FALSE),"Unknown lot"))</x:f>
      </x:c>
      <x:c r="N78" s="37" t="str">
        <x:f>IF(A78="","",IF(F78="Return",-1,1)*(H78*I78-J78))</x:f>
      </x:c>
      <x:c r="O78" s="37" t="str">
        <x:f>IF(A78="","",IF(F78="Return",-K78,K78))</x:f>
      </x:c>
      <x:c r="P78" s="37" t="str">
        <x:f>IF(A78="","",N78+O78)</x:f>
      </x:c>
      <x:c r="Q78" s="37" t="str">
        <x:f>IF(A78="","",IF(COUNTIFS('Lots'!$A$6:$A$105,G78)=1,VLOOKUP(G78,'Lots'!$A$6:$J$105,10,FALSE),"Unknown lot"))</x:f>
      </x:c>
      <x:c r="R78" s="37" t="str">
        <x:f>IF(A78="","",IF(ISNUMBER(Q78),IF(F78="Return",-1,1)*H78*Q78,"Cost missing"))</x:f>
      </x:c>
      <x:c r="S78" s="37" t="str">
        <x:f>IF(A78="","",IF(ISNUMBER(R78),N78-R78,"Cost missing"))</x:f>
      </x:c>
      <x:c r="T78" s="42" t="str">
        <x:f>IF(A78="","",IF(COUNTIFS($A$6:$A$205,A78)&lt;&gt;1,"Duplicate ID",IF(OR(B78="",D78="",NOT(ISNUMBER(C78)),H78&lt;=0,NOT(ISNUMBER(I78)),I78&lt;0,J78&lt;0,J78&gt;H78*I78,K78&lt;0),"Check sale inputs",IF(NOT(ISNUMBER(Q78)),"Lot/cost incomplete",IF(OR(F78="Sale",F78="Return"),"OK","Type required")))))</x:f>
      </x:c>
    </x:row>
    <x:row r="79" ht="23" customHeight="1">
      <x:c r="A79" s="36"/>
      <x:c r="B79" s="36"/>
      <x:c r="C79" s="40"/>
      <x:c r="D79" s="36"/>
      <x:c r="E79" s="36"/>
      <x:c r="F79" s="36"/>
      <x:c r="G79" s="36"/>
      <x:c r="H79" s="41"/>
      <x:c r="I79" s="41"/>
      <x:c r="J79" s="41"/>
      <x:c r="K79" s="41"/>
      <x:c r="L79" s="36"/>
      <x:c r="M79" s="42" t="str">
        <x:f>IF(A79="","",IF(COUNTIFS('Lots'!$A$6:$A$105,G79)=1,VLOOKUP(G79,'Lots'!$A$6:$B$105,2,FALSE),"Unknown lot"))</x:f>
      </x:c>
      <x:c r="N79" s="37" t="str">
        <x:f>IF(A79="","",IF(F79="Return",-1,1)*(H79*I79-J79))</x:f>
      </x:c>
      <x:c r="O79" s="37" t="str">
        <x:f>IF(A79="","",IF(F79="Return",-K79,K79))</x:f>
      </x:c>
      <x:c r="P79" s="37" t="str">
        <x:f>IF(A79="","",N79+O79)</x:f>
      </x:c>
      <x:c r="Q79" s="37" t="str">
        <x:f>IF(A79="","",IF(COUNTIFS('Lots'!$A$6:$A$105,G79)=1,VLOOKUP(G79,'Lots'!$A$6:$J$105,10,FALSE),"Unknown lot"))</x:f>
      </x:c>
      <x:c r="R79" s="37" t="str">
        <x:f>IF(A79="","",IF(ISNUMBER(Q79),IF(F79="Return",-1,1)*H79*Q79,"Cost missing"))</x:f>
      </x:c>
      <x:c r="S79" s="37" t="str">
        <x:f>IF(A79="","",IF(ISNUMBER(R79),N79-R79,"Cost missing"))</x:f>
      </x:c>
      <x:c r="T79" s="42" t="str">
        <x:f>IF(A79="","",IF(COUNTIFS($A$6:$A$205,A79)&lt;&gt;1,"Duplicate ID",IF(OR(B79="",D79="",NOT(ISNUMBER(C79)),H79&lt;=0,NOT(ISNUMBER(I79)),I79&lt;0,J79&lt;0,J79&gt;H79*I79,K79&lt;0),"Check sale inputs",IF(NOT(ISNUMBER(Q79)),"Lot/cost incomplete",IF(OR(F79="Sale",F79="Return"),"OK","Type required")))))</x:f>
      </x:c>
    </x:row>
    <x:row r="80" ht="23" customHeight="1">
      <x:c r="A80" s="36"/>
      <x:c r="B80" s="36"/>
      <x:c r="C80" s="40"/>
      <x:c r="D80" s="36"/>
      <x:c r="E80" s="36"/>
      <x:c r="F80" s="36"/>
      <x:c r="G80" s="36"/>
      <x:c r="H80" s="41"/>
      <x:c r="I80" s="41"/>
      <x:c r="J80" s="41"/>
      <x:c r="K80" s="41"/>
      <x:c r="L80" s="36"/>
      <x:c r="M80" s="42" t="str">
        <x:f>IF(A80="","",IF(COUNTIFS('Lots'!$A$6:$A$105,G80)=1,VLOOKUP(G80,'Lots'!$A$6:$B$105,2,FALSE),"Unknown lot"))</x:f>
      </x:c>
      <x:c r="N80" s="37" t="str">
        <x:f>IF(A80="","",IF(F80="Return",-1,1)*(H80*I80-J80))</x:f>
      </x:c>
      <x:c r="O80" s="37" t="str">
        <x:f>IF(A80="","",IF(F80="Return",-K80,K80))</x:f>
      </x:c>
      <x:c r="P80" s="37" t="str">
        <x:f>IF(A80="","",N80+O80)</x:f>
      </x:c>
      <x:c r="Q80" s="37" t="str">
        <x:f>IF(A80="","",IF(COUNTIFS('Lots'!$A$6:$A$105,G80)=1,VLOOKUP(G80,'Lots'!$A$6:$J$105,10,FALSE),"Unknown lot"))</x:f>
      </x:c>
      <x:c r="R80" s="37" t="str">
        <x:f>IF(A80="","",IF(ISNUMBER(Q80),IF(F80="Return",-1,1)*H80*Q80,"Cost missing"))</x:f>
      </x:c>
      <x:c r="S80" s="37" t="str">
        <x:f>IF(A80="","",IF(ISNUMBER(R80),N80-R80,"Cost missing"))</x:f>
      </x:c>
      <x:c r="T80" s="42" t="str">
        <x:f>IF(A80="","",IF(COUNTIFS($A$6:$A$205,A80)&lt;&gt;1,"Duplicate ID",IF(OR(B80="",D80="",NOT(ISNUMBER(C80)),H80&lt;=0,NOT(ISNUMBER(I80)),I80&lt;0,J80&lt;0,J80&gt;H80*I80,K80&lt;0),"Check sale inputs",IF(NOT(ISNUMBER(Q80)),"Lot/cost incomplete",IF(OR(F80="Sale",F80="Return"),"OK","Type required")))))</x:f>
      </x:c>
    </x:row>
    <x:row r="81" ht="23" customHeight="1">
      <x:c r="A81" s="36"/>
      <x:c r="B81" s="36"/>
      <x:c r="C81" s="40"/>
      <x:c r="D81" s="36"/>
      <x:c r="E81" s="36"/>
      <x:c r="F81" s="36"/>
      <x:c r="G81" s="36"/>
      <x:c r="H81" s="41"/>
      <x:c r="I81" s="41"/>
      <x:c r="J81" s="41"/>
      <x:c r="K81" s="41"/>
      <x:c r="L81" s="36"/>
      <x:c r="M81" s="42" t="str">
        <x:f>IF(A81="","",IF(COUNTIFS('Lots'!$A$6:$A$105,G81)=1,VLOOKUP(G81,'Lots'!$A$6:$B$105,2,FALSE),"Unknown lot"))</x:f>
      </x:c>
      <x:c r="N81" s="37" t="str">
        <x:f>IF(A81="","",IF(F81="Return",-1,1)*(H81*I81-J81))</x:f>
      </x:c>
      <x:c r="O81" s="37" t="str">
        <x:f>IF(A81="","",IF(F81="Return",-K81,K81))</x:f>
      </x:c>
      <x:c r="P81" s="37" t="str">
        <x:f>IF(A81="","",N81+O81)</x:f>
      </x:c>
      <x:c r="Q81" s="37" t="str">
        <x:f>IF(A81="","",IF(COUNTIFS('Lots'!$A$6:$A$105,G81)=1,VLOOKUP(G81,'Lots'!$A$6:$J$105,10,FALSE),"Unknown lot"))</x:f>
      </x:c>
      <x:c r="R81" s="37" t="str">
        <x:f>IF(A81="","",IF(ISNUMBER(Q81),IF(F81="Return",-1,1)*H81*Q81,"Cost missing"))</x:f>
      </x:c>
      <x:c r="S81" s="37" t="str">
        <x:f>IF(A81="","",IF(ISNUMBER(R81),N81-R81,"Cost missing"))</x:f>
      </x:c>
      <x:c r="T81" s="42" t="str">
        <x:f>IF(A81="","",IF(COUNTIFS($A$6:$A$205,A81)&lt;&gt;1,"Duplicate ID",IF(OR(B81="",D81="",NOT(ISNUMBER(C81)),H81&lt;=0,NOT(ISNUMBER(I81)),I81&lt;0,J81&lt;0,J81&gt;H81*I81,K81&lt;0),"Check sale inputs",IF(NOT(ISNUMBER(Q81)),"Lot/cost incomplete",IF(OR(F81="Sale",F81="Return"),"OK","Type required")))))</x:f>
      </x:c>
    </x:row>
    <x:row r="82" ht="23" customHeight="1">
      <x:c r="A82" s="36"/>
      <x:c r="B82" s="36"/>
      <x:c r="C82" s="40"/>
      <x:c r="D82" s="36"/>
      <x:c r="E82" s="36"/>
      <x:c r="F82" s="36"/>
      <x:c r="G82" s="36"/>
      <x:c r="H82" s="41"/>
      <x:c r="I82" s="41"/>
      <x:c r="J82" s="41"/>
      <x:c r="K82" s="41"/>
      <x:c r="L82" s="36"/>
      <x:c r="M82" s="42" t="str">
        <x:f>IF(A82="","",IF(COUNTIFS('Lots'!$A$6:$A$105,G82)=1,VLOOKUP(G82,'Lots'!$A$6:$B$105,2,FALSE),"Unknown lot"))</x:f>
      </x:c>
      <x:c r="N82" s="37" t="str">
        <x:f>IF(A82="","",IF(F82="Return",-1,1)*(H82*I82-J82))</x:f>
      </x:c>
      <x:c r="O82" s="37" t="str">
        <x:f>IF(A82="","",IF(F82="Return",-K82,K82))</x:f>
      </x:c>
      <x:c r="P82" s="37" t="str">
        <x:f>IF(A82="","",N82+O82)</x:f>
      </x:c>
      <x:c r="Q82" s="37" t="str">
        <x:f>IF(A82="","",IF(COUNTIFS('Lots'!$A$6:$A$105,G82)=1,VLOOKUP(G82,'Lots'!$A$6:$J$105,10,FALSE),"Unknown lot"))</x:f>
      </x:c>
      <x:c r="R82" s="37" t="str">
        <x:f>IF(A82="","",IF(ISNUMBER(Q82),IF(F82="Return",-1,1)*H82*Q82,"Cost missing"))</x:f>
      </x:c>
      <x:c r="S82" s="37" t="str">
        <x:f>IF(A82="","",IF(ISNUMBER(R82),N82-R82,"Cost missing"))</x:f>
      </x:c>
      <x:c r="T82" s="42" t="str">
        <x:f>IF(A82="","",IF(COUNTIFS($A$6:$A$205,A82)&lt;&gt;1,"Duplicate ID",IF(OR(B82="",D82="",NOT(ISNUMBER(C82)),H82&lt;=0,NOT(ISNUMBER(I82)),I82&lt;0,J82&lt;0,J82&gt;H82*I82,K82&lt;0),"Check sale inputs",IF(NOT(ISNUMBER(Q82)),"Lot/cost incomplete",IF(OR(F82="Sale",F82="Return"),"OK","Type required")))))</x:f>
      </x:c>
    </x:row>
    <x:row r="83" ht="23" customHeight="1">
      <x:c r="A83" s="36"/>
      <x:c r="B83" s="36"/>
      <x:c r="C83" s="40"/>
      <x:c r="D83" s="36"/>
      <x:c r="E83" s="36"/>
      <x:c r="F83" s="36"/>
      <x:c r="G83" s="36"/>
      <x:c r="H83" s="41"/>
      <x:c r="I83" s="41"/>
      <x:c r="J83" s="41"/>
      <x:c r="K83" s="41"/>
      <x:c r="L83" s="36"/>
      <x:c r="M83" s="42" t="str">
        <x:f>IF(A83="","",IF(COUNTIFS('Lots'!$A$6:$A$105,G83)=1,VLOOKUP(G83,'Lots'!$A$6:$B$105,2,FALSE),"Unknown lot"))</x:f>
      </x:c>
      <x:c r="N83" s="37" t="str">
        <x:f>IF(A83="","",IF(F83="Return",-1,1)*(H83*I83-J83))</x:f>
      </x:c>
      <x:c r="O83" s="37" t="str">
        <x:f>IF(A83="","",IF(F83="Return",-K83,K83))</x:f>
      </x:c>
      <x:c r="P83" s="37" t="str">
        <x:f>IF(A83="","",N83+O83)</x:f>
      </x:c>
      <x:c r="Q83" s="37" t="str">
        <x:f>IF(A83="","",IF(COUNTIFS('Lots'!$A$6:$A$105,G83)=1,VLOOKUP(G83,'Lots'!$A$6:$J$105,10,FALSE),"Unknown lot"))</x:f>
      </x:c>
      <x:c r="R83" s="37" t="str">
        <x:f>IF(A83="","",IF(ISNUMBER(Q83),IF(F83="Return",-1,1)*H83*Q83,"Cost missing"))</x:f>
      </x:c>
      <x:c r="S83" s="37" t="str">
        <x:f>IF(A83="","",IF(ISNUMBER(R83),N83-R83,"Cost missing"))</x:f>
      </x:c>
      <x:c r="T83" s="42" t="str">
        <x:f>IF(A83="","",IF(COUNTIFS($A$6:$A$205,A83)&lt;&gt;1,"Duplicate ID",IF(OR(B83="",D83="",NOT(ISNUMBER(C83)),H83&lt;=0,NOT(ISNUMBER(I83)),I83&lt;0,J83&lt;0,J83&gt;H83*I83,K83&lt;0),"Check sale inputs",IF(NOT(ISNUMBER(Q83)),"Lot/cost incomplete",IF(OR(F83="Sale",F83="Return"),"OK","Type required")))))</x:f>
      </x:c>
    </x:row>
    <x:row r="84" ht="23" customHeight="1">
      <x:c r="A84" s="36"/>
      <x:c r="B84" s="36"/>
      <x:c r="C84" s="40"/>
      <x:c r="D84" s="36"/>
      <x:c r="E84" s="36"/>
      <x:c r="F84" s="36"/>
      <x:c r="G84" s="36"/>
      <x:c r="H84" s="41"/>
      <x:c r="I84" s="41"/>
      <x:c r="J84" s="41"/>
      <x:c r="K84" s="41"/>
      <x:c r="L84" s="36"/>
      <x:c r="M84" s="42" t="str">
        <x:f>IF(A84="","",IF(COUNTIFS('Lots'!$A$6:$A$105,G84)=1,VLOOKUP(G84,'Lots'!$A$6:$B$105,2,FALSE),"Unknown lot"))</x:f>
      </x:c>
      <x:c r="N84" s="37" t="str">
        <x:f>IF(A84="","",IF(F84="Return",-1,1)*(H84*I84-J84))</x:f>
      </x:c>
      <x:c r="O84" s="37" t="str">
        <x:f>IF(A84="","",IF(F84="Return",-K84,K84))</x:f>
      </x:c>
      <x:c r="P84" s="37" t="str">
        <x:f>IF(A84="","",N84+O84)</x:f>
      </x:c>
      <x:c r="Q84" s="37" t="str">
        <x:f>IF(A84="","",IF(COUNTIFS('Lots'!$A$6:$A$105,G84)=1,VLOOKUP(G84,'Lots'!$A$6:$J$105,10,FALSE),"Unknown lot"))</x:f>
      </x:c>
      <x:c r="R84" s="37" t="str">
        <x:f>IF(A84="","",IF(ISNUMBER(Q84),IF(F84="Return",-1,1)*H84*Q84,"Cost missing"))</x:f>
      </x:c>
      <x:c r="S84" s="37" t="str">
        <x:f>IF(A84="","",IF(ISNUMBER(R84),N84-R84,"Cost missing"))</x:f>
      </x:c>
      <x:c r="T84" s="42" t="str">
        <x:f>IF(A84="","",IF(COUNTIFS($A$6:$A$205,A84)&lt;&gt;1,"Duplicate ID",IF(OR(B84="",D84="",NOT(ISNUMBER(C84)),H84&lt;=0,NOT(ISNUMBER(I84)),I84&lt;0,J84&lt;0,J84&gt;H84*I84,K84&lt;0),"Check sale inputs",IF(NOT(ISNUMBER(Q84)),"Lot/cost incomplete",IF(OR(F84="Sale",F84="Return"),"OK","Type required")))))</x:f>
      </x:c>
    </x:row>
    <x:row r="85" ht="23" customHeight="1">
      <x:c r="A85" s="36"/>
      <x:c r="B85" s="36"/>
      <x:c r="C85" s="40"/>
      <x:c r="D85" s="36"/>
      <x:c r="E85" s="36"/>
      <x:c r="F85" s="36"/>
      <x:c r="G85" s="36"/>
      <x:c r="H85" s="41"/>
      <x:c r="I85" s="41"/>
      <x:c r="J85" s="41"/>
      <x:c r="K85" s="41"/>
      <x:c r="L85" s="36"/>
      <x:c r="M85" s="42" t="str">
        <x:f>IF(A85="","",IF(COUNTIFS('Lots'!$A$6:$A$105,G85)=1,VLOOKUP(G85,'Lots'!$A$6:$B$105,2,FALSE),"Unknown lot"))</x:f>
      </x:c>
      <x:c r="N85" s="37" t="str">
        <x:f>IF(A85="","",IF(F85="Return",-1,1)*(H85*I85-J85))</x:f>
      </x:c>
      <x:c r="O85" s="37" t="str">
        <x:f>IF(A85="","",IF(F85="Return",-K85,K85))</x:f>
      </x:c>
      <x:c r="P85" s="37" t="str">
        <x:f>IF(A85="","",N85+O85)</x:f>
      </x:c>
      <x:c r="Q85" s="37" t="str">
        <x:f>IF(A85="","",IF(COUNTIFS('Lots'!$A$6:$A$105,G85)=1,VLOOKUP(G85,'Lots'!$A$6:$J$105,10,FALSE),"Unknown lot"))</x:f>
      </x:c>
      <x:c r="R85" s="37" t="str">
        <x:f>IF(A85="","",IF(ISNUMBER(Q85),IF(F85="Return",-1,1)*H85*Q85,"Cost missing"))</x:f>
      </x:c>
      <x:c r="S85" s="37" t="str">
        <x:f>IF(A85="","",IF(ISNUMBER(R85),N85-R85,"Cost missing"))</x:f>
      </x:c>
      <x:c r="T85" s="42" t="str">
        <x:f>IF(A85="","",IF(COUNTIFS($A$6:$A$205,A85)&lt;&gt;1,"Duplicate ID",IF(OR(B85="",D85="",NOT(ISNUMBER(C85)),H85&lt;=0,NOT(ISNUMBER(I85)),I85&lt;0,J85&lt;0,J85&gt;H85*I85,K85&lt;0),"Check sale inputs",IF(NOT(ISNUMBER(Q85)),"Lot/cost incomplete",IF(OR(F85="Sale",F85="Return"),"OK","Type required")))))</x:f>
      </x:c>
    </x:row>
    <x:row r="86" ht="23" customHeight="1">
      <x:c r="A86" s="36"/>
      <x:c r="B86" s="36"/>
      <x:c r="C86" s="40"/>
      <x:c r="D86" s="36"/>
      <x:c r="E86" s="36"/>
      <x:c r="F86" s="36"/>
      <x:c r="G86" s="36"/>
      <x:c r="H86" s="41"/>
      <x:c r="I86" s="41"/>
      <x:c r="J86" s="41"/>
      <x:c r="K86" s="41"/>
      <x:c r="L86" s="36"/>
      <x:c r="M86" s="42" t="str">
        <x:f>IF(A86="","",IF(COUNTIFS('Lots'!$A$6:$A$105,G86)=1,VLOOKUP(G86,'Lots'!$A$6:$B$105,2,FALSE),"Unknown lot"))</x:f>
      </x:c>
      <x:c r="N86" s="37" t="str">
        <x:f>IF(A86="","",IF(F86="Return",-1,1)*(H86*I86-J86))</x:f>
      </x:c>
      <x:c r="O86" s="37" t="str">
        <x:f>IF(A86="","",IF(F86="Return",-K86,K86))</x:f>
      </x:c>
      <x:c r="P86" s="37" t="str">
        <x:f>IF(A86="","",N86+O86)</x:f>
      </x:c>
      <x:c r="Q86" s="37" t="str">
        <x:f>IF(A86="","",IF(COUNTIFS('Lots'!$A$6:$A$105,G86)=1,VLOOKUP(G86,'Lots'!$A$6:$J$105,10,FALSE),"Unknown lot"))</x:f>
      </x:c>
      <x:c r="R86" s="37" t="str">
        <x:f>IF(A86="","",IF(ISNUMBER(Q86),IF(F86="Return",-1,1)*H86*Q86,"Cost missing"))</x:f>
      </x:c>
      <x:c r="S86" s="37" t="str">
        <x:f>IF(A86="","",IF(ISNUMBER(R86),N86-R86,"Cost missing"))</x:f>
      </x:c>
      <x:c r="T86" s="42" t="str">
        <x:f>IF(A86="","",IF(COUNTIFS($A$6:$A$205,A86)&lt;&gt;1,"Duplicate ID",IF(OR(B86="",D86="",NOT(ISNUMBER(C86)),H86&lt;=0,NOT(ISNUMBER(I86)),I86&lt;0,J86&lt;0,J86&gt;H86*I86,K86&lt;0),"Check sale inputs",IF(NOT(ISNUMBER(Q86)),"Lot/cost incomplete",IF(OR(F86="Sale",F86="Return"),"OK","Type required")))))</x:f>
      </x:c>
    </x:row>
    <x:row r="87" ht="23" customHeight="1">
      <x:c r="A87" s="36"/>
      <x:c r="B87" s="36"/>
      <x:c r="C87" s="40"/>
      <x:c r="D87" s="36"/>
      <x:c r="E87" s="36"/>
      <x:c r="F87" s="36"/>
      <x:c r="G87" s="36"/>
      <x:c r="H87" s="41"/>
      <x:c r="I87" s="41"/>
      <x:c r="J87" s="41"/>
      <x:c r="K87" s="41"/>
      <x:c r="L87" s="36"/>
      <x:c r="M87" s="42" t="str">
        <x:f>IF(A87="","",IF(COUNTIFS('Lots'!$A$6:$A$105,G87)=1,VLOOKUP(G87,'Lots'!$A$6:$B$105,2,FALSE),"Unknown lot"))</x:f>
      </x:c>
      <x:c r="N87" s="37" t="str">
        <x:f>IF(A87="","",IF(F87="Return",-1,1)*(H87*I87-J87))</x:f>
      </x:c>
      <x:c r="O87" s="37" t="str">
        <x:f>IF(A87="","",IF(F87="Return",-K87,K87))</x:f>
      </x:c>
      <x:c r="P87" s="37" t="str">
        <x:f>IF(A87="","",N87+O87)</x:f>
      </x:c>
      <x:c r="Q87" s="37" t="str">
        <x:f>IF(A87="","",IF(COUNTIFS('Lots'!$A$6:$A$105,G87)=1,VLOOKUP(G87,'Lots'!$A$6:$J$105,10,FALSE),"Unknown lot"))</x:f>
      </x:c>
      <x:c r="R87" s="37" t="str">
        <x:f>IF(A87="","",IF(ISNUMBER(Q87),IF(F87="Return",-1,1)*H87*Q87,"Cost missing"))</x:f>
      </x:c>
      <x:c r="S87" s="37" t="str">
        <x:f>IF(A87="","",IF(ISNUMBER(R87),N87-R87,"Cost missing"))</x:f>
      </x:c>
      <x:c r="T87" s="42" t="str">
        <x:f>IF(A87="","",IF(COUNTIFS($A$6:$A$205,A87)&lt;&gt;1,"Duplicate ID",IF(OR(B87="",D87="",NOT(ISNUMBER(C87)),H87&lt;=0,NOT(ISNUMBER(I87)),I87&lt;0,J87&lt;0,J87&gt;H87*I87,K87&lt;0),"Check sale inputs",IF(NOT(ISNUMBER(Q87)),"Lot/cost incomplete",IF(OR(F87="Sale",F87="Return"),"OK","Type required")))))</x:f>
      </x:c>
    </x:row>
    <x:row r="88" ht="23" customHeight="1">
      <x:c r="A88" s="36"/>
      <x:c r="B88" s="36"/>
      <x:c r="C88" s="40"/>
      <x:c r="D88" s="36"/>
      <x:c r="E88" s="36"/>
      <x:c r="F88" s="36"/>
      <x:c r="G88" s="36"/>
      <x:c r="H88" s="41"/>
      <x:c r="I88" s="41"/>
      <x:c r="J88" s="41"/>
      <x:c r="K88" s="41"/>
      <x:c r="L88" s="36"/>
      <x:c r="M88" s="42" t="str">
        <x:f>IF(A88="","",IF(COUNTIFS('Lots'!$A$6:$A$105,G88)=1,VLOOKUP(G88,'Lots'!$A$6:$B$105,2,FALSE),"Unknown lot"))</x:f>
      </x:c>
      <x:c r="N88" s="37" t="str">
        <x:f>IF(A88="","",IF(F88="Return",-1,1)*(H88*I88-J88))</x:f>
      </x:c>
      <x:c r="O88" s="37" t="str">
        <x:f>IF(A88="","",IF(F88="Return",-K88,K88))</x:f>
      </x:c>
      <x:c r="P88" s="37" t="str">
        <x:f>IF(A88="","",N88+O88)</x:f>
      </x:c>
      <x:c r="Q88" s="37" t="str">
        <x:f>IF(A88="","",IF(COUNTIFS('Lots'!$A$6:$A$105,G88)=1,VLOOKUP(G88,'Lots'!$A$6:$J$105,10,FALSE),"Unknown lot"))</x:f>
      </x:c>
      <x:c r="R88" s="37" t="str">
        <x:f>IF(A88="","",IF(ISNUMBER(Q88),IF(F88="Return",-1,1)*H88*Q88,"Cost missing"))</x:f>
      </x:c>
      <x:c r="S88" s="37" t="str">
        <x:f>IF(A88="","",IF(ISNUMBER(R88),N88-R88,"Cost missing"))</x:f>
      </x:c>
      <x:c r="T88" s="42" t="str">
        <x:f>IF(A88="","",IF(COUNTIFS($A$6:$A$205,A88)&lt;&gt;1,"Duplicate ID",IF(OR(B88="",D88="",NOT(ISNUMBER(C88)),H88&lt;=0,NOT(ISNUMBER(I88)),I88&lt;0,J88&lt;0,J88&gt;H88*I88,K88&lt;0),"Check sale inputs",IF(NOT(ISNUMBER(Q88)),"Lot/cost incomplete",IF(OR(F88="Sale",F88="Return"),"OK","Type required")))))</x:f>
      </x:c>
    </x:row>
    <x:row r="89" ht="23" customHeight="1">
      <x:c r="A89" s="36"/>
      <x:c r="B89" s="36"/>
      <x:c r="C89" s="40"/>
      <x:c r="D89" s="36"/>
      <x:c r="E89" s="36"/>
      <x:c r="F89" s="36"/>
      <x:c r="G89" s="36"/>
      <x:c r="H89" s="41"/>
      <x:c r="I89" s="41"/>
      <x:c r="J89" s="41"/>
      <x:c r="K89" s="41"/>
      <x:c r="L89" s="36"/>
      <x:c r="M89" s="42" t="str">
        <x:f>IF(A89="","",IF(COUNTIFS('Lots'!$A$6:$A$105,G89)=1,VLOOKUP(G89,'Lots'!$A$6:$B$105,2,FALSE),"Unknown lot"))</x:f>
      </x:c>
      <x:c r="N89" s="37" t="str">
        <x:f>IF(A89="","",IF(F89="Return",-1,1)*(H89*I89-J89))</x:f>
      </x:c>
      <x:c r="O89" s="37" t="str">
        <x:f>IF(A89="","",IF(F89="Return",-K89,K89))</x:f>
      </x:c>
      <x:c r="P89" s="37" t="str">
        <x:f>IF(A89="","",N89+O89)</x:f>
      </x:c>
      <x:c r="Q89" s="37" t="str">
        <x:f>IF(A89="","",IF(COUNTIFS('Lots'!$A$6:$A$105,G89)=1,VLOOKUP(G89,'Lots'!$A$6:$J$105,10,FALSE),"Unknown lot"))</x:f>
      </x:c>
      <x:c r="R89" s="37" t="str">
        <x:f>IF(A89="","",IF(ISNUMBER(Q89),IF(F89="Return",-1,1)*H89*Q89,"Cost missing"))</x:f>
      </x:c>
      <x:c r="S89" s="37" t="str">
        <x:f>IF(A89="","",IF(ISNUMBER(R89),N89-R89,"Cost missing"))</x:f>
      </x:c>
      <x:c r="T89" s="42" t="str">
        <x:f>IF(A89="","",IF(COUNTIFS($A$6:$A$205,A89)&lt;&gt;1,"Duplicate ID",IF(OR(B89="",D89="",NOT(ISNUMBER(C89)),H89&lt;=0,NOT(ISNUMBER(I89)),I89&lt;0,J89&lt;0,J89&gt;H89*I89,K89&lt;0),"Check sale inputs",IF(NOT(ISNUMBER(Q89)),"Lot/cost incomplete",IF(OR(F89="Sale",F89="Return"),"OK","Type required")))))</x:f>
      </x:c>
    </x:row>
    <x:row r="90" ht="23" customHeight="1">
      <x:c r="A90" s="36"/>
      <x:c r="B90" s="36"/>
      <x:c r="C90" s="40"/>
      <x:c r="D90" s="36"/>
      <x:c r="E90" s="36"/>
      <x:c r="F90" s="36"/>
      <x:c r="G90" s="36"/>
      <x:c r="H90" s="41"/>
      <x:c r="I90" s="41"/>
      <x:c r="J90" s="41"/>
      <x:c r="K90" s="41"/>
      <x:c r="L90" s="36"/>
      <x:c r="M90" s="42" t="str">
        <x:f>IF(A90="","",IF(COUNTIFS('Lots'!$A$6:$A$105,G90)=1,VLOOKUP(G90,'Lots'!$A$6:$B$105,2,FALSE),"Unknown lot"))</x:f>
      </x:c>
      <x:c r="N90" s="37" t="str">
        <x:f>IF(A90="","",IF(F90="Return",-1,1)*(H90*I90-J90))</x:f>
      </x:c>
      <x:c r="O90" s="37" t="str">
        <x:f>IF(A90="","",IF(F90="Return",-K90,K90))</x:f>
      </x:c>
      <x:c r="P90" s="37" t="str">
        <x:f>IF(A90="","",N90+O90)</x:f>
      </x:c>
      <x:c r="Q90" s="37" t="str">
        <x:f>IF(A90="","",IF(COUNTIFS('Lots'!$A$6:$A$105,G90)=1,VLOOKUP(G90,'Lots'!$A$6:$J$105,10,FALSE),"Unknown lot"))</x:f>
      </x:c>
      <x:c r="R90" s="37" t="str">
        <x:f>IF(A90="","",IF(ISNUMBER(Q90),IF(F90="Return",-1,1)*H90*Q90,"Cost missing"))</x:f>
      </x:c>
      <x:c r="S90" s="37" t="str">
        <x:f>IF(A90="","",IF(ISNUMBER(R90),N90-R90,"Cost missing"))</x:f>
      </x:c>
      <x:c r="T90" s="42" t="str">
        <x:f>IF(A90="","",IF(COUNTIFS($A$6:$A$205,A90)&lt;&gt;1,"Duplicate ID",IF(OR(B90="",D90="",NOT(ISNUMBER(C90)),H90&lt;=0,NOT(ISNUMBER(I90)),I90&lt;0,J90&lt;0,J90&gt;H90*I90,K90&lt;0),"Check sale inputs",IF(NOT(ISNUMBER(Q90)),"Lot/cost incomplete",IF(OR(F90="Sale",F90="Return"),"OK","Type required")))))</x:f>
      </x:c>
    </x:row>
    <x:row r="91" ht="23" customHeight="1">
      <x:c r="A91" s="36"/>
      <x:c r="B91" s="36"/>
      <x:c r="C91" s="40"/>
      <x:c r="D91" s="36"/>
      <x:c r="E91" s="36"/>
      <x:c r="F91" s="36"/>
      <x:c r="G91" s="36"/>
      <x:c r="H91" s="41"/>
      <x:c r="I91" s="41"/>
      <x:c r="J91" s="41"/>
      <x:c r="K91" s="41"/>
      <x:c r="L91" s="36"/>
      <x:c r="M91" s="42" t="str">
        <x:f>IF(A91="","",IF(COUNTIFS('Lots'!$A$6:$A$105,G91)=1,VLOOKUP(G91,'Lots'!$A$6:$B$105,2,FALSE),"Unknown lot"))</x:f>
      </x:c>
      <x:c r="N91" s="37" t="str">
        <x:f>IF(A91="","",IF(F91="Return",-1,1)*(H91*I91-J91))</x:f>
      </x:c>
      <x:c r="O91" s="37" t="str">
        <x:f>IF(A91="","",IF(F91="Return",-K91,K91))</x:f>
      </x:c>
      <x:c r="P91" s="37" t="str">
        <x:f>IF(A91="","",N91+O91)</x:f>
      </x:c>
      <x:c r="Q91" s="37" t="str">
        <x:f>IF(A91="","",IF(COUNTIFS('Lots'!$A$6:$A$105,G91)=1,VLOOKUP(G91,'Lots'!$A$6:$J$105,10,FALSE),"Unknown lot"))</x:f>
      </x:c>
      <x:c r="R91" s="37" t="str">
        <x:f>IF(A91="","",IF(ISNUMBER(Q91),IF(F91="Return",-1,1)*H91*Q91,"Cost missing"))</x:f>
      </x:c>
      <x:c r="S91" s="37" t="str">
        <x:f>IF(A91="","",IF(ISNUMBER(R91),N91-R91,"Cost missing"))</x:f>
      </x:c>
      <x:c r="T91" s="42" t="str">
        <x:f>IF(A91="","",IF(COUNTIFS($A$6:$A$205,A91)&lt;&gt;1,"Duplicate ID",IF(OR(B91="",D91="",NOT(ISNUMBER(C91)),H91&lt;=0,NOT(ISNUMBER(I91)),I91&lt;0,J91&lt;0,J91&gt;H91*I91,K91&lt;0),"Check sale inputs",IF(NOT(ISNUMBER(Q91)),"Lot/cost incomplete",IF(OR(F91="Sale",F91="Return"),"OK","Type required")))))</x:f>
      </x:c>
    </x:row>
    <x:row r="92" ht="23" customHeight="1">
      <x:c r="A92" s="36"/>
      <x:c r="B92" s="36"/>
      <x:c r="C92" s="40"/>
      <x:c r="D92" s="36"/>
      <x:c r="E92" s="36"/>
      <x:c r="F92" s="36"/>
      <x:c r="G92" s="36"/>
      <x:c r="H92" s="41"/>
      <x:c r="I92" s="41"/>
      <x:c r="J92" s="41"/>
      <x:c r="K92" s="41"/>
      <x:c r="L92" s="36"/>
      <x:c r="M92" s="42" t="str">
        <x:f>IF(A92="","",IF(COUNTIFS('Lots'!$A$6:$A$105,G92)=1,VLOOKUP(G92,'Lots'!$A$6:$B$105,2,FALSE),"Unknown lot"))</x:f>
      </x:c>
      <x:c r="N92" s="37" t="str">
        <x:f>IF(A92="","",IF(F92="Return",-1,1)*(H92*I92-J92))</x:f>
      </x:c>
      <x:c r="O92" s="37" t="str">
        <x:f>IF(A92="","",IF(F92="Return",-K92,K92))</x:f>
      </x:c>
      <x:c r="P92" s="37" t="str">
        <x:f>IF(A92="","",N92+O92)</x:f>
      </x:c>
      <x:c r="Q92" s="37" t="str">
        <x:f>IF(A92="","",IF(COUNTIFS('Lots'!$A$6:$A$105,G92)=1,VLOOKUP(G92,'Lots'!$A$6:$J$105,10,FALSE),"Unknown lot"))</x:f>
      </x:c>
      <x:c r="R92" s="37" t="str">
        <x:f>IF(A92="","",IF(ISNUMBER(Q92),IF(F92="Return",-1,1)*H92*Q92,"Cost missing"))</x:f>
      </x:c>
      <x:c r="S92" s="37" t="str">
        <x:f>IF(A92="","",IF(ISNUMBER(R92),N92-R92,"Cost missing"))</x:f>
      </x:c>
      <x:c r="T92" s="42" t="str">
        <x:f>IF(A92="","",IF(COUNTIFS($A$6:$A$205,A92)&lt;&gt;1,"Duplicate ID",IF(OR(B92="",D92="",NOT(ISNUMBER(C92)),H92&lt;=0,NOT(ISNUMBER(I92)),I92&lt;0,J92&lt;0,J92&gt;H92*I92,K92&lt;0),"Check sale inputs",IF(NOT(ISNUMBER(Q92)),"Lot/cost incomplete",IF(OR(F92="Sale",F92="Return"),"OK","Type required")))))</x:f>
      </x:c>
    </x:row>
    <x:row r="93" ht="23" customHeight="1">
      <x:c r="A93" s="36"/>
      <x:c r="B93" s="36"/>
      <x:c r="C93" s="40"/>
      <x:c r="D93" s="36"/>
      <x:c r="E93" s="36"/>
      <x:c r="F93" s="36"/>
      <x:c r="G93" s="36"/>
      <x:c r="H93" s="41"/>
      <x:c r="I93" s="41"/>
      <x:c r="J93" s="41"/>
      <x:c r="K93" s="41"/>
      <x:c r="L93" s="36"/>
      <x:c r="M93" s="42" t="str">
        <x:f>IF(A93="","",IF(COUNTIFS('Lots'!$A$6:$A$105,G93)=1,VLOOKUP(G93,'Lots'!$A$6:$B$105,2,FALSE),"Unknown lot"))</x:f>
      </x:c>
      <x:c r="N93" s="37" t="str">
        <x:f>IF(A93="","",IF(F93="Return",-1,1)*(H93*I93-J93))</x:f>
      </x:c>
      <x:c r="O93" s="37" t="str">
        <x:f>IF(A93="","",IF(F93="Return",-K93,K93))</x:f>
      </x:c>
      <x:c r="P93" s="37" t="str">
        <x:f>IF(A93="","",N93+O93)</x:f>
      </x:c>
      <x:c r="Q93" s="37" t="str">
        <x:f>IF(A93="","",IF(COUNTIFS('Lots'!$A$6:$A$105,G93)=1,VLOOKUP(G93,'Lots'!$A$6:$J$105,10,FALSE),"Unknown lot"))</x:f>
      </x:c>
      <x:c r="R93" s="37" t="str">
        <x:f>IF(A93="","",IF(ISNUMBER(Q93),IF(F93="Return",-1,1)*H93*Q93,"Cost missing"))</x:f>
      </x:c>
      <x:c r="S93" s="37" t="str">
        <x:f>IF(A93="","",IF(ISNUMBER(R93),N93-R93,"Cost missing"))</x:f>
      </x:c>
      <x:c r="T93" s="42" t="str">
        <x:f>IF(A93="","",IF(COUNTIFS($A$6:$A$205,A93)&lt;&gt;1,"Duplicate ID",IF(OR(B93="",D93="",NOT(ISNUMBER(C93)),H93&lt;=0,NOT(ISNUMBER(I93)),I93&lt;0,J93&lt;0,J93&gt;H93*I93,K93&lt;0),"Check sale inputs",IF(NOT(ISNUMBER(Q93)),"Lot/cost incomplete",IF(OR(F93="Sale",F93="Return"),"OK","Type required")))))</x:f>
      </x:c>
    </x:row>
    <x:row r="94" ht="23" customHeight="1">
      <x:c r="A94" s="36"/>
      <x:c r="B94" s="36"/>
      <x:c r="C94" s="40"/>
      <x:c r="D94" s="36"/>
      <x:c r="E94" s="36"/>
      <x:c r="F94" s="36"/>
      <x:c r="G94" s="36"/>
      <x:c r="H94" s="41"/>
      <x:c r="I94" s="41"/>
      <x:c r="J94" s="41"/>
      <x:c r="K94" s="41"/>
      <x:c r="L94" s="36"/>
      <x:c r="M94" s="42" t="str">
        <x:f>IF(A94="","",IF(COUNTIFS('Lots'!$A$6:$A$105,G94)=1,VLOOKUP(G94,'Lots'!$A$6:$B$105,2,FALSE),"Unknown lot"))</x:f>
      </x:c>
      <x:c r="N94" s="37" t="str">
        <x:f>IF(A94="","",IF(F94="Return",-1,1)*(H94*I94-J94))</x:f>
      </x:c>
      <x:c r="O94" s="37" t="str">
        <x:f>IF(A94="","",IF(F94="Return",-K94,K94))</x:f>
      </x:c>
      <x:c r="P94" s="37" t="str">
        <x:f>IF(A94="","",N94+O94)</x:f>
      </x:c>
      <x:c r="Q94" s="37" t="str">
        <x:f>IF(A94="","",IF(COUNTIFS('Lots'!$A$6:$A$105,G94)=1,VLOOKUP(G94,'Lots'!$A$6:$J$105,10,FALSE),"Unknown lot"))</x:f>
      </x:c>
      <x:c r="R94" s="37" t="str">
        <x:f>IF(A94="","",IF(ISNUMBER(Q94),IF(F94="Return",-1,1)*H94*Q94,"Cost missing"))</x:f>
      </x:c>
      <x:c r="S94" s="37" t="str">
        <x:f>IF(A94="","",IF(ISNUMBER(R94),N94-R94,"Cost missing"))</x:f>
      </x:c>
      <x:c r="T94" s="42" t="str">
        <x:f>IF(A94="","",IF(COUNTIFS($A$6:$A$205,A94)&lt;&gt;1,"Duplicate ID",IF(OR(B94="",D94="",NOT(ISNUMBER(C94)),H94&lt;=0,NOT(ISNUMBER(I94)),I94&lt;0,J94&lt;0,J94&gt;H94*I94,K94&lt;0),"Check sale inputs",IF(NOT(ISNUMBER(Q94)),"Lot/cost incomplete",IF(OR(F94="Sale",F94="Return"),"OK","Type required")))))</x:f>
      </x:c>
    </x:row>
    <x:row r="95" ht="23" customHeight="1">
      <x:c r="A95" s="36"/>
      <x:c r="B95" s="36"/>
      <x:c r="C95" s="40"/>
      <x:c r="D95" s="36"/>
      <x:c r="E95" s="36"/>
      <x:c r="F95" s="36"/>
      <x:c r="G95" s="36"/>
      <x:c r="H95" s="41"/>
      <x:c r="I95" s="41"/>
      <x:c r="J95" s="41"/>
      <x:c r="K95" s="41"/>
      <x:c r="L95" s="36"/>
      <x:c r="M95" s="42" t="str">
        <x:f>IF(A95="","",IF(COUNTIFS('Lots'!$A$6:$A$105,G95)=1,VLOOKUP(G95,'Lots'!$A$6:$B$105,2,FALSE),"Unknown lot"))</x:f>
      </x:c>
      <x:c r="N95" s="37" t="str">
        <x:f>IF(A95="","",IF(F95="Return",-1,1)*(H95*I95-J95))</x:f>
      </x:c>
      <x:c r="O95" s="37" t="str">
        <x:f>IF(A95="","",IF(F95="Return",-K95,K95))</x:f>
      </x:c>
      <x:c r="P95" s="37" t="str">
        <x:f>IF(A95="","",N95+O95)</x:f>
      </x:c>
      <x:c r="Q95" s="37" t="str">
        <x:f>IF(A95="","",IF(COUNTIFS('Lots'!$A$6:$A$105,G95)=1,VLOOKUP(G95,'Lots'!$A$6:$J$105,10,FALSE),"Unknown lot"))</x:f>
      </x:c>
      <x:c r="R95" s="37" t="str">
        <x:f>IF(A95="","",IF(ISNUMBER(Q95),IF(F95="Return",-1,1)*H95*Q95,"Cost missing"))</x:f>
      </x:c>
      <x:c r="S95" s="37" t="str">
        <x:f>IF(A95="","",IF(ISNUMBER(R95),N95-R95,"Cost missing"))</x:f>
      </x:c>
      <x:c r="T95" s="42" t="str">
        <x:f>IF(A95="","",IF(COUNTIFS($A$6:$A$205,A95)&lt;&gt;1,"Duplicate ID",IF(OR(B95="",D95="",NOT(ISNUMBER(C95)),H95&lt;=0,NOT(ISNUMBER(I95)),I95&lt;0,J95&lt;0,J95&gt;H95*I95,K95&lt;0),"Check sale inputs",IF(NOT(ISNUMBER(Q95)),"Lot/cost incomplete",IF(OR(F95="Sale",F95="Return"),"OK","Type required")))))</x:f>
      </x:c>
    </x:row>
    <x:row r="96" ht="23" customHeight="1">
      <x:c r="A96" s="36"/>
      <x:c r="B96" s="36"/>
      <x:c r="C96" s="40"/>
      <x:c r="D96" s="36"/>
      <x:c r="E96" s="36"/>
      <x:c r="F96" s="36"/>
      <x:c r="G96" s="36"/>
      <x:c r="H96" s="41"/>
      <x:c r="I96" s="41"/>
      <x:c r="J96" s="41"/>
      <x:c r="K96" s="41"/>
      <x:c r="L96" s="36"/>
      <x:c r="M96" s="42" t="str">
        <x:f>IF(A96="","",IF(COUNTIFS('Lots'!$A$6:$A$105,G96)=1,VLOOKUP(G96,'Lots'!$A$6:$B$105,2,FALSE),"Unknown lot"))</x:f>
      </x:c>
      <x:c r="N96" s="37" t="str">
        <x:f>IF(A96="","",IF(F96="Return",-1,1)*(H96*I96-J96))</x:f>
      </x:c>
      <x:c r="O96" s="37" t="str">
        <x:f>IF(A96="","",IF(F96="Return",-K96,K96))</x:f>
      </x:c>
      <x:c r="P96" s="37" t="str">
        <x:f>IF(A96="","",N96+O96)</x:f>
      </x:c>
      <x:c r="Q96" s="37" t="str">
        <x:f>IF(A96="","",IF(COUNTIFS('Lots'!$A$6:$A$105,G96)=1,VLOOKUP(G96,'Lots'!$A$6:$J$105,10,FALSE),"Unknown lot"))</x:f>
      </x:c>
      <x:c r="R96" s="37" t="str">
        <x:f>IF(A96="","",IF(ISNUMBER(Q96),IF(F96="Return",-1,1)*H96*Q96,"Cost missing"))</x:f>
      </x:c>
      <x:c r="S96" s="37" t="str">
        <x:f>IF(A96="","",IF(ISNUMBER(R96),N96-R96,"Cost missing"))</x:f>
      </x:c>
      <x:c r="T96" s="42" t="str">
        <x:f>IF(A96="","",IF(COUNTIFS($A$6:$A$205,A96)&lt;&gt;1,"Duplicate ID",IF(OR(B96="",D96="",NOT(ISNUMBER(C96)),H96&lt;=0,NOT(ISNUMBER(I96)),I96&lt;0,J96&lt;0,J96&gt;H96*I96,K96&lt;0),"Check sale inputs",IF(NOT(ISNUMBER(Q96)),"Lot/cost incomplete",IF(OR(F96="Sale",F96="Return"),"OK","Type required")))))</x:f>
      </x:c>
    </x:row>
    <x:row r="97" ht="23" customHeight="1">
      <x:c r="A97" s="36"/>
      <x:c r="B97" s="36"/>
      <x:c r="C97" s="40"/>
      <x:c r="D97" s="36"/>
      <x:c r="E97" s="36"/>
      <x:c r="F97" s="36"/>
      <x:c r="G97" s="36"/>
      <x:c r="H97" s="41"/>
      <x:c r="I97" s="41"/>
      <x:c r="J97" s="41"/>
      <x:c r="K97" s="41"/>
      <x:c r="L97" s="36"/>
      <x:c r="M97" s="42" t="str">
        <x:f>IF(A97="","",IF(COUNTIFS('Lots'!$A$6:$A$105,G97)=1,VLOOKUP(G97,'Lots'!$A$6:$B$105,2,FALSE),"Unknown lot"))</x:f>
      </x:c>
      <x:c r="N97" s="37" t="str">
        <x:f>IF(A97="","",IF(F97="Return",-1,1)*(H97*I97-J97))</x:f>
      </x:c>
      <x:c r="O97" s="37" t="str">
        <x:f>IF(A97="","",IF(F97="Return",-K97,K97))</x:f>
      </x:c>
      <x:c r="P97" s="37" t="str">
        <x:f>IF(A97="","",N97+O97)</x:f>
      </x:c>
      <x:c r="Q97" s="37" t="str">
        <x:f>IF(A97="","",IF(COUNTIFS('Lots'!$A$6:$A$105,G97)=1,VLOOKUP(G97,'Lots'!$A$6:$J$105,10,FALSE),"Unknown lot"))</x:f>
      </x:c>
      <x:c r="R97" s="37" t="str">
        <x:f>IF(A97="","",IF(ISNUMBER(Q97),IF(F97="Return",-1,1)*H97*Q97,"Cost missing"))</x:f>
      </x:c>
      <x:c r="S97" s="37" t="str">
        <x:f>IF(A97="","",IF(ISNUMBER(R97),N97-R97,"Cost missing"))</x:f>
      </x:c>
      <x:c r="T97" s="42" t="str">
        <x:f>IF(A97="","",IF(COUNTIFS($A$6:$A$205,A97)&lt;&gt;1,"Duplicate ID",IF(OR(B97="",D97="",NOT(ISNUMBER(C97)),H97&lt;=0,NOT(ISNUMBER(I97)),I97&lt;0,J97&lt;0,J97&gt;H97*I97,K97&lt;0),"Check sale inputs",IF(NOT(ISNUMBER(Q97)),"Lot/cost incomplete",IF(OR(F97="Sale",F97="Return"),"OK","Type required")))))</x:f>
      </x:c>
    </x:row>
    <x:row r="98" ht="23" customHeight="1">
      <x:c r="A98" s="36"/>
      <x:c r="B98" s="36"/>
      <x:c r="C98" s="40"/>
      <x:c r="D98" s="36"/>
      <x:c r="E98" s="36"/>
      <x:c r="F98" s="36"/>
      <x:c r="G98" s="36"/>
      <x:c r="H98" s="41"/>
      <x:c r="I98" s="41"/>
      <x:c r="J98" s="41"/>
      <x:c r="K98" s="41"/>
      <x:c r="L98" s="36"/>
      <x:c r="M98" s="42" t="str">
        <x:f>IF(A98="","",IF(COUNTIFS('Lots'!$A$6:$A$105,G98)=1,VLOOKUP(G98,'Lots'!$A$6:$B$105,2,FALSE),"Unknown lot"))</x:f>
      </x:c>
      <x:c r="N98" s="37" t="str">
        <x:f>IF(A98="","",IF(F98="Return",-1,1)*(H98*I98-J98))</x:f>
      </x:c>
      <x:c r="O98" s="37" t="str">
        <x:f>IF(A98="","",IF(F98="Return",-K98,K98))</x:f>
      </x:c>
      <x:c r="P98" s="37" t="str">
        <x:f>IF(A98="","",N98+O98)</x:f>
      </x:c>
      <x:c r="Q98" s="37" t="str">
        <x:f>IF(A98="","",IF(COUNTIFS('Lots'!$A$6:$A$105,G98)=1,VLOOKUP(G98,'Lots'!$A$6:$J$105,10,FALSE),"Unknown lot"))</x:f>
      </x:c>
      <x:c r="R98" s="37" t="str">
        <x:f>IF(A98="","",IF(ISNUMBER(Q98),IF(F98="Return",-1,1)*H98*Q98,"Cost missing"))</x:f>
      </x:c>
      <x:c r="S98" s="37" t="str">
        <x:f>IF(A98="","",IF(ISNUMBER(R98),N98-R98,"Cost missing"))</x:f>
      </x:c>
      <x:c r="T98" s="42" t="str">
        <x:f>IF(A98="","",IF(COUNTIFS($A$6:$A$205,A98)&lt;&gt;1,"Duplicate ID",IF(OR(B98="",D98="",NOT(ISNUMBER(C98)),H98&lt;=0,NOT(ISNUMBER(I98)),I98&lt;0,J98&lt;0,J98&gt;H98*I98,K98&lt;0),"Check sale inputs",IF(NOT(ISNUMBER(Q98)),"Lot/cost incomplete",IF(OR(F98="Sale",F98="Return"),"OK","Type required")))))</x:f>
      </x:c>
    </x:row>
    <x:row r="99" ht="23" customHeight="1">
      <x:c r="A99" s="36"/>
      <x:c r="B99" s="36"/>
      <x:c r="C99" s="40"/>
      <x:c r="D99" s="36"/>
      <x:c r="E99" s="36"/>
      <x:c r="F99" s="36"/>
      <x:c r="G99" s="36"/>
      <x:c r="H99" s="41"/>
      <x:c r="I99" s="41"/>
      <x:c r="J99" s="41"/>
      <x:c r="K99" s="41"/>
      <x:c r="L99" s="36"/>
      <x:c r="M99" s="42" t="str">
        <x:f>IF(A99="","",IF(COUNTIFS('Lots'!$A$6:$A$105,G99)=1,VLOOKUP(G99,'Lots'!$A$6:$B$105,2,FALSE),"Unknown lot"))</x:f>
      </x:c>
      <x:c r="N99" s="37" t="str">
        <x:f>IF(A99="","",IF(F99="Return",-1,1)*(H99*I99-J99))</x:f>
      </x:c>
      <x:c r="O99" s="37" t="str">
        <x:f>IF(A99="","",IF(F99="Return",-K99,K99))</x:f>
      </x:c>
      <x:c r="P99" s="37" t="str">
        <x:f>IF(A99="","",N99+O99)</x:f>
      </x:c>
      <x:c r="Q99" s="37" t="str">
        <x:f>IF(A99="","",IF(COUNTIFS('Lots'!$A$6:$A$105,G99)=1,VLOOKUP(G99,'Lots'!$A$6:$J$105,10,FALSE),"Unknown lot"))</x:f>
      </x:c>
      <x:c r="R99" s="37" t="str">
        <x:f>IF(A99="","",IF(ISNUMBER(Q99),IF(F99="Return",-1,1)*H99*Q99,"Cost missing"))</x:f>
      </x:c>
      <x:c r="S99" s="37" t="str">
        <x:f>IF(A99="","",IF(ISNUMBER(R99),N99-R99,"Cost missing"))</x:f>
      </x:c>
      <x:c r="T99" s="42" t="str">
        <x:f>IF(A99="","",IF(COUNTIFS($A$6:$A$205,A99)&lt;&gt;1,"Duplicate ID",IF(OR(B99="",D99="",NOT(ISNUMBER(C99)),H99&lt;=0,NOT(ISNUMBER(I99)),I99&lt;0,J99&lt;0,J99&gt;H99*I99,K99&lt;0),"Check sale inputs",IF(NOT(ISNUMBER(Q99)),"Lot/cost incomplete",IF(OR(F99="Sale",F99="Return"),"OK","Type required")))))</x:f>
      </x:c>
    </x:row>
    <x:row r="100" ht="23" customHeight="1">
      <x:c r="A100" s="36"/>
      <x:c r="B100" s="36"/>
      <x:c r="C100" s="40"/>
      <x:c r="D100" s="36"/>
      <x:c r="E100" s="36"/>
      <x:c r="F100" s="36"/>
      <x:c r="G100" s="36"/>
      <x:c r="H100" s="41"/>
      <x:c r="I100" s="41"/>
      <x:c r="J100" s="41"/>
      <x:c r="K100" s="41"/>
      <x:c r="L100" s="36"/>
      <x:c r="M100" s="42" t="str">
        <x:f>IF(A100="","",IF(COUNTIFS('Lots'!$A$6:$A$105,G100)=1,VLOOKUP(G100,'Lots'!$A$6:$B$105,2,FALSE),"Unknown lot"))</x:f>
      </x:c>
      <x:c r="N100" s="37" t="str">
        <x:f>IF(A100="","",IF(F100="Return",-1,1)*(H100*I100-J100))</x:f>
      </x:c>
      <x:c r="O100" s="37" t="str">
        <x:f>IF(A100="","",IF(F100="Return",-K100,K100))</x:f>
      </x:c>
      <x:c r="P100" s="37" t="str">
        <x:f>IF(A100="","",N100+O100)</x:f>
      </x:c>
      <x:c r="Q100" s="37" t="str">
        <x:f>IF(A100="","",IF(COUNTIFS('Lots'!$A$6:$A$105,G100)=1,VLOOKUP(G100,'Lots'!$A$6:$J$105,10,FALSE),"Unknown lot"))</x:f>
      </x:c>
      <x:c r="R100" s="37" t="str">
        <x:f>IF(A100="","",IF(ISNUMBER(Q100),IF(F100="Return",-1,1)*H100*Q100,"Cost missing"))</x:f>
      </x:c>
      <x:c r="S100" s="37" t="str">
        <x:f>IF(A100="","",IF(ISNUMBER(R100),N100-R100,"Cost missing"))</x:f>
      </x:c>
      <x:c r="T100" s="42" t="str">
        <x:f>IF(A100="","",IF(COUNTIFS($A$6:$A$205,A100)&lt;&gt;1,"Duplicate ID",IF(OR(B100="",D100="",NOT(ISNUMBER(C100)),H100&lt;=0,NOT(ISNUMBER(I100)),I100&lt;0,J100&lt;0,J100&gt;H100*I100,K100&lt;0),"Check sale inputs",IF(NOT(ISNUMBER(Q100)),"Lot/cost incomplete",IF(OR(F100="Sale",F100="Return"),"OK","Type required")))))</x:f>
      </x:c>
    </x:row>
    <x:row r="101" ht="23" customHeight="1">
      <x:c r="A101" s="36"/>
      <x:c r="B101" s="36"/>
      <x:c r="C101" s="40"/>
      <x:c r="D101" s="36"/>
      <x:c r="E101" s="36"/>
      <x:c r="F101" s="36"/>
      <x:c r="G101" s="36"/>
      <x:c r="H101" s="41"/>
      <x:c r="I101" s="41"/>
      <x:c r="J101" s="41"/>
      <x:c r="K101" s="41"/>
      <x:c r="L101" s="36"/>
      <x:c r="M101" s="42" t="str">
        <x:f>IF(A101="","",IF(COUNTIFS('Lots'!$A$6:$A$105,G101)=1,VLOOKUP(G101,'Lots'!$A$6:$B$105,2,FALSE),"Unknown lot"))</x:f>
      </x:c>
      <x:c r="N101" s="37" t="str">
        <x:f>IF(A101="","",IF(F101="Return",-1,1)*(H101*I101-J101))</x:f>
      </x:c>
      <x:c r="O101" s="37" t="str">
        <x:f>IF(A101="","",IF(F101="Return",-K101,K101))</x:f>
      </x:c>
      <x:c r="P101" s="37" t="str">
        <x:f>IF(A101="","",N101+O101)</x:f>
      </x:c>
      <x:c r="Q101" s="37" t="str">
        <x:f>IF(A101="","",IF(COUNTIFS('Lots'!$A$6:$A$105,G101)=1,VLOOKUP(G101,'Lots'!$A$6:$J$105,10,FALSE),"Unknown lot"))</x:f>
      </x:c>
      <x:c r="R101" s="37" t="str">
        <x:f>IF(A101="","",IF(ISNUMBER(Q101),IF(F101="Return",-1,1)*H101*Q101,"Cost missing"))</x:f>
      </x:c>
      <x:c r="S101" s="37" t="str">
        <x:f>IF(A101="","",IF(ISNUMBER(R101),N101-R101,"Cost missing"))</x:f>
      </x:c>
      <x:c r="T101" s="42" t="str">
        <x:f>IF(A101="","",IF(COUNTIFS($A$6:$A$205,A101)&lt;&gt;1,"Duplicate ID",IF(OR(B101="",D101="",NOT(ISNUMBER(C101)),H101&lt;=0,NOT(ISNUMBER(I101)),I101&lt;0,J101&lt;0,J101&gt;H101*I101,K101&lt;0),"Check sale inputs",IF(NOT(ISNUMBER(Q101)),"Lot/cost incomplete",IF(OR(F101="Sale",F101="Return"),"OK","Type required")))))</x:f>
      </x:c>
    </x:row>
    <x:row r="102" ht="23" customHeight="1">
      <x:c r="A102" s="36"/>
      <x:c r="B102" s="36"/>
      <x:c r="C102" s="40"/>
      <x:c r="D102" s="36"/>
      <x:c r="E102" s="36"/>
      <x:c r="F102" s="36"/>
      <x:c r="G102" s="36"/>
      <x:c r="H102" s="41"/>
      <x:c r="I102" s="41"/>
      <x:c r="J102" s="41"/>
      <x:c r="K102" s="41"/>
      <x:c r="L102" s="36"/>
      <x:c r="M102" s="42" t="str">
        <x:f>IF(A102="","",IF(COUNTIFS('Lots'!$A$6:$A$105,G102)=1,VLOOKUP(G102,'Lots'!$A$6:$B$105,2,FALSE),"Unknown lot"))</x:f>
      </x:c>
      <x:c r="N102" s="37" t="str">
        <x:f>IF(A102="","",IF(F102="Return",-1,1)*(H102*I102-J102))</x:f>
      </x:c>
      <x:c r="O102" s="37" t="str">
        <x:f>IF(A102="","",IF(F102="Return",-K102,K102))</x:f>
      </x:c>
      <x:c r="P102" s="37" t="str">
        <x:f>IF(A102="","",N102+O102)</x:f>
      </x:c>
      <x:c r="Q102" s="37" t="str">
        <x:f>IF(A102="","",IF(COUNTIFS('Lots'!$A$6:$A$105,G102)=1,VLOOKUP(G102,'Lots'!$A$6:$J$105,10,FALSE),"Unknown lot"))</x:f>
      </x:c>
      <x:c r="R102" s="37" t="str">
        <x:f>IF(A102="","",IF(ISNUMBER(Q102),IF(F102="Return",-1,1)*H102*Q102,"Cost missing"))</x:f>
      </x:c>
      <x:c r="S102" s="37" t="str">
        <x:f>IF(A102="","",IF(ISNUMBER(R102),N102-R102,"Cost missing"))</x:f>
      </x:c>
      <x:c r="T102" s="42" t="str">
        <x:f>IF(A102="","",IF(COUNTIFS($A$6:$A$205,A102)&lt;&gt;1,"Duplicate ID",IF(OR(B102="",D102="",NOT(ISNUMBER(C102)),H102&lt;=0,NOT(ISNUMBER(I102)),I102&lt;0,J102&lt;0,J102&gt;H102*I102,K102&lt;0),"Check sale inputs",IF(NOT(ISNUMBER(Q102)),"Lot/cost incomplete",IF(OR(F102="Sale",F102="Return"),"OK","Type required")))))</x:f>
      </x:c>
    </x:row>
    <x:row r="103" ht="23" customHeight="1">
      <x:c r="A103" s="36"/>
      <x:c r="B103" s="36"/>
      <x:c r="C103" s="40"/>
      <x:c r="D103" s="36"/>
      <x:c r="E103" s="36"/>
      <x:c r="F103" s="36"/>
      <x:c r="G103" s="36"/>
      <x:c r="H103" s="41"/>
      <x:c r="I103" s="41"/>
      <x:c r="J103" s="41"/>
      <x:c r="K103" s="41"/>
      <x:c r="L103" s="36"/>
      <x:c r="M103" s="42" t="str">
        <x:f>IF(A103="","",IF(COUNTIFS('Lots'!$A$6:$A$105,G103)=1,VLOOKUP(G103,'Lots'!$A$6:$B$105,2,FALSE),"Unknown lot"))</x:f>
      </x:c>
      <x:c r="N103" s="37" t="str">
        <x:f>IF(A103="","",IF(F103="Return",-1,1)*(H103*I103-J103))</x:f>
      </x:c>
      <x:c r="O103" s="37" t="str">
        <x:f>IF(A103="","",IF(F103="Return",-K103,K103))</x:f>
      </x:c>
      <x:c r="P103" s="37" t="str">
        <x:f>IF(A103="","",N103+O103)</x:f>
      </x:c>
      <x:c r="Q103" s="37" t="str">
        <x:f>IF(A103="","",IF(COUNTIFS('Lots'!$A$6:$A$105,G103)=1,VLOOKUP(G103,'Lots'!$A$6:$J$105,10,FALSE),"Unknown lot"))</x:f>
      </x:c>
      <x:c r="R103" s="37" t="str">
        <x:f>IF(A103="","",IF(ISNUMBER(Q103),IF(F103="Return",-1,1)*H103*Q103,"Cost missing"))</x:f>
      </x:c>
      <x:c r="S103" s="37" t="str">
        <x:f>IF(A103="","",IF(ISNUMBER(R103),N103-R103,"Cost missing"))</x:f>
      </x:c>
      <x:c r="T103" s="42" t="str">
        <x:f>IF(A103="","",IF(COUNTIFS($A$6:$A$205,A103)&lt;&gt;1,"Duplicate ID",IF(OR(B103="",D103="",NOT(ISNUMBER(C103)),H103&lt;=0,NOT(ISNUMBER(I103)),I103&lt;0,J103&lt;0,J103&gt;H103*I103,K103&lt;0),"Check sale inputs",IF(NOT(ISNUMBER(Q103)),"Lot/cost incomplete",IF(OR(F103="Sale",F103="Return"),"OK","Type required")))))</x:f>
      </x:c>
    </x:row>
    <x:row r="104" ht="23" customHeight="1">
      <x:c r="A104" s="36"/>
      <x:c r="B104" s="36"/>
      <x:c r="C104" s="40"/>
      <x:c r="D104" s="36"/>
      <x:c r="E104" s="36"/>
      <x:c r="F104" s="36"/>
      <x:c r="G104" s="36"/>
      <x:c r="H104" s="41"/>
      <x:c r="I104" s="41"/>
      <x:c r="J104" s="41"/>
      <x:c r="K104" s="41"/>
      <x:c r="L104" s="36"/>
      <x:c r="M104" s="42" t="str">
        <x:f>IF(A104="","",IF(COUNTIFS('Lots'!$A$6:$A$105,G104)=1,VLOOKUP(G104,'Lots'!$A$6:$B$105,2,FALSE),"Unknown lot"))</x:f>
      </x:c>
      <x:c r="N104" s="37" t="str">
        <x:f>IF(A104="","",IF(F104="Return",-1,1)*(H104*I104-J104))</x:f>
      </x:c>
      <x:c r="O104" s="37" t="str">
        <x:f>IF(A104="","",IF(F104="Return",-K104,K104))</x:f>
      </x:c>
      <x:c r="P104" s="37" t="str">
        <x:f>IF(A104="","",N104+O104)</x:f>
      </x:c>
      <x:c r="Q104" s="37" t="str">
        <x:f>IF(A104="","",IF(COUNTIFS('Lots'!$A$6:$A$105,G104)=1,VLOOKUP(G104,'Lots'!$A$6:$J$105,10,FALSE),"Unknown lot"))</x:f>
      </x:c>
      <x:c r="R104" s="37" t="str">
        <x:f>IF(A104="","",IF(ISNUMBER(Q104),IF(F104="Return",-1,1)*H104*Q104,"Cost missing"))</x:f>
      </x:c>
      <x:c r="S104" s="37" t="str">
        <x:f>IF(A104="","",IF(ISNUMBER(R104),N104-R104,"Cost missing"))</x:f>
      </x:c>
      <x:c r="T104" s="42" t="str">
        <x:f>IF(A104="","",IF(COUNTIFS($A$6:$A$205,A104)&lt;&gt;1,"Duplicate ID",IF(OR(B104="",D104="",NOT(ISNUMBER(C104)),H104&lt;=0,NOT(ISNUMBER(I104)),I104&lt;0,J104&lt;0,J104&gt;H104*I104,K104&lt;0),"Check sale inputs",IF(NOT(ISNUMBER(Q104)),"Lot/cost incomplete",IF(OR(F104="Sale",F104="Return"),"OK","Type required")))))</x:f>
      </x:c>
    </x:row>
    <x:row r="105" ht="23" customHeight="1">
      <x:c r="A105" s="36"/>
      <x:c r="B105" s="36"/>
      <x:c r="C105" s="40"/>
      <x:c r="D105" s="36"/>
      <x:c r="E105" s="36"/>
      <x:c r="F105" s="36"/>
      <x:c r="G105" s="36"/>
      <x:c r="H105" s="41"/>
      <x:c r="I105" s="41"/>
      <x:c r="J105" s="41"/>
      <x:c r="K105" s="41"/>
      <x:c r="L105" s="36"/>
      <x:c r="M105" s="42" t="str">
        <x:f>IF(A105="","",IF(COUNTIFS('Lots'!$A$6:$A$105,G105)=1,VLOOKUP(G105,'Lots'!$A$6:$B$105,2,FALSE),"Unknown lot"))</x:f>
      </x:c>
      <x:c r="N105" s="37" t="str">
        <x:f>IF(A105="","",IF(F105="Return",-1,1)*(H105*I105-J105))</x:f>
      </x:c>
      <x:c r="O105" s="37" t="str">
        <x:f>IF(A105="","",IF(F105="Return",-K105,K105))</x:f>
      </x:c>
      <x:c r="P105" s="37" t="str">
        <x:f>IF(A105="","",N105+O105)</x:f>
      </x:c>
      <x:c r="Q105" s="37" t="str">
        <x:f>IF(A105="","",IF(COUNTIFS('Lots'!$A$6:$A$105,G105)=1,VLOOKUP(G105,'Lots'!$A$6:$J$105,10,FALSE),"Unknown lot"))</x:f>
      </x:c>
      <x:c r="R105" s="37" t="str">
        <x:f>IF(A105="","",IF(ISNUMBER(Q105),IF(F105="Return",-1,1)*H105*Q105,"Cost missing"))</x:f>
      </x:c>
      <x:c r="S105" s="37" t="str">
        <x:f>IF(A105="","",IF(ISNUMBER(R105),N105-R105,"Cost missing"))</x:f>
      </x:c>
      <x:c r="T105" s="42" t="str">
        <x:f>IF(A105="","",IF(COUNTIFS($A$6:$A$205,A105)&lt;&gt;1,"Duplicate ID",IF(OR(B105="",D105="",NOT(ISNUMBER(C105)),H105&lt;=0,NOT(ISNUMBER(I105)),I105&lt;0,J105&lt;0,J105&gt;H105*I105,K105&lt;0),"Check sale inputs",IF(NOT(ISNUMBER(Q105)),"Lot/cost incomplete",IF(OR(F105="Sale",F105="Return"),"OK","Type required")))))</x:f>
      </x:c>
    </x:row>
    <x:row r="106" ht="23" customHeight="1">
      <x:c r="A106" s="36"/>
      <x:c r="B106" s="36"/>
      <x:c r="C106" s="40"/>
      <x:c r="D106" s="36"/>
      <x:c r="E106" s="36"/>
      <x:c r="F106" s="36"/>
      <x:c r="G106" s="36"/>
      <x:c r="H106" s="41"/>
      <x:c r="I106" s="41"/>
      <x:c r="J106" s="41"/>
      <x:c r="K106" s="41"/>
      <x:c r="L106" s="36"/>
      <x:c r="M106" s="42" t="str">
        <x:f>IF(A106="","",IF(COUNTIFS('Lots'!$A$6:$A$105,G106)=1,VLOOKUP(G106,'Lots'!$A$6:$B$105,2,FALSE),"Unknown lot"))</x:f>
      </x:c>
      <x:c r="N106" s="37" t="str">
        <x:f>IF(A106="","",IF(F106="Return",-1,1)*(H106*I106-J106))</x:f>
      </x:c>
      <x:c r="O106" s="37" t="str">
        <x:f>IF(A106="","",IF(F106="Return",-K106,K106))</x:f>
      </x:c>
      <x:c r="P106" s="37" t="str">
        <x:f>IF(A106="","",N106+O106)</x:f>
      </x:c>
      <x:c r="Q106" s="37" t="str">
        <x:f>IF(A106="","",IF(COUNTIFS('Lots'!$A$6:$A$105,G106)=1,VLOOKUP(G106,'Lots'!$A$6:$J$105,10,FALSE),"Unknown lot"))</x:f>
      </x:c>
      <x:c r="R106" s="37" t="str">
        <x:f>IF(A106="","",IF(ISNUMBER(Q106),IF(F106="Return",-1,1)*H106*Q106,"Cost missing"))</x:f>
      </x:c>
      <x:c r="S106" s="37" t="str">
        <x:f>IF(A106="","",IF(ISNUMBER(R106),N106-R106,"Cost missing"))</x:f>
      </x:c>
      <x:c r="T106" s="42" t="str">
        <x:f>IF(A106="","",IF(COUNTIFS($A$6:$A$205,A106)&lt;&gt;1,"Duplicate ID",IF(OR(B106="",D106="",NOT(ISNUMBER(C106)),H106&lt;=0,NOT(ISNUMBER(I106)),I106&lt;0,J106&lt;0,J106&gt;H106*I106,K106&lt;0),"Check sale inputs",IF(NOT(ISNUMBER(Q106)),"Lot/cost incomplete",IF(OR(F106="Sale",F106="Return"),"OK","Type required")))))</x:f>
      </x:c>
    </x:row>
    <x:row r="107" ht="23" customHeight="1">
      <x:c r="A107" s="36"/>
      <x:c r="B107" s="36"/>
      <x:c r="C107" s="40"/>
      <x:c r="D107" s="36"/>
      <x:c r="E107" s="36"/>
      <x:c r="F107" s="36"/>
      <x:c r="G107" s="36"/>
      <x:c r="H107" s="41"/>
      <x:c r="I107" s="41"/>
      <x:c r="J107" s="41"/>
      <x:c r="K107" s="41"/>
      <x:c r="L107" s="36"/>
      <x:c r="M107" s="42" t="str">
        <x:f>IF(A107="","",IF(COUNTIFS('Lots'!$A$6:$A$105,G107)=1,VLOOKUP(G107,'Lots'!$A$6:$B$105,2,FALSE),"Unknown lot"))</x:f>
      </x:c>
      <x:c r="N107" s="37" t="str">
        <x:f>IF(A107="","",IF(F107="Return",-1,1)*(H107*I107-J107))</x:f>
      </x:c>
      <x:c r="O107" s="37" t="str">
        <x:f>IF(A107="","",IF(F107="Return",-K107,K107))</x:f>
      </x:c>
      <x:c r="P107" s="37" t="str">
        <x:f>IF(A107="","",N107+O107)</x:f>
      </x:c>
      <x:c r="Q107" s="37" t="str">
        <x:f>IF(A107="","",IF(COUNTIFS('Lots'!$A$6:$A$105,G107)=1,VLOOKUP(G107,'Lots'!$A$6:$J$105,10,FALSE),"Unknown lot"))</x:f>
      </x:c>
      <x:c r="R107" s="37" t="str">
        <x:f>IF(A107="","",IF(ISNUMBER(Q107),IF(F107="Return",-1,1)*H107*Q107,"Cost missing"))</x:f>
      </x:c>
      <x:c r="S107" s="37" t="str">
        <x:f>IF(A107="","",IF(ISNUMBER(R107),N107-R107,"Cost missing"))</x:f>
      </x:c>
      <x:c r="T107" s="42" t="str">
        <x:f>IF(A107="","",IF(COUNTIFS($A$6:$A$205,A107)&lt;&gt;1,"Duplicate ID",IF(OR(B107="",D107="",NOT(ISNUMBER(C107)),H107&lt;=0,NOT(ISNUMBER(I107)),I107&lt;0,J107&lt;0,J107&gt;H107*I107,K107&lt;0),"Check sale inputs",IF(NOT(ISNUMBER(Q107)),"Lot/cost incomplete",IF(OR(F107="Sale",F107="Return"),"OK","Type required")))))</x:f>
      </x:c>
    </x:row>
    <x:row r="108" ht="23" customHeight="1">
      <x:c r="A108" s="36"/>
      <x:c r="B108" s="36"/>
      <x:c r="C108" s="40"/>
      <x:c r="D108" s="36"/>
      <x:c r="E108" s="36"/>
      <x:c r="F108" s="36"/>
      <x:c r="G108" s="36"/>
      <x:c r="H108" s="41"/>
      <x:c r="I108" s="41"/>
      <x:c r="J108" s="41"/>
      <x:c r="K108" s="41"/>
      <x:c r="L108" s="36"/>
      <x:c r="M108" s="42" t="str">
        <x:f>IF(A108="","",IF(COUNTIFS('Lots'!$A$6:$A$105,G108)=1,VLOOKUP(G108,'Lots'!$A$6:$B$105,2,FALSE),"Unknown lot"))</x:f>
      </x:c>
      <x:c r="N108" s="37" t="str">
        <x:f>IF(A108="","",IF(F108="Return",-1,1)*(H108*I108-J108))</x:f>
      </x:c>
      <x:c r="O108" s="37" t="str">
        <x:f>IF(A108="","",IF(F108="Return",-K108,K108))</x:f>
      </x:c>
      <x:c r="P108" s="37" t="str">
        <x:f>IF(A108="","",N108+O108)</x:f>
      </x:c>
      <x:c r="Q108" s="37" t="str">
        <x:f>IF(A108="","",IF(COUNTIFS('Lots'!$A$6:$A$105,G108)=1,VLOOKUP(G108,'Lots'!$A$6:$J$105,10,FALSE),"Unknown lot"))</x:f>
      </x:c>
      <x:c r="R108" s="37" t="str">
        <x:f>IF(A108="","",IF(ISNUMBER(Q108),IF(F108="Return",-1,1)*H108*Q108,"Cost missing"))</x:f>
      </x:c>
      <x:c r="S108" s="37" t="str">
        <x:f>IF(A108="","",IF(ISNUMBER(R108),N108-R108,"Cost missing"))</x:f>
      </x:c>
      <x:c r="T108" s="42" t="str">
        <x:f>IF(A108="","",IF(COUNTIFS($A$6:$A$205,A108)&lt;&gt;1,"Duplicate ID",IF(OR(B108="",D108="",NOT(ISNUMBER(C108)),H108&lt;=0,NOT(ISNUMBER(I108)),I108&lt;0,J108&lt;0,J108&gt;H108*I108,K108&lt;0),"Check sale inputs",IF(NOT(ISNUMBER(Q108)),"Lot/cost incomplete",IF(OR(F108="Sale",F108="Return"),"OK","Type required")))))</x:f>
      </x:c>
    </x:row>
    <x:row r="109" ht="23" customHeight="1">
      <x:c r="A109" s="36"/>
      <x:c r="B109" s="36"/>
      <x:c r="C109" s="40"/>
      <x:c r="D109" s="36"/>
      <x:c r="E109" s="36"/>
      <x:c r="F109" s="36"/>
      <x:c r="G109" s="36"/>
      <x:c r="H109" s="41"/>
      <x:c r="I109" s="41"/>
      <x:c r="J109" s="41"/>
      <x:c r="K109" s="41"/>
      <x:c r="L109" s="36"/>
      <x:c r="M109" s="42" t="str">
        <x:f>IF(A109="","",IF(COUNTIFS('Lots'!$A$6:$A$105,G109)=1,VLOOKUP(G109,'Lots'!$A$6:$B$105,2,FALSE),"Unknown lot"))</x:f>
      </x:c>
      <x:c r="N109" s="37" t="str">
        <x:f>IF(A109="","",IF(F109="Return",-1,1)*(H109*I109-J109))</x:f>
      </x:c>
      <x:c r="O109" s="37" t="str">
        <x:f>IF(A109="","",IF(F109="Return",-K109,K109))</x:f>
      </x:c>
      <x:c r="P109" s="37" t="str">
        <x:f>IF(A109="","",N109+O109)</x:f>
      </x:c>
      <x:c r="Q109" s="37" t="str">
        <x:f>IF(A109="","",IF(COUNTIFS('Lots'!$A$6:$A$105,G109)=1,VLOOKUP(G109,'Lots'!$A$6:$J$105,10,FALSE),"Unknown lot"))</x:f>
      </x:c>
      <x:c r="R109" s="37" t="str">
        <x:f>IF(A109="","",IF(ISNUMBER(Q109),IF(F109="Return",-1,1)*H109*Q109,"Cost missing"))</x:f>
      </x:c>
      <x:c r="S109" s="37" t="str">
        <x:f>IF(A109="","",IF(ISNUMBER(R109),N109-R109,"Cost missing"))</x:f>
      </x:c>
      <x:c r="T109" s="42" t="str">
        <x:f>IF(A109="","",IF(COUNTIFS($A$6:$A$205,A109)&lt;&gt;1,"Duplicate ID",IF(OR(B109="",D109="",NOT(ISNUMBER(C109)),H109&lt;=0,NOT(ISNUMBER(I109)),I109&lt;0,J109&lt;0,J109&gt;H109*I109,K109&lt;0),"Check sale inputs",IF(NOT(ISNUMBER(Q109)),"Lot/cost incomplete",IF(OR(F109="Sale",F109="Return"),"OK","Type required")))))</x:f>
      </x:c>
    </x:row>
    <x:row r="110" ht="23" customHeight="1">
      <x:c r="A110" s="36"/>
      <x:c r="B110" s="36"/>
      <x:c r="C110" s="40"/>
      <x:c r="D110" s="36"/>
      <x:c r="E110" s="36"/>
      <x:c r="F110" s="36"/>
      <x:c r="G110" s="36"/>
      <x:c r="H110" s="41"/>
      <x:c r="I110" s="41"/>
      <x:c r="J110" s="41"/>
      <x:c r="K110" s="41"/>
      <x:c r="L110" s="36"/>
      <x:c r="M110" s="42" t="str">
        <x:f>IF(A110="","",IF(COUNTIFS('Lots'!$A$6:$A$105,G110)=1,VLOOKUP(G110,'Lots'!$A$6:$B$105,2,FALSE),"Unknown lot"))</x:f>
      </x:c>
      <x:c r="N110" s="37" t="str">
        <x:f>IF(A110="","",IF(F110="Return",-1,1)*(H110*I110-J110))</x:f>
      </x:c>
      <x:c r="O110" s="37" t="str">
        <x:f>IF(A110="","",IF(F110="Return",-K110,K110))</x:f>
      </x:c>
      <x:c r="P110" s="37" t="str">
        <x:f>IF(A110="","",N110+O110)</x:f>
      </x:c>
      <x:c r="Q110" s="37" t="str">
        <x:f>IF(A110="","",IF(COUNTIFS('Lots'!$A$6:$A$105,G110)=1,VLOOKUP(G110,'Lots'!$A$6:$J$105,10,FALSE),"Unknown lot"))</x:f>
      </x:c>
      <x:c r="R110" s="37" t="str">
        <x:f>IF(A110="","",IF(ISNUMBER(Q110),IF(F110="Return",-1,1)*H110*Q110,"Cost missing"))</x:f>
      </x:c>
      <x:c r="S110" s="37" t="str">
        <x:f>IF(A110="","",IF(ISNUMBER(R110),N110-R110,"Cost missing"))</x:f>
      </x:c>
      <x:c r="T110" s="42" t="str">
        <x:f>IF(A110="","",IF(COUNTIFS($A$6:$A$205,A110)&lt;&gt;1,"Duplicate ID",IF(OR(B110="",D110="",NOT(ISNUMBER(C110)),H110&lt;=0,NOT(ISNUMBER(I110)),I110&lt;0,J110&lt;0,J110&gt;H110*I110,K110&lt;0),"Check sale inputs",IF(NOT(ISNUMBER(Q110)),"Lot/cost incomplete",IF(OR(F110="Sale",F110="Return"),"OK","Type required")))))</x:f>
      </x:c>
    </x:row>
    <x:row r="111" ht="23" customHeight="1">
      <x:c r="A111" s="36"/>
      <x:c r="B111" s="36"/>
      <x:c r="C111" s="40"/>
      <x:c r="D111" s="36"/>
      <x:c r="E111" s="36"/>
      <x:c r="F111" s="36"/>
      <x:c r="G111" s="36"/>
      <x:c r="H111" s="41"/>
      <x:c r="I111" s="41"/>
      <x:c r="J111" s="41"/>
      <x:c r="K111" s="41"/>
      <x:c r="L111" s="36"/>
      <x:c r="M111" s="42" t="str">
        <x:f>IF(A111="","",IF(COUNTIFS('Lots'!$A$6:$A$105,G111)=1,VLOOKUP(G111,'Lots'!$A$6:$B$105,2,FALSE),"Unknown lot"))</x:f>
      </x:c>
      <x:c r="N111" s="37" t="str">
        <x:f>IF(A111="","",IF(F111="Return",-1,1)*(H111*I111-J111))</x:f>
      </x:c>
      <x:c r="O111" s="37" t="str">
        <x:f>IF(A111="","",IF(F111="Return",-K111,K111))</x:f>
      </x:c>
      <x:c r="P111" s="37" t="str">
        <x:f>IF(A111="","",N111+O111)</x:f>
      </x:c>
      <x:c r="Q111" s="37" t="str">
        <x:f>IF(A111="","",IF(COUNTIFS('Lots'!$A$6:$A$105,G111)=1,VLOOKUP(G111,'Lots'!$A$6:$J$105,10,FALSE),"Unknown lot"))</x:f>
      </x:c>
      <x:c r="R111" s="37" t="str">
        <x:f>IF(A111="","",IF(ISNUMBER(Q111),IF(F111="Return",-1,1)*H111*Q111,"Cost missing"))</x:f>
      </x:c>
      <x:c r="S111" s="37" t="str">
        <x:f>IF(A111="","",IF(ISNUMBER(R111),N111-R111,"Cost missing"))</x:f>
      </x:c>
      <x:c r="T111" s="42" t="str">
        <x:f>IF(A111="","",IF(COUNTIFS($A$6:$A$205,A111)&lt;&gt;1,"Duplicate ID",IF(OR(B111="",D111="",NOT(ISNUMBER(C111)),H111&lt;=0,NOT(ISNUMBER(I111)),I111&lt;0,J111&lt;0,J111&gt;H111*I111,K111&lt;0),"Check sale inputs",IF(NOT(ISNUMBER(Q111)),"Lot/cost incomplete",IF(OR(F111="Sale",F111="Return"),"OK","Type required")))))</x:f>
      </x:c>
    </x:row>
    <x:row r="112" ht="23" customHeight="1">
      <x:c r="A112" s="36"/>
      <x:c r="B112" s="36"/>
      <x:c r="C112" s="40"/>
      <x:c r="D112" s="36"/>
      <x:c r="E112" s="36"/>
      <x:c r="F112" s="36"/>
      <x:c r="G112" s="36"/>
      <x:c r="H112" s="41"/>
      <x:c r="I112" s="41"/>
      <x:c r="J112" s="41"/>
      <x:c r="K112" s="41"/>
      <x:c r="L112" s="36"/>
      <x:c r="M112" s="42" t="str">
        <x:f>IF(A112="","",IF(COUNTIFS('Lots'!$A$6:$A$105,G112)=1,VLOOKUP(G112,'Lots'!$A$6:$B$105,2,FALSE),"Unknown lot"))</x:f>
      </x:c>
      <x:c r="N112" s="37" t="str">
        <x:f>IF(A112="","",IF(F112="Return",-1,1)*(H112*I112-J112))</x:f>
      </x:c>
      <x:c r="O112" s="37" t="str">
        <x:f>IF(A112="","",IF(F112="Return",-K112,K112))</x:f>
      </x:c>
      <x:c r="P112" s="37" t="str">
        <x:f>IF(A112="","",N112+O112)</x:f>
      </x:c>
      <x:c r="Q112" s="37" t="str">
        <x:f>IF(A112="","",IF(COUNTIFS('Lots'!$A$6:$A$105,G112)=1,VLOOKUP(G112,'Lots'!$A$6:$J$105,10,FALSE),"Unknown lot"))</x:f>
      </x:c>
      <x:c r="R112" s="37" t="str">
        <x:f>IF(A112="","",IF(ISNUMBER(Q112),IF(F112="Return",-1,1)*H112*Q112,"Cost missing"))</x:f>
      </x:c>
      <x:c r="S112" s="37" t="str">
        <x:f>IF(A112="","",IF(ISNUMBER(R112),N112-R112,"Cost missing"))</x:f>
      </x:c>
      <x:c r="T112" s="42" t="str">
        <x:f>IF(A112="","",IF(COUNTIFS($A$6:$A$205,A112)&lt;&gt;1,"Duplicate ID",IF(OR(B112="",D112="",NOT(ISNUMBER(C112)),H112&lt;=0,NOT(ISNUMBER(I112)),I112&lt;0,J112&lt;0,J112&gt;H112*I112,K112&lt;0),"Check sale inputs",IF(NOT(ISNUMBER(Q112)),"Lot/cost incomplete",IF(OR(F112="Sale",F112="Return"),"OK","Type required")))))</x:f>
      </x:c>
    </x:row>
    <x:row r="113" ht="23" customHeight="1">
      <x:c r="A113" s="36"/>
      <x:c r="B113" s="36"/>
      <x:c r="C113" s="40"/>
      <x:c r="D113" s="36"/>
      <x:c r="E113" s="36"/>
      <x:c r="F113" s="36"/>
      <x:c r="G113" s="36"/>
      <x:c r="H113" s="41"/>
      <x:c r="I113" s="41"/>
      <x:c r="J113" s="41"/>
      <x:c r="K113" s="41"/>
      <x:c r="L113" s="36"/>
      <x:c r="M113" s="42" t="str">
        <x:f>IF(A113="","",IF(COUNTIFS('Lots'!$A$6:$A$105,G113)=1,VLOOKUP(G113,'Lots'!$A$6:$B$105,2,FALSE),"Unknown lot"))</x:f>
      </x:c>
      <x:c r="N113" s="37" t="str">
        <x:f>IF(A113="","",IF(F113="Return",-1,1)*(H113*I113-J113))</x:f>
      </x:c>
      <x:c r="O113" s="37" t="str">
        <x:f>IF(A113="","",IF(F113="Return",-K113,K113))</x:f>
      </x:c>
      <x:c r="P113" s="37" t="str">
        <x:f>IF(A113="","",N113+O113)</x:f>
      </x:c>
      <x:c r="Q113" s="37" t="str">
        <x:f>IF(A113="","",IF(COUNTIFS('Lots'!$A$6:$A$105,G113)=1,VLOOKUP(G113,'Lots'!$A$6:$J$105,10,FALSE),"Unknown lot"))</x:f>
      </x:c>
      <x:c r="R113" s="37" t="str">
        <x:f>IF(A113="","",IF(ISNUMBER(Q113),IF(F113="Return",-1,1)*H113*Q113,"Cost missing"))</x:f>
      </x:c>
      <x:c r="S113" s="37" t="str">
        <x:f>IF(A113="","",IF(ISNUMBER(R113),N113-R113,"Cost missing"))</x:f>
      </x:c>
      <x:c r="T113" s="42" t="str">
        <x:f>IF(A113="","",IF(COUNTIFS($A$6:$A$205,A113)&lt;&gt;1,"Duplicate ID",IF(OR(B113="",D113="",NOT(ISNUMBER(C113)),H113&lt;=0,NOT(ISNUMBER(I113)),I113&lt;0,J113&lt;0,J113&gt;H113*I113,K113&lt;0),"Check sale inputs",IF(NOT(ISNUMBER(Q113)),"Lot/cost incomplete",IF(OR(F113="Sale",F113="Return"),"OK","Type required")))))</x:f>
      </x:c>
    </x:row>
    <x:row r="114" ht="23" customHeight="1">
      <x:c r="A114" s="36"/>
      <x:c r="B114" s="36"/>
      <x:c r="C114" s="40"/>
      <x:c r="D114" s="36"/>
      <x:c r="E114" s="36"/>
      <x:c r="F114" s="36"/>
      <x:c r="G114" s="36"/>
      <x:c r="H114" s="41"/>
      <x:c r="I114" s="41"/>
      <x:c r="J114" s="41"/>
      <x:c r="K114" s="41"/>
      <x:c r="L114" s="36"/>
      <x:c r="M114" s="42" t="str">
        <x:f>IF(A114="","",IF(COUNTIFS('Lots'!$A$6:$A$105,G114)=1,VLOOKUP(G114,'Lots'!$A$6:$B$105,2,FALSE),"Unknown lot"))</x:f>
      </x:c>
      <x:c r="N114" s="37" t="str">
        <x:f>IF(A114="","",IF(F114="Return",-1,1)*(H114*I114-J114))</x:f>
      </x:c>
      <x:c r="O114" s="37" t="str">
        <x:f>IF(A114="","",IF(F114="Return",-K114,K114))</x:f>
      </x:c>
      <x:c r="P114" s="37" t="str">
        <x:f>IF(A114="","",N114+O114)</x:f>
      </x:c>
      <x:c r="Q114" s="37" t="str">
        <x:f>IF(A114="","",IF(COUNTIFS('Lots'!$A$6:$A$105,G114)=1,VLOOKUP(G114,'Lots'!$A$6:$J$105,10,FALSE),"Unknown lot"))</x:f>
      </x:c>
      <x:c r="R114" s="37" t="str">
        <x:f>IF(A114="","",IF(ISNUMBER(Q114),IF(F114="Return",-1,1)*H114*Q114,"Cost missing"))</x:f>
      </x:c>
      <x:c r="S114" s="37" t="str">
        <x:f>IF(A114="","",IF(ISNUMBER(R114),N114-R114,"Cost missing"))</x:f>
      </x:c>
      <x:c r="T114" s="42" t="str">
        <x:f>IF(A114="","",IF(COUNTIFS($A$6:$A$205,A114)&lt;&gt;1,"Duplicate ID",IF(OR(B114="",D114="",NOT(ISNUMBER(C114)),H114&lt;=0,NOT(ISNUMBER(I114)),I114&lt;0,J114&lt;0,J114&gt;H114*I114,K114&lt;0),"Check sale inputs",IF(NOT(ISNUMBER(Q114)),"Lot/cost incomplete",IF(OR(F114="Sale",F114="Return"),"OK","Type required")))))</x:f>
      </x:c>
    </x:row>
    <x:row r="115" ht="23" customHeight="1">
      <x:c r="A115" s="36"/>
      <x:c r="B115" s="36"/>
      <x:c r="C115" s="40"/>
      <x:c r="D115" s="36"/>
      <x:c r="E115" s="36"/>
      <x:c r="F115" s="36"/>
      <x:c r="G115" s="36"/>
      <x:c r="H115" s="41"/>
      <x:c r="I115" s="41"/>
      <x:c r="J115" s="41"/>
      <x:c r="K115" s="41"/>
      <x:c r="L115" s="36"/>
      <x:c r="M115" s="42" t="str">
        <x:f>IF(A115="","",IF(COUNTIFS('Lots'!$A$6:$A$105,G115)=1,VLOOKUP(G115,'Lots'!$A$6:$B$105,2,FALSE),"Unknown lot"))</x:f>
      </x:c>
      <x:c r="N115" s="37" t="str">
        <x:f>IF(A115="","",IF(F115="Return",-1,1)*(H115*I115-J115))</x:f>
      </x:c>
      <x:c r="O115" s="37" t="str">
        <x:f>IF(A115="","",IF(F115="Return",-K115,K115))</x:f>
      </x:c>
      <x:c r="P115" s="37" t="str">
        <x:f>IF(A115="","",N115+O115)</x:f>
      </x:c>
      <x:c r="Q115" s="37" t="str">
        <x:f>IF(A115="","",IF(COUNTIFS('Lots'!$A$6:$A$105,G115)=1,VLOOKUP(G115,'Lots'!$A$6:$J$105,10,FALSE),"Unknown lot"))</x:f>
      </x:c>
      <x:c r="R115" s="37" t="str">
        <x:f>IF(A115="","",IF(ISNUMBER(Q115),IF(F115="Return",-1,1)*H115*Q115,"Cost missing"))</x:f>
      </x:c>
      <x:c r="S115" s="37" t="str">
        <x:f>IF(A115="","",IF(ISNUMBER(R115),N115-R115,"Cost missing"))</x:f>
      </x:c>
      <x:c r="T115" s="42" t="str">
        <x:f>IF(A115="","",IF(COUNTIFS($A$6:$A$205,A115)&lt;&gt;1,"Duplicate ID",IF(OR(B115="",D115="",NOT(ISNUMBER(C115)),H115&lt;=0,NOT(ISNUMBER(I115)),I115&lt;0,J115&lt;0,J115&gt;H115*I115,K115&lt;0),"Check sale inputs",IF(NOT(ISNUMBER(Q115)),"Lot/cost incomplete",IF(OR(F115="Sale",F115="Return"),"OK","Type required")))))</x:f>
      </x:c>
    </x:row>
    <x:row r="116" ht="23" customHeight="1">
      <x:c r="A116" s="36"/>
      <x:c r="B116" s="36"/>
      <x:c r="C116" s="40"/>
      <x:c r="D116" s="36"/>
      <x:c r="E116" s="36"/>
      <x:c r="F116" s="36"/>
      <x:c r="G116" s="36"/>
      <x:c r="H116" s="41"/>
      <x:c r="I116" s="41"/>
      <x:c r="J116" s="41"/>
      <x:c r="K116" s="41"/>
      <x:c r="L116" s="36"/>
      <x:c r="M116" s="42" t="str">
        <x:f>IF(A116="","",IF(COUNTIFS('Lots'!$A$6:$A$105,G116)=1,VLOOKUP(G116,'Lots'!$A$6:$B$105,2,FALSE),"Unknown lot"))</x:f>
      </x:c>
      <x:c r="N116" s="37" t="str">
        <x:f>IF(A116="","",IF(F116="Return",-1,1)*(H116*I116-J116))</x:f>
      </x:c>
      <x:c r="O116" s="37" t="str">
        <x:f>IF(A116="","",IF(F116="Return",-K116,K116))</x:f>
      </x:c>
      <x:c r="P116" s="37" t="str">
        <x:f>IF(A116="","",N116+O116)</x:f>
      </x:c>
      <x:c r="Q116" s="37" t="str">
        <x:f>IF(A116="","",IF(COUNTIFS('Lots'!$A$6:$A$105,G116)=1,VLOOKUP(G116,'Lots'!$A$6:$J$105,10,FALSE),"Unknown lot"))</x:f>
      </x:c>
      <x:c r="R116" s="37" t="str">
        <x:f>IF(A116="","",IF(ISNUMBER(Q116),IF(F116="Return",-1,1)*H116*Q116,"Cost missing"))</x:f>
      </x:c>
      <x:c r="S116" s="37" t="str">
        <x:f>IF(A116="","",IF(ISNUMBER(R116),N116-R116,"Cost missing"))</x:f>
      </x:c>
      <x:c r="T116" s="42" t="str">
        <x:f>IF(A116="","",IF(COUNTIFS($A$6:$A$205,A116)&lt;&gt;1,"Duplicate ID",IF(OR(B116="",D116="",NOT(ISNUMBER(C116)),H116&lt;=0,NOT(ISNUMBER(I116)),I116&lt;0,J116&lt;0,J116&gt;H116*I116,K116&lt;0),"Check sale inputs",IF(NOT(ISNUMBER(Q116)),"Lot/cost incomplete",IF(OR(F116="Sale",F116="Return"),"OK","Type required")))))</x:f>
      </x:c>
    </x:row>
    <x:row r="117" ht="23" customHeight="1">
      <x:c r="A117" s="36"/>
      <x:c r="B117" s="36"/>
      <x:c r="C117" s="40"/>
      <x:c r="D117" s="36"/>
      <x:c r="E117" s="36"/>
      <x:c r="F117" s="36"/>
      <x:c r="G117" s="36"/>
      <x:c r="H117" s="41"/>
      <x:c r="I117" s="41"/>
      <x:c r="J117" s="41"/>
      <x:c r="K117" s="41"/>
      <x:c r="L117" s="36"/>
      <x:c r="M117" s="42" t="str">
        <x:f>IF(A117="","",IF(COUNTIFS('Lots'!$A$6:$A$105,G117)=1,VLOOKUP(G117,'Lots'!$A$6:$B$105,2,FALSE),"Unknown lot"))</x:f>
      </x:c>
      <x:c r="N117" s="37" t="str">
        <x:f>IF(A117="","",IF(F117="Return",-1,1)*(H117*I117-J117))</x:f>
      </x:c>
      <x:c r="O117" s="37" t="str">
        <x:f>IF(A117="","",IF(F117="Return",-K117,K117))</x:f>
      </x:c>
      <x:c r="P117" s="37" t="str">
        <x:f>IF(A117="","",N117+O117)</x:f>
      </x:c>
      <x:c r="Q117" s="37" t="str">
        <x:f>IF(A117="","",IF(COUNTIFS('Lots'!$A$6:$A$105,G117)=1,VLOOKUP(G117,'Lots'!$A$6:$J$105,10,FALSE),"Unknown lot"))</x:f>
      </x:c>
      <x:c r="R117" s="37" t="str">
        <x:f>IF(A117="","",IF(ISNUMBER(Q117),IF(F117="Return",-1,1)*H117*Q117,"Cost missing"))</x:f>
      </x:c>
      <x:c r="S117" s="37" t="str">
        <x:f>IF(A117="","",IF(ISNUMBER(R117),N117-R117,"Cost missing"))</x:f>
      </x:c>
      <x:c r="T117" s="42" t="str">
        <x:f>IF(A117="","",IF(COUNTIFS($A$6:$A$205,A117)&lt;&gt;1,"Duplicate ID",IF(OR(B117="",D117="",NOT(ISNUMBER(C117)),H117&lt;=0,NOT(ISNUMBER(I117)),I117&lt;0,J117&lt;0,J117&gt;H117*I117,K117&lt;0),"Check sale inputs",IF(NOT(ISNUMBER(Q117)),"Lot/cost incomplete",IF(OR(F117="Sale",F117="Return"),"OK","Type required")))))</x:f>
      </x:c>
    </x:row>
    <x:row r="118" ht="23" customHeight="1">
      <x:c r="A118" s="36"/>
      <x:c r="B118" s="36"/>
      <x:c r="C118" s="40"/>
      <x:c r="D118" s="36"/>
      <x:c r="E118" s="36"/>
      <x:c r="F118" s="36"/>
      <x:c r="G118" s="36"/>
      <x:c r="H118" s="41"/>
      <x:c r="I118" s="41"/>
      <x:c r="J118" s="41"/>
      <x:c r="K118" s="41"/>
      <x:c r="L118" s="36"/>
      <x:c r="M118" s="42" t="str">
        <x:f>IF(A118="","",IF(COUNTIFS('Lots'!$A$6:$A$105,G118)=1,VLOOKUP(G118,'Lots'!$A$6:$B$105,2,FALSE),"Unknown lot"))</x:f>
      </x:c>
      <x:c r="N118" s="37" t="str">
        <x:f>IF(A118="","",IF(F118="Return",-1,1)*(H118*I118-J118))</x:f>
      </x:c>
      <x:c r="O118" s="37" t="str">
        <x:f>IF(A118="","",IF(F118="Return",-K118,K118))</x:f>
      </x:c>
      <x:c r="P118" s="37" t="str">
        <x:f>IF(A118="","",N118+O118)</x:f>
      </x:c>
      <x:c r="Q118" s="37" t="str">
        <x:f>IF(A118="","",IF(COUNTIFS('Lots'!$A$6:$A$105,G118)=1,VLOOKUP(G118,'Lots'!$A$6:$J$105,10,FALSE),"Unknown lot"))</x:f>
      </x:c>
      <x:c r="R118" s="37" t="str">
        <x:f>IF(A118="","",IF(ISNUMBER(Q118),IF(F118="Return",-1,1)*H118*Q118,"Cost missing"))</x:f>
      </x:c>
      <x:c r="S118" s="37" t="str">
        <x:f>IF(A118="","",IF(ISNUMBER(R118),N118-R118,"Cost missing"))</x:f>
      </x:c>
      <x:c r="T118" s="42" t="str">
        <x:f>IF(A118="","",IF(COUNTIFS($A$6:$A$205,A118)&lt;&gt;1,"Duplicate ID",IF(OR(B118="",D118="",NOT(ISNUMBER(C118)),H118&lt;=0,NOT(ISNUMBER(I118)),I118&lt;0,J118&lt;0,J118&gt;H118*I118,K118&lt;0),"Check sale inputs",IF(NOT(ISNUMBER(Q118)),"Lot/cost incomplete",IF(OR(F118="Sale",F118="Return"),"OK","Type required")))))</x:f>
      </x:c>
    </x:row>
    <x:row r="119" ht="23" customHeight="1">
      <x:c r="A119" s="36"/>
      <x:c r="B119" s="36"/>
      <x:c r="C119" s="40"/>
      <x:c r="D119" s="36"/>
      <x:c r="E119" s="36"/>
      <x:c r="F119" s="36"/>
      <x:c r="G119" s="36"/>
      <x:c r="H119" s="41"/>
      <x:c r="I119" s="41"/>
      <x:c r="J119" s="41"/>
      <x:c r="K119" s="41"/>
      <x:c r="L119" s="36"/>
      <x:c r="M119" s="42" t="str">
        <x:f>IF(A119="","",IF(COUNTIFS('Lots'!$A$6:$A$105,G119)=1,VLOOKUP(G119,'Lots'!$A$6:$B$105,2,FALSE),"Unknown lot"))</x:f>
      </x:c>
      <x:c r="N119" s="37" t="str">
        <x:f>IF(A119="","",IF(F119="Return",-1,1)*(H119*I119-J119))</x:f>
      </x:c>
      <x:c r="O119" s="37" t="str">
        <x:f>IF(A119="","",IF(F119="Return",-K119,K119))</x:f>
      </x:c>
      <x:c r="P119" s="37" t="str">
        <x:f>IF(A119="","",N119+O119)</x:f>
      </x:c>
      <x:c r="Q119" s="37" t="str">
        <x:f>IF(A119="","",IF(COUNTIFS('Lots'!$A$6:$A$105,G119)=1,VLOOKUP(G119,'Lots'!$A$6:$J$105,10,FALSE),"Unknown lot"))</x:f>
      </x:c>
      <x:c r="R119" s="37" t="str">
        <x:f>IF(A119="","",IF(ISNUMBER(Q119),IF(F119="Return",-1,1)*H119*Q119,"Cost missing"))</x:f>
      </x:c>
      <x:c r="S119" s="37" t="str">
        <x:f>IF(A119="","",IF(ISNUMBER(R119),N119-R119,"Cost missing"))</x:f>
      </x:c>
      <x:c r="T119" s="42" t="str">
        <x:f>IF(A119="","",IF(COUNTIFS($A$6:$A$205,A119)&lt;&gt;1,"Duplicate ID",IF(OR(B119="",D119="",NOT(ISNUMBER(C119)),H119&lt;=0,NOT(ISNUMBER(I119)),I119&lt;0,J119&lt;0,J119&gt;H119*I119,K119&lt;0),"Check sale inputs",IF(NOT(ISNUMBER(Q119)),"Lot/cost incomplete",IF(OR(F119="Sale",F119="Return"),"OK","Type required")))))</x:f>
      </x:c>
    </x:row>
    <x:row r="120" ht="23" customHeight="1">
      <x:c r="A120" s="36"/>
      <x:c r="B120" s="36"/>
      <x:c r="C120" s="40"/>
      <x:c r="D120" s="36"/>
      <x:c r="E120" s="36"/>
      <x:c r="F120" s="36"/>
      <x:c r="G120" s="36"/>
      <x:c r="H120" s="41"/>
      <x:c r="I120" s="41"/>
      <x:c r="J120" s="41"/>
      <x:c r="K120" s="41"/>
      <x:c r="L120" s="36"/>
      <x:c r="M120" s="42" t="str">
        <x:f>IF(A120="","",IF(COUNTIFS('Lots'!$A$6:$A$105,G120)=1,VLOOKUP(G120,'Lots'!$A$6:$B$105,2,FALSE),"Unknown lot"))</x:f>
      </x:c>
      <x:c r="N120" s="37" t="str">
        <x:f>IF(A120="","",IF(F120="Return",-1,1)*(H120*I120-J120))</x:f>
      </x:c>
      <x:c r="O120" s="37" t="str">
        <x:f>IF(A120="","",IF(F120="Return",-K120,K120))</x:f>
      </x:c>
      <x:c r="P120" s="37" t="str">
        <x:f>IF(A120="","",N120+O120)</x:f>
      </x:c>
      <x:c r="Q120" s="37" t="str">
        <x:f>IF(A120="","",IF(COUNTIFS('Lots'!$A$6:$A$105,G120)=1,VLOOKUP(G120,'Lots'!$A$6:$J$105,10,FALSE),"Unknown lot"))</x:f>
      </x:c>
      <x:c r="R120" s="37" t="str">
        <x:f>IF(A120="","",IF(ISNUMBER(Q120),IF(F120="Return",-1,1)*H120*Q120,"Cost missing"))</x:f>
      </x:c>
      <x:c r="S120" s="37" t="str">
        <x:f>IF(A120="","",IF(ISNUMBER(R120),N120-R120,"Cost missing"))</x:f>
      </x:c>
      <x:c r="T120" s="42" t="str">
        <x:f>IF(A120="","",IF(COUNTIFS($A$6:$A$205,A120)&lt;&gt;1,"Duplicate ID",IF(OR(B120="",D120="",NOT(ISNUMBER(C120)),H120&lt;=0,NOT(ISNUMBER(I120)),I120&lt;0,J120&lt;0,J120&gt;H120*I120,K120&lt;0),"Check sale inputs",IF(NOT(ISNUMBER(Q120)),"Lot/cost incomplete",IF(OR(F120="Sale",F120="Return"),"OK","Type required")))))</x:f>
      </x:c>
    </x:row>
    <x:row r="121" ht="23" customHeight="1">
      <x:c r="A121" s="36"/>
      <x:c r="B121" s="36"/>
      <x:c r="C121" s="40"/>
      <x:c r="D121" s="36"/>
      <x:c r="E121" s="36"/>
      <x:c r="F121" s="36"/>
      <x:c r="G121" s="36"/>
      <x:c r="H121" s="41"/>
      <x:c r="I121" s="41"/>
      <x:c r="J121" s="41"/>
      <x:c r="K121" s="41"/>
      <x:c r="L121" s="36"/>
      <x:c r="M121" s="42" t="str">
        <x:f>IF(A121="","",IF(COUNTIFS('Lots'!$A$6:$A$105,G121)=1,VLOOKUP(G121,'Lots'!$A$6:$B$105,2,FALSE),"Unknown lot"))</x:f>
      </x:c>
      <x:c r="N121" s="37" t="str">
        <x:f>IF(A121="","",IF(F121="Return",-1,1)*(H121*I121-J121))</x:f>
      </x:c>
      <x:c r="O121" s="37" t="str">
        <x:f>IF(A121="","",IF(F121="Return",-K121,K121))</x:f>
      </x:c>
      <x:c r="P121" s="37" t="str">
        <x:f>IF(A121="","",N121+O121)</x:f>
      </x:c>
      <x:c r="Q121" s="37" t="str">
        <x:f>IF(A121="","",IF(COUNTIFS('Lots'!$A$6:$A$105,G121)=1,VLOOKUP(G121,'Lots'!$A$6:$J$105,10,FALSE),"Unknown lot"))</x:f>
      </x:c>
      <x:c r="R121" s="37" t="str">
        <x:f>IF(A121="","",IF(ISNUMBER(Q121),IF(F121="Return",-1,1)*H121*Q121,"Cost missing"))</x:f>
      </x:c>
      <x:c r="S121" s="37" t="str">
        <x:f>IF(A121="","",IF(ISNUMBER(R121),N121-R121,"Cost missing"))</x:f>
      </x:c>
      <x:c r="T121" s="42" t="str">
        <x:f>IF(A121="","",IF(COUNTIFS($A$6:$A$205,A121)&lt;&gt;1,"Duplicate ID",IF(OR(B121="",D121="",NOT(ISNUMBER(C121)),H121&lt;=0,NOT(ISNUMBER(I121)),I121&lt;0,J121&lt;0,J121&gt;H121*I121,K121&lt;0),"Check sale inputs",IF(NOT(ISNUMBER(Q121)),"Lot/cost incomplete",IF(OR(F121="Sale",F121="Return"),"OK","Type required")))))</x:f>
      </x:c>
    </x:row>
    <x:row r="122" ht="23" customHeight="1">
      <x:c r="A122" s="36"/>
      <x:c r="B122" s="36"/>
      <x:c r="C122" s="40"/>
      <x:c r="D122" s="36"/>
      <x:c r="E122" s="36"/>
      <x:c r="F122" s="36"/>
      <x:c r="G122" s="36"/>
      <x:c r="H122" s="41"/>
      <x:c r="I122" s="41"/>
      <x:c r="J122" s="41"/>
      <x:c r="K122" s="41"/>
      <x:c r="L122" s="36"/>
      <x:c r="M122" s="42" t="str">
        <x:f>IF(A122="","",IF(COUNTIFS('Lots'!$A$6:$A$105,G122)=1,VLOOKUP(G122,'Lots'!$A$6:$B$105,2,FALSE),"Unknown lot"))</x:f>
      </x:c>
      <x:c r="N122" s="37" t="str">
        <x:f>IF(A122="","",IF(F122="Return",-1,1)*(H122*I122-J122))</x:f>
      </x:c>
      <x:c r="O122" s="37" t="str">
        <x:f>IF(A122="","",IF(F122="Return",-K122,K122))</x:f>
      </x:c>
      <x:c r="P122" s="37" t="str">
        <x:f>IF(A122="","",N122+O122)</x:f>
      </x:c>
      <x:c r="Q122" s="37" t="str">
        <x:f>IF(A122="","",IF(COUNTIFS('Lots'!$A$6:$A$105,G122)=1,VLOOKUP(G122,'Lots'!$A$6:$J$105,10,FALSE),"Unknown lot"))</x:f>
      </x:c>
      <x:c r="R122" s="37" t="str">
        <x:f>IF(A122="","",IF(ISNUMBER(Q122),IF(F122="Return",-1,1)*H122*Q122,"Cost missing"))</x:f>
      </x:c>
      <x:c r="S122" s="37" t="str">
        <x:f>IF(A122="","",IF(ISNUMBER(R122),N122-R122,"Cost missing"))</x:f>
      </x:c>
      <x:c r="T122" s="42" t="str">
        <x:f>IF(A122="","",IF(COUNTIFS($A$6:$A$205,A122)&lt;&gt;1,"Duplicate ID",IF(OR(B122="",D122="",NOT(ISNUMBER(C122)),H122&lt;=0,NOT(ISNUMBER(I122)),I122&lt;0,J122&lt;0,J122&gt;H122*I122,K122&lt;0),"Check sale inputs",IF(NOT(ISNUMBER(Q122)),"Lot/cost incomplete",IF(OR(F122="Sale",F122="Return"),"OK","Type required")))))</x:f>
      </x:c>
    </x:row>
    <x:row r="123" ht="23" customHeight="1">
      <x:c r="A123" s="36"/>
      <x:c r="B123" s="36"/>
      <x:c r="C123" s="40"/>
      <x:c r="D123" s="36"/>
      <x:c r="E123" s="36"/>
      <x:c r="F123" s="36"/>
      <x:c r="G123" s="36"/>
      <x:c r="H123" s="41"/>
      <x:c r="I123" s="41"/>
      <x:c r="J123" s="41"/>
      <x:c r="K123" s="41"/>
      <x:c r="L123" s="36"/>
      <x:c r="M123" s="42" t="str">
        <x:f>IF(A123="","",IF(COUNTIFS('Lots'!$A$6:$A$105,G123)=1,VLOOKUP(G123,'Lots'!$A$6:$B$105,2,FALSE),"Unknown lot"))</x:f>
      </x:c>
      <x:c r="N123" s="37" t="str">
        <x:f>IF(A123="","",IF(F123="Return",-1,1)*(H123*I123-J123))</x:f>
      </x:c>
      <x:c r="O123" s="37" t="str">
        <x:f>IF(A123="","",IF(F123="Return",-K123,K123))</x:f>
      </x:c>
      <x:c r="P123" s="37" t="str">
        <x:f>IF(A123="","",N123+O123)</x:f>
      </x:c>
      <x:c r="Q123" s="37" t="str">
        <x:f>IF(A123="","",IF(COUNTIFS('Lots'!$A$6:$A$105,G123)=1,VLOOKUP(G123,'Lots'!$A$6:$J$105,10,FALSE),"Unknown lot"))</x:f>
      </x:c>
      <x:c r="R123" s="37" t="str">
        <x:f>IF(A123="","",IF(ISNUMBER(Q123),IF(F123="Return",-1,1)*H123*Q123,"Cost missing"))</x:f>
      </x:c>
      <x:c r="S123" s="37" t="str">
        <x:f>IF(A123="","",IF(ISNUMBER(R123),N123-R123,"Cost missing"))</x:f>
      </x:c>
      <x:c r="T123" s="42" t="str">
        <x:f>IF(A123="","",IF(COUNTIFS($A$6:$A$205,A123)&lt;&gt;1,"Duplicate ID",IF(OR(B123="",D123="",NOT(ISNUMBER(C123)),H123&lt;=0,NOT(ISNUMBER(I123)),I123&lt;0,J123&lt;0,J123&gt;H123*I123,K123&lt;0),"Check sale inputs",IF(NOT(ISNUMBER(Q123)),"Lot/cost incomplete",IF(OR(F123="Sale",F123="Return"),"OK","Type required")))))</x:f>
      </x:c>
    </x:row>
    <x:row r="124" ht="23" customHeight="1">
      <x:c r="A124" s="36"/>
      <x:c r="B124" s="36"/>
      <x:c r="C124" s="40"/>
      <x:c r="D124" s="36"/>
      <x:c r="E124" s="36"/>
      <x:c r="F124" s="36"/>
      <x:c r="G124" s="36"/>
      <x:c r="H124" s="41"/>
      <x:c r="I124" s="41"/>
      <x:c r="J124" s="41"/>
      <x:c r="K124" s="41"/>
      <x:c r="L124" s="36"/>
      <x:c r="M124" s="42" t="str">
        <x:f>IF(A124="","",IF(COUNTIFS('Lots'!$A$6:$A$105,G124)=1,VLOOKUP(G124,'Lots'!$A$6:$B$105,2,FALSE),"Unknown lot"))</x:f>
      </x:c>
      <x:c r="N124" s="37" t="str">
        <x:f>IF(A124="","",IF(F124="Return",-1,1)*(H124*I124-J124))</x:f>
      </x:c>
      <x:c r="O124" s="37" t="str">
        <x:f>IF(A124="","",IF(F124="Return",-K124,K124))</x:f>
      </x:c>
      <x:c r="P124" s="37" t="str">
        <x:f>IF(A124="","",N124+O124)</x:f>
      </x:c>
      <x:c r="Q124" s="37" t="str">
        <x:f>IF(A124="","",IF(COUNTIFS('Lots'!$A$6:$A$105,G124)=1,VLOOKUP(G124,'Lots'!$A$6:$J$105,10,FALSE),"Unknown lot"))</x:f>
      </x:c>
      <x:c r="R124" s="37" t="str">
        <x:f>IF(A124="","",IF(ISNUMBER(Q124),IF(F124="Return",-1,1)*H124*Q124,"Cost missing"))</x:f>
      </x:c>
      <x:c r="S124" s="37" t="str">
        <x:f>IF(A124="","",IF(ISNUMBER(R124),N124-R124,"Cost missing"))</x:f>
      </x:c>
      <x:c r="T124" s="42" t="str">
        <x:f>IF(A124="","",IF(COUNTIFS($A$6:$A$205,A124)&lt;&gt;1,"Duplicate ID",IF(OR(B124="",D124="",NOT(ISNUMBER(C124)),H124&lt;=0,NOT(ISNUMBER(I124)),I124&lt;0,J124&lt;0,J124&gt;H124*I124,K124&lt;0),"Check sale inputs",IF(NOT(ISNUMBER(Q124)),"Lot/cost incomplete",IF(OR(F124="Sale",F124="Return"),"OK","Type required")))))</x:f>
      </x:c>
    </x:row>
    <x:row r="125" ht="23" customHeight="1">
      <x:c r="A125" s="36"/>
      <x:c r="B125" s="36"/>
      <x:c r="C125" s="40"/>
      <x:c r="D125" s="36"/>
      <x:c r="E125" s="36"/>
      <x:c r="F125" s="36"/>
      <x:c r="G125" s="36"/>
      <x:c r="H125" s="41"/>
      <x:c r="I125" s="41"/>
      <x:c r="J125" s="41"/>
      <x:c r="K125" s="41"/>
      <x:c r="L125" s="36"/>
      <x:c r="M125" s="42" t="str">
        <x:f>IF(A125="","",IF(COUNTIFS('Lots'!$A$6:$A$105,G125)=1,VLOOKUP(G125,'Lots'!$A$6:$B$105,2,FALSE),"Unknown lot"))</x:f>
      </x:c>
      <x:c r="N125" s="37" t="str">
        <x:f>IF(A125="","",IF(F125="Return",-1,1)*(H125*I125-J125))</x:f>
      </x:c>
      <x:c r="O125" s="37" t="str">
        <x:f>IF(A125="","",IF(F125="Return",-K125,K125))</x:f>
      </x:c>
      <x:c r="P125" s="37" t="str">
        <x:f>IF(A125="","",N125+O125)</x:f>
      </x:c>
      <x:c r="Q125" s="37" t="str">
        <x:f>IF(A125="","",IF(COUNTIFS('Lots'!$A$6:$A$105,G125)=1,VLOOKUP(G125,'Lots'!$A$6:$J$105,10,FALSE),"Unknown lot"))</x:f>
      </x:c>
      <x:c r="R125" s="37" t="str">
        <x:f>IF(A125="","",IF(ISNUMBER(Q125),IF(F125="Return",-1,1)*H125*Q125,"Cost missing"))</x:f>
      </x:c>
      <x:c r="S125" s="37" t="str">
        <x:f>IF(A125="","",IF(ISNUMBER(R125),N125-R125,"Cost missing"))</x:f>
      </x:c>
      <x:c r="T125" s="42" t="str">
        <x:f>IF(A125="","",IF(COUNTIFS($A$6:$A$205,A125)&lt;&gt;1,"Duplicate ID",IF(OR(B125="",D125="",NOT(ISNUMBER(C125)),H125&lt;=0,NOT(ISNUMBER(I125)),I125&lt;0,J125&lt;0,J125&gt;H125*I125,K125&lt;0),"Check sale inputs",IF(NOT(ISNUMBER(Q125)),"Lot/cost incomplete",IF(OR(F125="Sale",F125="Return"),"OK","Type required")))))</x:f>
      </x:c>
    </x:row>
    <x:row r="126" ht="23" customHeight="1">
      <x:c r="A126" s="36"/>
      <x:c r="B126" s="36"/>
      <x:c r="C126" s="40"/>
      <x:c r="D126" s="36"/>
      <x:c r="E126" s="36"/>
      <x:c r="F126" s="36"/>
      <x:c r="G126" s="36"/>
      <x:c r="H126" s="41"/>
      <x:c r="I126" s="41"/>
      <x:c r="J126" s="41"/>
      <x:c r="K126" s="41"/>
      <x:c r="L126" s="36"/>
      <x:c r="M126" s="42" t="str">
        <x:f>IF(A126="","",IF(COUNTIFS('Lots'!$A$6:$A$105,G126)=1,VLOOKUP(G126,'Lots'!$A$6:$B$105,2,FALSE),"Unknown lot"))</x:f>
      </x:c>
      <x:c r="N126" s="37" t="str">
        <x:f>IF(A126="","",IF(F126="Return",-1,1)*(H126*I126-J126))</x:f>
      </x:c>
      <x:c r="O126" s="37" t="str">
        <x:f>IF(A126="","",IF(F126="Return",-K126,K126))</x:f>
      </x:c>
      <x:c r="P126" s="37" t="str">
        <x:f>IF(A126="","",N126+O126)</x:f>
      </x:c>
      <x:c r="Q126" s="37" t="str">
        <x:f>IF(A126="","",IF(COUNTIFS('Lots'!$A$6:$A$105,G126)=1,VLOOKUP(G126,'Lots'!$A$6:$J$105,10,FALSE),"Unknown lot"))</x:f>
      </x:c>
      <x:c r="R126" s="37" t="str">
        <x:f>IF(A126="","",IF(ISNUMBER(Q126),IF(F126="Return",-1,1)*H126*Q126,"Cost missing"))</x:f>
      </x:c>
      <x:c r="S126" s="37" t="str">
        <x:f>IF(A126="","",IF(ISNUMBER(R126),N126-R126,"Cost missing"))</x:f>
      </x:c>
      <x:c r="T126" s="42" t="str">
        <x:f>IF(A126="","",IF(COUNTIFS($A$6:$A$205,A126)&lt;&gt;1,"Duplicate ID",IF(OR(B126="",D126="",NOT(ISNUMBER(C126)),H126&lt;=0,NOT(ISNUMBER(I126)),I126&lt;0,J126&lt;0,J126&gt;H126*I126,K126&lt;0),"Check sale inputs",IF(NOT(ISNUMBER(Q126)),"Lot/cost incomplete",IF(OR(F126="Sale",F126="Return"),"OK","Type required")))))</x:f>
      </x:c>
    </x:row>
    <x:row r="127" ht="23" customHeight="1">
      <x:c r="A127" s="36"/>
      <x:c r="B127" s="36"/>
      <x:c r="C127" s="40"/>
      <x:c r="D127" s="36"/>
      <x:c r="E127" s="36"/>
      <x:c r="F127" s="36"/>
      <x:c r="G127" s="36"/>
      <x:c r="H127" s="41"/>
      <x:c r="I127" s="41"/>
      <x:c r="J127" s="41"/>
      <x:c r="K127" s="41"/>
      <x:c r="L127" s="36"/>
      <x:c r="M127" s="42" t="str">
        <x:f>IF(A127="","",IF(COUNTIFS('Lots'!$A$6:$A$105,G127)=1,VLOOKUP(G127,'Lots'!$A$6:$B$105,2,FALSE),"Unknown lot"))</x:f>
      </x:c>
      <x:c r="N127" s="37" t="str">
        <x:f>IF(A127="","",IF(F127="Return",-1,1)*(H127*I127-J127))</x:f>
      </x:c>
      <x:c r="O127" s="37" t="str">
        <x:f>IF(A127="","",IF(F127="Return",-K127,K127))</x:f>
      </x:c>
      <x:c r="P127" s="37" t="str">
        <x:f>IF(A127="","",N127+O127)</x:f>
      </x:c>
      <x:c r="Q127" s="37" t="str">
        <x:f>IF(A127="","",IF(COUNTIFS('Lots'!$A$6:$A$105,G127)=1,VLOOKUP(G127,'Lots'!$A$6:$J$105,10,FALSE),"Unknown lot"))</x:f>
      </x:c>
      <x:c r="R127" s="37" t="str">
        <x:f>IF(A127="","",IF(ISNUMBER(Q127),IF(F127="Return",-1,1)*H127*Q127,"Cost missing"))</x:f>
      </x:c>
      <x:c r="S127" s="37" t="str">
        <x:f>IF(A127="","",IF(ISNUMBER(R127),N127-R127,"Cost missing"))</x:f>
      </x:c>
      <x:c r="T127" s="42" t="str">
        <x:f>IF(A127="","",IF(COUNTIFS($A$6:$A$205,A127)&lt;&gt;1,"Duplicate ID",IF(OR(B127="",D127="",NOT(ISNUMBER(C127)),H127&lt;=0,NOT(ISNUMBER(I127)),I127&lt;0,J127&lt;0,J127&gt;H127*I127,K127&lt;0),"Check sale inputs",IF(NOT(ISNUMBER(Q127)),"Lot/cost incomplete",IF(OR(F127="Sale",F127="Return"),"OK","Type required")))))</x:f>
      </x:c>
    </x:row>
    <x:row r="128" ht="23" customHeight="1">
      <x:c r="A128" s="36"/>
      <x:c r="B128" s="36"/>
      <x:c r="C128" s="40"/>
      <x:c r="D128" s="36"/>
      <x:c r="E128" s="36"/>
      <x:c r="F128" s="36"/>
      <x:c r="G128" s="36"/>
      <x:c r="H128" s="41"/>
      <x:c r="I128" s="41"/>
      <x:c r="J128" s="41"/>
      <x:c r="K128" s="41"/>
      <x:c r="L128" s="36"/>
      <x:c r="M128" s="42" t="str">
        <x:f>IF(A128="","",IF(COUNTIFS('Lots'!$A$6:$A$105,G128)=1,VLOOKUP(G128,'Lots'!$A$6:$B$105,2,FALSE),"Unknown lot"))</x:f>
      </x:c>
      <x:c r="N128" s="37" t="str">
        <x:f>IF(A128="","",IF(F128="Return",-1,1)*(H128*I128-J128))</x:f>
      </x:c>
      <x:c r="O128" s="37" t="str">
        <x:f>IF(A128="","",IF(F128="Return",-K128,K128))</x:f>
      </x:c>
      <x:c r="P128" s="37" t="str">
        <x:f>IF(A128="","",N128+O128)</x:f>
      </x:c>
      <x:c r="Q128" s="37" t="str">
        <x:f>IF(A128="","",IF(COUNTIFS('Lots'!$A$6:$A$105,G128)=1,VLOOKUP(G128,'Lots'!$A$6:$J$105,10,FALSE),"Unknown lot"))</x:f>
      </x:c>
      <x:c r="R128" s="37" t="str">
        <x:f>IF(A128="","",IF(ISNUMBER(Q128),IF(F128="Return",-1,1)*H128*Q128,"Cost missing"))</x:f>
      </x:c>
      <x:c r="S128" s="37" t="str">
        <x:f>IF(A128="","",IF(ISNUMBER(R128),N128-R128,"Cost missing"))</x:f>
      </x:c>
      <x:c r="T128" s="42" t="str">
        <x:f>IF(A128="","",IF(COUNTIFS($A$6:$A$205,A128)&lt;&gt;1,"Duplicate ID",IF(OR(B128="",D128="",NOT(ISNUMBER(C128)),H128&lt;=0,NOT(ISNUMBER(I128)),I128&lt;0,J128&lt;0,J128&gt;H128*I128,K128&lt;0),"Check sale inputs",IF(NOT(ISNUMBER(Q128)),"Lot/cost incomplete",IF(OR(F128="Sale",F128="Return"),"OK","Type required")))))</x:f>
      </x:c>
    </x:row>
    <x:row r="129" ht="23" customHeight="1">
      <x:c r="A129" s="36"/>
      <x:c r="B129" s="36"/>
      <x:c r="C129" s="40"/>
      <x:c r="D129" s="36"/>
      <x:c r="E129" s="36"/>
      <x:c r="F129" s="36"/>
      <x:c r="G129" s="36"/>
      <x:c r="H129" s="41"/>
      <x:c r="I129" s="41"/>
      <x:c r="J129" s="41"/>
      <x:c r="K129" s="41"/>
      <x:c r="L129" s="36"/>
      <x:c r="M129" s="42" t="str">
        <x:f>IF(A129="","",IF(COUNTIFS('Lots'!$A$6:$A$105,G129)=1,VLOOKUP(G129,'Lots'!$A$6:$B$105,2,FALSE),"Unknown lot"))</x:f>
      </x:c>
      <x:c r="N129" s="37" t="str">
        <x:f>IF(A129="","",IF(F129="Return",-1,1)*(H129*I129-J129))</x:f>
      </x:c>
      <x:c r="O129" s="37" t="str">
        <x:f>IF(A129="","",IF(F129="Return",-K129,K129))</x:f>
      </x:c>
      <x:c r="P129" s="37" t="str">
        <x:f>IF(A129="","",N129+O129)</x:f>
      </x:c>
      <x:c r="Q129" s="37" t="str">
        <x:f>IF(A129="","",IF(COUNTIFS('Lots'!$A$6:$A$105,G129)=1,VLOOKUP(G129,'Lots'!$A$6:$J$105,10,FALSE),"Unknown lot"))</x:f>
      </x:c>
      <x:c r="R129" s="37" t="str">
        <x:f>IF(A129="","",IF(ISNUMBER(Q129),IF(F129="Return",-1,1)*H129*Q129,"Cost missing"))</x:f>
      </x:c>
      <x:c r="S129" s="37" t="str">
        <x:f>IF(A129="","",IF(ISNUMBER(R129),N129-R129,"Cost missing"))</x:f>
      </x:c>
      <x:c r="T129" s="42" t="str">
        <x:f>IF(A129="","",IF(COUNTIFS($A$6:$A$205,A129)&lt;&gt;1,"Duplicate ID",IF(OR(B129="",D129="",NOT(ISNUMBER(C129)),H129&lt;=0,NOT(ISNUMBER(I129)),I129&lt;0,J129&lt;0,J129&gt;H129*I129,K129&lt;0),"Check sale inputs",IF(NOT(ISNUMBER(Q129)),"Lot/cost incomplete",IF(OR(F129="Sale",F129="Return"),"OK","Type required")))))</x:f>
      </x:c>
    </x:row>
    <x:row r="130" ht="23" customHeight="1">
      <x:c r="A130" s="36"/>
      <x:c r="B130" s="36"/>
      <x:c r="C130" s="40"/>
      <x:c r="D130" s="36"/>
      <x:c r="E130" s="36"/>
      <x:c r="F130" s="36"/>
      <x:c r="G130" s="36"/>
      <x:c r="H130" s="41"/>
      <x:c r="I130" s="41"/>
      <x:c r="J130" s="41"/>
      <x:c r="K130" s="41"/>
      <x:c r="L130" s="36"/>
      <x:c r="M130" s="42" t="str">
        <x:f>IF(A130="","",IF(COUNTIFS('Lots'!$A$6:$A$105,G130)=1,VLOOKUP(G130,'Lots'!$A$6:$B$105,2,FALSE),"Unknown lot"))</x:f>
      </x:c>
      <x:c r="N130" s="37" t="str">
        <x:f>IF(A130="","",IF(F130="Return",-1,1)*(H130*I130-J130))</x:f>
      </x:c>
      <x:c r="O130" s="37" t="str">
        <x:f>IF(A130="","",IF(F130="Return",-K130,K130))</x:f>
      </x:c>
      <x:c r="P130" s="37" t="str">
        <x:f>IF(A130="","",N130+O130)</x:f>
      </x:c>
      <x:c r="Q130" s="37" t="str">
        <x:f>IF(A130="","",IF(COUNTIFS('Lots'!$A$6:$A$105,G130)=1,VLOOKUP(G130,'Lots'!$A$6:$J$105,10,FALSE),"Unknown lot"))</x:f>
      </x:c>
      <x:c r="R130" s="37" t="str">
        <x:f>IF(A130="","",IF(ISNUMBER(Q130),IF(F130="Return",-1,1)*H130*Q130,"Cost missing"))</x:f>
      </x:c>
      <x:c r="S130" s="37" t="str">
        <x:f>IF(A130="","",IF(ISNUMBER(R130),N130-R130,"Cost missing"))</x:f>
      </x:c>
      <x:c r="T130" s="42" t="str">
        <x:f>IF(A130="","",IF(COUNTIFS($A$6:$A$205,A130)&lt;&gt;1,"Duplicate ID",IF(OR(B130="",D130="",NOT(ISNUMBER(C130)),H130&lt;=0,NOT(ISNUMBER(I130)),I130&lt;0,J130&lt;0,J130&gt;H130*I130,K130&lt;0),"Check sale inputs",IF(NOT(ISNUMBER(Q130)),"Lot/cost incomplete",IF(OR(F130="Sale",F130="Return"),"OK","Type required")))))</x:f>
      </x:c>
    </x:row>
    <x:row r="131" ht="23" customHeight="1">
      <x:c r="A131" s="36"/>
      <x:c r="B131" s="36"/>
      <x:c r="C131" s="40"/>
      <x:c r="D131" s="36"/>
      <x:c r="E131" s="36"/>
      <x:c r="F131" s="36"/>
      <x:c r="G131" s="36"/>
      <x:c r="H131" s="41"/>
      <x:c r="I131" s="41"/>
      <x:c r="J131" s="41"/>
      <x:c r="K131" s="41"/>
      <x:c r="L131" s="36"/>
      <x:c r="M131" s="42" t="str">
        <x:f>IF(A131="","",IF(COUNTIFS('Lots'!$A$6:$A$105,G131)=1,VLOOKUP(G131,'Lots'!$A$6:$B$105,2,FALSE),"Unknown lot"))</x:f>
      </x:c>
      <x:c r="N131" s="37" t="str">
        <x:f>IF(A131="","",IF(F131="Return",-1,1)*(H131*I131-J131))</x:f>
      </x:c>
      <x:c r="O131" s="37" t="str">
        <x:f>IF(A131="","",IF(F131="Return",-K131,K131))</x:f>
      </x:c>
      <x:c r="P131" s="37" t="str">
        <x:f>IF(A131="","",N131+O131)</x:f>
      </x:c>
      <x:c r="Q131" s="37" t="str">
        <x:f>IF(A131="","",IF(COUNTIFS('Lots'!$A$6:$A$105,G131)=1,VLOOKUP(G131,'Lots'!$A$6:$J$105,10,FALSE),"Unknown lot"))</x:f>
      </x:c>
      <x:c r="R131" s="37" t="str">
        <x:f>IF(A131="","",IF(ISNUMBER(Q131),IF(F131="Return",-1,1)*H131*Q131,"Cost missing"))</x:f>
      </x:c>
      <x:c r="S131" s="37" t="str">
        <x:f>IF(A131="","",IF(ISNUMBER(R131),N131-R131,"Cost missing"))</x:f>
      </x:c>
      <x:c r="T131" s="42" t="str">
        <x:f>IF(A131="","",IF(COUNTIFS($A$6:$A$205,A131)&lt;&gt;1,"Duplicate ID",IF(OR(B131="",D131="",NOT(ISNUMBER(C131)),H131&lt;=0,NOT(ISNUMBER(I131)),I131&lt;0,J131&lt;0,J131&gt;H131*I131,K131&lt;0),"Check sale inputs",IF(NOT(ISNUMBER(Q131)),"Lot/cost incomplete",IF(OR(F131="Sale",F131="Return"),"OK","Type required")))))</x:f>
      </x:c>
    </x:row>
    <x:row r="132" ht="23" customHeight="1">
      <x:c r="A132" s="36"/>
      <x:c r="B132" s="36"/>
      <x:c r="C132" s="40"/>
      <x:c r="D132" s="36"/>
      <x:c r="E132" s="36"/>
      <x:c r="F132" s="36"/>
      <x:c r="G132" s="36"/>
      <x:c r="H132" s="41"/>
      <x:c r="I132" s="41"/>
      <x:c r="J132" s="41"/>
      <x:c r="K132" s="41"/>
      <x:c r="L132" s="36"/>
      <x:c r="M132" s="42" t="str">
        <x:f>IF(A132="","",IF(COUNTIFS('Lots'!$A$6:$A$105,G132)=1,VLOOKUP(G132,'Lots'!$A$6:$B$105,2,FALSE),"Unknown lot"))</x:f>
      </x:c>
      <x:c r="N132" s="37" t="str">
        <x:f>IF(A132="","",IF(F132="Return",-1,1)*(H132*I132-J132))</x:f>
      </x:c>
      <x:c r="O132" s="37" t="str">
        <x:f>IF(A132="","",IF(F132="Return",-K132,K132))</x:f>
      </x:c>
      <x:c r="P132" s="37" t="str">
        <x:f>IF(A132="","",N132+O132)</x:f>
      </x:c>
      <x:c r="Q132" s="37" t="str">
        <x:f>IF(A132="","",IF(COUNTIFS('Lots'!$A$6:$A$105,G132)=1,VLOOKUP(G132,'Lots'!$A$6:$J$105,10,FALSE),"Unknown lot"))</x:f>
      </x:c>
      <x:c r="R132" s="37" t="str">
        <x:f>IF(A132="","",IF(ISNUMBER(Q132),IF(F132="Return",-1,1)*H132*Q132,"Cost missing"))</x:f>
      </x:c>
      <x:c r="S132" s="37" t="str">
        <x:f>IF(A132="","",IF(ISNUMBER(R132),N132-R132,"Cost missing"))</x:f>
      </x:c>
      <x:c r="T132" s="42" t="str">
        <x:f>IF(A132="","",IF(COUNTIFS($A$6:$A$205,A132)&lt;&gt;1,"Duplicate ID",IF(OR(B132="",D132="",NOT(ISNUMBER(C132)),H132&lt;=0,NOT(ISNUMBER(I132)),I132&lt;0,J132&lt;0,J132&gt;H132*I132,K132&lt;0),"Check sale inputs",IF(NOT(ISNUMBER(Q132)),"Lot/cost incomplete",IF(OR(F132="Sale",F132="Return"),"OK","Type required")))))</x:f>
      </x:c>
    </x:row>
    <x:row r="133" ht="23" customHeight="1">
      <x:c r="A133" s="36"/>
      <x:c r="B133" s="36"/>
      <x:c r="C133" s="40"/>
      <x:c r="D133" s="36"/>
      <x:c r="E133" s="36"/>
      <x:c r="F133" s="36"/>
      <x:c r="G133" s="36"/>
      <x:c r="H133" s="41"/>
      <x:c r="I133" s="41"/>
      <x:c r="J133" s="41"/>
      <x:c r="K133" s="41"/>
      <x:c r="L133" s="36"/>
      <x:c r="M133" s="42" t="str">
        <x:f>IF(A133="","",IF(COUNTIFS('Lots'!$A$6:$A$105,G133)=1,VLOOKUP(G133,'Lots'!$A$6:$B$105,2,FALSE),"Unknown lot"))</x:f>
      </x:c>
      <x:c r="N133" s="37" t="str">
        <x:f>IF(A133="","",IF(F133="Return",-1,1)*(H133*I133-J133))</x:f>
      </x:c>
      <x:c r="O133" s="37" t="str">
        <x:f>IF(A133="","",IF(F133="Return",-K133,K133))</x:f>
      </x:c>
      <x:c r="P133" s="37" t="str">
        <x:f>IF(A133="","",N133+O133)</x:f>
      </x:c>
      <x:c r="Q133" s="37" t="str">
        <x:f>IF(A133="","",IF(COUNTIFS('Lots'!$A$6:$A$105,G133)=1,VLOOKUP(G133,'Lots'!$A$6:$J$105,10,FALSE),"Unknown lot"))</x:f>
      </x:c>
      <x:c r="R133" s="37" t="str">
        <x:f>IF(A133="","",IF(ISNUMBER(Q133),IF(F133="Return",-1,1)*H133*Q133,"Cost missing"))</x:f>
      </x:c>
      <x:c r="S133" s="37" t="str">
        <x:f>IF(A133="","",IF(ISNUMBER(R133),N133-R133,"Cost missing"))</x:f>
      </x:c>
      <x:c r="T133" s="42" t="str">
        <x:f>IF(A133="","",IF(COUNTIFS($A$6:$A$205,A133)&lt;&gt;1,"Duplicate ID",IF(OR(B133="",D133="",NOT(ISNUMBER(C133)),H133&lt;=0,NOT(ISNUMBER(I133)),I133&lt;0,J133&lt;0,J133&gt;H133*I133,K133&lt;0),"Check sale inputs",IF(NOT(ISNUMBER(Q133)),"Lot/cost incomplete",IF(OR(F133="Sale",F133="Return"),"OK","Type required")))))</x:f>
      </x:c>
    </x:row>
    <x:row r="134" ht="23" customHeight="1">
      <x:c r="A134" s="36"/>
      <x:c r="B134" s="36"/>
      <x:c r="C134" s="40"/>
      <x:c r="D134" s="36"/>
      <x:c r="E134" s="36"/>
      <x:c r="F134" s="36"/>
      <x:c r="G134" s="36"/>
      <x:c r="H134" s="41"/>
      <x:c r="I134" s="41"/>
      <x:c r="J134" s="41"/>
      <x:c r="K134" s="41"/>
      <x:c r="L134" s="36"/>
      <x:c r="M134" s="42" t="str">
        <x:f>IF(A134="","",IF(COUNTIFS('Lots'!$A$6:$A$105,G134)=1,VLOOKUP(G134,'Lots'!$A$6:$B$105,2,FALSE),"Unknown lot"))</x:f>
      </x:c>
      <x:c r="N134" s="37" t="str">
        <x:f>IF(A134="","",IF(F134="Return",-1,1)*(H134*I134-J134))</x:f>
      </x:c>
      <x:c r="O134" s="37" t="str">
        <x:f>IF(A134="","",IF(F134="Return",-K134,K134))</x:f>
      </x:c>
      <x:c r="P134" s="37" t="str">
        <x:f>IF(A134="","",N134+O134)</x:f>
      </x:c>
      <x:c r="Q134" s="37" t="str">
        <x:f>IF(A134="","",IF(COUNTIFS('Lots'!$A$6:$A$105,G134)=1,VLOOKUP(G134,'Lots'!$A$6:$J$105,10,FALSE),"Unknown lot"))</x:f>
      </x:c>
      <x:c r="R134" s="37" t="str">
        <x:f>IF(A134="","",IF(ISNUMBER(Q134),IF(F134="Return",-1,1)*H134*Q134,"Cost missing"))</x:f>
      </x:c>
      <x:c r="S134" s="37" t="str">
        <x:f>IF(A134="","",IF(ISNUMBER(R134),N134-R134,"Cost missing"))</x:f>
      </x:c>
      <x:c r="T134" s="42" t="str">
        <x:f>IF(A134="","",IF(COUNTIFS($A$6:$A$205,A134)&lt;&gt;1,"Duplicate ID",IF(OR(B134="",D134="",NOT(ISNUMBER(C134)),H134&lt;=0,NOT(ISNUMBER(I134)),I134&lt;0,J134&lt;0,J134&gt;H134*I134,K134&lt;0),"Check sale inputs",IF(NOT(ISNUMBER(Q134)),"Lot/cost incomplete",IF(OR(F134="Sale",F134="Return"),"OK","Type required")))))</x:f>
      </x:c>
    </x:row>
    <x:row r="135" ht="23" customHeight="1">
      <x:c r="A135" s="36"/>
      <x:c r="B135" s="36"/>
      <x:c r="C135" s="40"/>
      <x:c r="D135" s="36"/>
      <x:c r="E135" s="36"/>
      <x:c r="F135" s="36"/>
      <x:c r="G135" s="36"/>
      <x:c r="H135" s="41"/>
      <x:c r="I135" s="41"/>
      <x:c r="J135" s="41"/>
      <x:c r="K135" s="41"/>
      <x:c r="L135" s="36"/>
      <x:c r="M135" s="42" t="str">
        <x:f>IF(A135="","",IF(COUNTIFS('Lots'!$A$6:$A$105,G135)=1,VLOOKUP(G135,'Lots'!$A$6:$B$105,2,FALSE),"Unknown lot"))</x:f>
      </x:c>
      <x:c r="N135" s="37" t="str">
        <x:f>IF(A135="","",IF(F135="Return",-1,1)*(H135*I135-J135))</x:f>
      </x:c>
      <x:c r="O135" s="37" t="str">
        <x:f>IF(A135="","",IF(F135="Return",-K135,K135))</x:f>
      </x:c>
      <x:c r="P135" s="37" t="str">
        <x:f>IF(A135="","",N135+O135)</x:f>
      </x:c>
      <x:c r="Q135" s="37" t="str">
        <x:f>IF(A135="","",IF(COUNTIFS('Lots'!$A$6:$A$105,G135)=1,VLOOKUP(G135,'Lots'!$A$6:$J$105,10,FALSE),"Unknown lot"))</x:f>
      </x:c>
      <x:c r="R135" s="37" t="str">
        <x:f>IF(A135="","",IF(ISNUMBER(Q135),IF(F135="Return",-1,1)*H135*Q135,"Cost missing"))</x:f>
      </x:c>
      <x:c r="S135" s="37" t="str">
        <x:f>IF(A135="","",IF(ISNUMBER(R135),N135-R135,"Cost missing"))</x:f>
      </x:c>
      <x:c r="T135" s="42" t="str">
        <x:f>IF(A135="","",IF(COUNTIFS($A$6:$A$205,A135)&lt;&gt;1,"Duplicate ID",IF(OR(B135="",D135="",NOT(ISNUMBER(C135)),H135&lt;=0,NOT(ISNUMBER(I135)),I135&lt;0,J135&lt;0,J135&gt;H135*I135,K135&lt;0),"Check sale inputs",IF(NOT(ISNUMBER(Q135)),"Lot/cost incomplete",IF(OR(F135="Sale",F135="Return"),"OK","Type required")))))</x:f>
      </x:c>
    </x:row>
    <x:row r="136" ht="23" customHeight="1">
      <x:c r="A136" s="36"/>
      <x:c r="B136" s="36"/>
      <x:c r="C136" s="40"/>
      <x:c r="D136" s="36"/>
      <x:c r="E136" s="36"/>
      <x:c r="F136" s="36"/>
      <x:c r="G136" s="36"/>
      <x:c r="H136" s="41"/>
      <x:c r="I136" s="41"/>
      <x:c r="J136" s="41"/>
      <x:c r="K136" s="41"/>
      <x:c r="L136" s="36"/>
      <x:c r="M136" s="42" t="str">
        <x:f>IF(A136="","",IF(COUNTIFS('Lots'!$A$6:$A$105,G136)=1,VLOOKUP(G136,'Lots'!$A$6:$B$105,2,FALSE),"Unknown lot"))</x:f>
      </x:c>
      <x:c r="N136" s="37" t="str">
        <x:f>IF(A136="","",IF(F136="Return",-1,1)*(H136*I136-J136))</x:f>
      </x:c>
      <x:c r="O136" s="37" t="str">
        <x:f>IF(A136="","",IF(F136="Return",-K136,K136))</x:f>
      </x:c>
      <x:c r="P136" s="37" t="str">
        <x:f>IF(A136="","",N136+O136)</x:f>
      </x:c>
      <x:c r="Q136" s="37" t="str">
        <x:f>IF(A136="","",IF(COUNTIFS('Lots'!$A$6:$A$105,G136)=1,VLOOKUP(G136,'Lots'!$A$6:$J$105,10,FALSE),"Unknown lot"))</x:f>
      </x:c>
      <x:c r="R136" s="37" t="str">
        <x:f>IF(A136="","",IF(ISNUMBER(Q136),IF(F136="Return",-1,1)*H136*Q136,"Cost missing"))</x:f>
      </x:c>
      <x:c r="S136" s="37" t="str">
        <x:f>IF(A136="","",IF(ISNUMBER(R136),N136-R136,"Cost missing"))</x:f>
      </x:c>
      <x:c r="T136" s="42" t="str">
        <x:f>IF(A136="","",IF(COUNTIFS($A$6:$A$205,A136)&lt;&gt;1,"Duplicate ID",IF(OR(B136="",D136="",NOT(ISNUMBER(C136)),H136&lt;=0,NOT(ISNUMBER(I136)),I136&lt;0,J136&lt;0,J136&gt;H136*I136,K136&lt;0),"Check sale inputs",IF(NOT(ISNUMBER(Q136)),"Lot/cost incomplete",IF(OR(F136="Sale",F136="Return"),"OK","Type required")))))</x:f>
      </x:c>
    </x:row>
    <x:row r="137" ht="23" customHeight="1">
      <x:c r="A137" s="36"/>
      <x:c r="B137" s="36"/>
      <x:c r="C137" s="40"/>
      <x:c r="D137" s="36"/>
      <x:c r="E137" s="36"/>
      <x:c r="F137" s="36"/>
      <x:c r="G137" s="36"/>
      <x:c r="H137" s="41"/>
      <x:c r="I137" s="41"/>
      <x:c r="J137" s="41"/>
      <x:c r="K137" s="41"/>
      <x:c r="L137" s="36"/>
      <x:c r="M137" s="42" t="str">
        <x:f>IF(A137="","",IF(COUNTIFS('Lots'!$A$6:$A$105,G137)=1,VLOOKUP(G137,'Lots'!$A$6:$B$105,2,FALSE),"Unknown lot"))</x:f>
      </x:c>
      <x:c r="N137" s="37" t="str">
        <x:f>IF(A137="","",IF(F137="Return",-1,1)*(H137*I137-J137))</x:f>
      </x:c>
      <x:c r="O137" s="37" t="str">
        <x:f>IF(A137="","",IF(F137="Return",-K137,K137))</x:f>
      </x:c>
      <x:c r="P137" s="37" t="str">
        <x:f>IF(A137="","",N137+O137)</x:f>
      </x:c>
      <x:c r="Q137" s="37" t="str">
        <x:f>IF(A137="","",IF(COUNTIFS('Lots'!$A$6:$A$105,G137)=1,VLOOKUP(G137,'Lots'!$A$6:$J$105,10,FALSE),"Unknown lot"))</x:f>
      </x:c>
      <x:c r="R137" s="37" t="str">
        <x:f>IF(A137="","",IF(ISNUMBER(Q137),IF(F137="Return",-1,1)*H137*Q137,"Cost missing"))</x:f>
      </x:c>
      <x:c r="S137" s="37" t="str">
        <x:f>IF(A137="","",IF(ISNUMBER(R137),N137-R137,"Cost missing"))</x:f>
      </x:c>
      <x:c r="T137" s="42" t="str">
        <x:f>IF(A137="","",IF(COUNTIFS($A$6:$A$205,A137)&lt;&gt;1,"Duplicate ID",IF(OR(B137="",D137="",NOT(ISNUMBER(C137)),H137&lt;=0,NOT(ISNUMBER(I137)),I137&lt;0,J137&lt;0,J137&gt;H137*I137,K137&lt;0),"Check sale inputs",IF(NOT(ISNUMBER(Q137)),"Lot/cost incomplete",IF(OR(F137="Sale",F137="Return"),"OK","Type required")))))</x:f>
      </x:c>
    </x:row>
    <x:row r="138" ht="23" customHeight="1">
      <x:c r="A138" s="36"/>
      <x:c r="B138" s="36"/>
      <x:c r="C138" s="40"/>
      <x:c r="D138" s="36"/>
      <x:c r="E138" s="36"/>
      <x:c r="F138" s="36"/>
      <x:c r="G138" s="36"/>
      <x:c r="H138" s="41"/>
      <x:c r="I138" s="41"/>
      <x:c r="J138" s="41"/>
      <x:c r="K138" s="41"/>
      <x:c r="L138" s="36"/>
      <x:c r="M138" s="42" t="str">
        <x:f>IF(A138="","",IF(COUNTIFS('Lots'!$A$6:$A$105,G138)=1,VLOOKUP(G138,'Lots'!$A$6:$B$105,2,FALSE),"Unknown lot"))</x:f>
      </x:c>
      <x:c r="N138" s="37" t="str">
        <x:f>IF(A138="","",IF(F138="Return",-1,1)*(H138*I138-J138))</x:f>
      </x:c>
      <x:c r="O138" s="37" t="str">
        <x:f>IF(A138="","",IF(F138="Return",-K138,K138))</x:f>
      </x:c>
      <x:c r="P138" s="37" t="str">
        <x:f>IF(A138="","",N138+O138)</x:f>
      </x:c>
      <x:c r="Q138" s="37" t="str">
        <x:f>IF(A138="","",IF(COUNTIFS('Lots'!$A$6:$A$105,G138)=1,VLOOKUP(G138,'Lots'!$A$6:$J$105,10,FALSE),"Unknown lot"))</x:f>
      </x:c>
      <x:c r="R138" s="37" t="str">
        <x:f>IF(A138="","",IF(ISNUMBER(Q138),IF(F138="Return",-1,1)*H138*Q138,"Cost missing"))</x:f>
      </x:c>
      <x:c r="S138" s="37" t="str">
        <x:f>IF(A138="","",IF(ISNUMBER(R138),N138-R138,"Cost missing"))</x:f>
      </x:c>
      <x:c r="T138" s="42" t="str">
        <x:f>IF(A138="","",IF(COUNTIFS($A$6:$A$205,A138)&lt;&gt;1,"Duplicate ID",IF(OR(B138="",D138="",NOT(ISNUMBER(C138)),H138&lt;=0,NOT(ISNUMBER(I138)),I138&lt;0,J138&lt;0,J138&gt;H138*I138,K138&lt;0),"Check sale inputs",IF(NOT(ISNUMBER(Q138)),"Lot/cost incomplete",IF(OR(F138="Sale",F138="Return"),"OK","Type required")))))</x:f>
      </x:c>
    </x:row>
    <x:row r="139" ht="23" customHeight="1">
      <x:c r="A139" s="36"/>
      <x:c r="B139" s="36"/>
      <x:c r="C139" s="40"/>
      <x:c r="D139" s="36"/>
      <x:c r="E139" s="36"/>
      <x:c r="F139" s="36"/>
      <x:c r="G139" s="36"/>
      <x:c r="H139" s="41"/>
      <x:c r="I139" s="41"/>
      <x:c r="J139" s="41"/>
      <x:c r="K139" s="41"/>
      <x:c r="L139" s="36"/>
      <x:c r="M139" s="42" t="str">
        <x:f>IF(A139="","",IF(COUNTIFS('Lots'!$A$6:$A$105,G139)=1,VLOOKUP(G139,'Lots'!$A$6:$B$105,2,FALSE),"Unknown lot"))</x:f>
      </x:c>
      <x:c r="N139" s="37" t="str">
        <x:f>IF(A139="","",IF(F139="Return",-1,1)*(H139*I139-J139))</x:f>
      </x:c>
      <x:c r="O139" s="37" t="str">
        <x:f>IF(A139="","",IF(F139="Return",-K139,K139))</x:f>
      </x:c>
      <x:c r="P139" s="37" t="str">
        <x:f>IF(A139="","",N139+O139)</x:f>
      </x:c>
      <x:c r="Q139" s="37" t="str">
        <x:f>IF(A139="","",IF(COUNTIFS('Lots'!$A$6:$A$105,G139)=1,VLOOKUP(G139,'Lots'!$A$6:$J$105,10,FALSE),"Unknown lot"))</x:f>
      </x:c>
      <x:c r="R139" s="37" t="str">
        <x:f>IF(A139="","",IF(ISNUMBER(Q139),IF(F139="Return",-1,1)*H139*Q139,"Cost missing"))</x:f>
      </x:c>
      <x:c r="S139" s="37" t="str">
        <x:f>IF(A139="","",IF(ISNUMBER(R139),N139-R139,"Cost missing"))</x:f>
      </x:c>
      <x:c r="T139" s="42" t="str">
        <x:f>IF(A139="","",IF(COUNTIFS($A$6:$A$205,A139)&lt;&gt;1,"Duplicate ID",IF(OR(B139="",D139="",NOT(ISNUMBER(C139)),H139&lt;=0,NOT(ISNUMBER(I139)),I139&lt;0,J139&lt;0,J139&gt;H139*I139,K139&lt;0),"Check sale inputs",IF(NOT(ISNUMBER(Q139)),"Lot/cost incomplete",IF(OR(F139="Sale",F139="Return"),"OK","Type required")))))</x:f>
      </x:c>
    </x:row>
    <x:row r="140" ht="23" customHeight="1">
      <x:c r="A140" s="36"/>
      <x:c r="B140" s="36"/>
      <x:c r="C140" s="40"/>
      <x:c r="D140" s="36"/>
      <x:c r="E140" s="36"/>
      <x:c r="F140" s="36"/>
      <x:c r="G140" s="36"/>
      <x:c r="H140" s="41"/>
      <x:c r="I140" s="41"/>
      <x:c r="J140" s="41"/>
      <x:c r="K140" s="41"/>
      <x:c r="L140" s="36"/>
      <x:c r="M140" s="42" t="str">
        <x:f>IF(A140="","",IF(COUNTIFS('Lots'!$A$6:$A$105,G140)=1,VLOOKUP(G140,'Lots'!$A$6:$B$105,2,FALSE),"Unknown lot"))</x:f>
      </x:c>
      <x:c r="N140" s="37" t="str">
        <x:f>IF(A140="","",IF(F140="Return",-1,1)*(H140*I140-J140))</x:f>
      </x:c>
      <x:c r="O140" s="37" t="str">
        <x:f>IF(A140="","",IF(F140="Return",-K140,K140))</x:f>
      </x:c>
      <x:c r="P140" s="37" t="str">
        <x:f>IF(A140="","",N140+O140)</x:f>
      </x:c>
      <x:c r="Q140" s="37" t="str">
        <x:f>IF(A140="","",IF(COUNTIFS('Lots'!$A$6:$A$105,G140)=1,VLOOKUP(G140,'Lots'!$A$6:$J$105,10,FALSE),"Unknown lot"))</x:f>
      </x:c>
      <x:c r="R140" s="37" t="str">
        <x:f>IF(A140="","",IF(ISNUMBER(Q140),IF(F140="Return",-1,1)*H140*Q140,"Cost missing"))</x:f>
      </x:c>
      <x:c r="S140" s="37" t="str">
        <x:f>IF(A140="","",IF(ISNUMBER(R140),N140-R140,"Cost missing"))</x:f>
      </x:c>
      <x:c r="T140" s="42" t="str">
        <x:f>IF(A140="","",IF(COUNTIFS($A$6:$A$205,A140)&lt;&gt;1,"Duplicate ID",IF(OR(B140="",D140="",NOT(ISNUMBER(C140)),H140&lt;=0,NOT(ISNUMBER(I140)),I140&lt;0,J140&lt;0,J140&gt;H140*I140,K140&lt;0),"Check sale inputs",IF(NOT(ISNUMBER(Q140)),"Lot/cost incomplete",IF(OR(F140="Sale",F140="Return"),"OK","Type required")))))</x:f>
      </x:c>
    </x:row>
    <x:row r="141" ht="23" customHeight="1">
      <x:c r="A141" s="36"/>
      <x:c r="B141" s="36"/>
      <x:c r="C141" s="40"/>
      <x:c r="D141" s="36"/>
      <x:c r="E141" s="36"/>
      <x:c r="F141" s="36"/>
      <x:c r="G141" s="36"/>
      <x:c r="H141" s="41"/>
      <x:c r="I141" s="41"/>
      <x:c r="J141" s="41"/>
      <x:c r="K141" s="41"/>
      <x:c r="L141" s="36"/>
      <x:c r="M141" s="42" t="str">
        <x:f>IF(A141="","",IF(COUNTIFS('Lots'!$A$6:$A$105,G141)=1,VLOOKUP(G141,'Lots'!$A$6:$B$105,2,FALSE),"Unknown lot"))</x:f>
      </x:c>
      <x:c r="N141" s="37" t="str">
        <x:f>IF(A141="","",IF(F141="Return",-1,1)*(H141*I141-J141))</x:f>
      </x:c>
      <x:c r="O141" s="37" t="str">
        <x:f>IF(A141="","",IF(F141="Return",-K141,K141))</x:f>
      </x:c>
      <x:c r="P141" s="37" t="str">
        <x:f>IF(A141="","",N141+O141)</x:f>
      </x:c>
      <x:c r="Q141" s="37" t="str">
        <x:f>IF(A141="","",IF(COUNTIFS('Lots'!$A$6:$A$105,G141)=1,VLOOKUP(G141,'Lots'!$A$6:$J$105,10,FALSE),"Unknown lot"))</x:f>
      </x:c>
      <x:c r="R141" s="37" t="str">
        <x:f>IF(A141="","",IF(ISNUMBER(Q141),IF(F141="Return",-1,1)*H141*Q141,"Cost missing"))</x:f>
      </x:c>
      <x:c r="S141" s="37" t="str">
        <x:f>IF(A141="","",IF(ISNUMBER(R141),N141-R141,"Cost missing"))</x:f>
      </x:c>
      <x:c r="T141" s="42" t="str">
        <x:f>IF(A141="","",IF(COUNTIFS($A$6:$A$205,A141)&lt;&gt;1,"Duplicate ID",IF(OR(B141="",D141="",NOT(ISNUMBER(C141)),H141&lt;=0,NOT(ISNUMBER(I141)),I141&lt;0,J141&lt;0,J141&gt;H141*I141,K141&lt;0),"Check sale inputs",IF(NOT(ISNUMBER(Q141)),"Lot/cost incomplete",IF(OR(F141="Sale",F141="Return"),"OK","Type required")))))</x:f>
      </x:c>
    </x:row>
    <x:row r="142" ht="23" customHeight="1">
      <x:c r="A142" s="36"/>
      <x:c r="B142" s="36"/>
      <x:c r="C142" s="40"/>
      <x:c r="D142" s="36"/>
      <x:c r="E142" s="36"/>
      <x:c r="F142" s="36"/>
      <x:c r="G142" s="36"/>
      <x:c r="H142" s="41"/>
      <x:c r="I142" s="41"/>
      <x:c r="J142" s="41"/>
      <x:c r="K142" s="41"/>
      <x:c r="L142" s="36"/>
      <x:c r="M142" s="42" t="str">
        <x:f>IF(A142="","",IF(COUNTIFS('Lots'!$A$6:$A$105,G142)=1,VLOOKUP(G142,'Lots'!$A$6:$B$105,2,FALSE),"Unknown lot"))</x:f>
      </x:c>
      <x:c r="N142" s="37" t="str">
        <x:f>IF(A142="","",IF(F142="Return",-1,1)*(H142*I142-J142))</x:f>
      </x:c>
      <x:c r="O142" s="37" t="str">
        <x:f>IF(A142="","",IF(F142="Return",-K142,K142))</x:f>
      </x:c>
      <x:c r="P142" s="37" t="str">
        <x:f>IF(A142="","",N142+O142)</x:f>
      </x:c>
      <x:c r="Q142" s="37" t="str">
        <x:f>IF(A142="","",IF(COUNTIFS('Lots'!$A$6:$A$105,G142)=1,VLOOKUP(G142,'Lots'!$A$6:$J$105,10,FALSE),"Unknown lot"))</x:f>
      </x:c>
      <x:c r="R142" s="37" t="str">
        <x:f>IF(A142="","",IF(ISNUMBER(Q142),IF(F142="Return",-1,1)*H142*Q142,"Cost missing"))</x:f>
      </x:c>
      <x:c r="S142" s="37" t="str">
        <x:f>IF(A142="","",IF(ISNUMBER(R142),N142-R142,"Cost missing"))</x:f>
      </x:c>
      <x:c r="T142" s="42" t="str">
        <x:f>IF(A142="","",IF(COUNTIFS($A$6:$A$205,A142)&lt;&gt;1,"Duplicate ID",IF(OR(B142="",D142="",NOT(ISNUMBER(C142)),H142&lt;=0,NOT(ISNUMBER(I142)),I142&lt;0,J142&lt;0,J142&gt;H142*I142,K142&lt;0),"Check sale inputs",IF(NOT(ISNUMBER(Q142)),"Lot/cost incomplete",IF(OR(F142="Sale",F142="Return"),"OK","Type required")))))</x:f>
      </x:c>
    </x:row>
    <x:row r="143" ht="23" customHeight="1">
      <x:c r="A143" s="36"/>
      <x:c r="B143" s="36"/>
      <x:c r="C143" s="40"/>
      <x:c r="D143" s="36"/>
      <x:c r="E143" s="36"/>
      <x:c r="F143" s="36"/>
      <x:c r="G143" s="36"/>
      <x:c r="H143" s="41"/>
      <x:c r="I143" s="41"/>
      <x:c r="J143" s="41"/>
      <x:c r="K143" s="41"/>
      <x:c r="L143" s="36"/>
      <x:c r="M143" s="42" t="str">
        <x:f>IF(A143="","",IF(COUNTIFS('Lots'!$A$6:$A$105,G143)=1,VLOOKUP(G143,'Lots'!$A$6:$B$105,2,FALSE),"Unknown lot"))</x:f>
      </x:c>
      <x:c r="N143" s="37" t="str">
        <x:f>IF(A143="","",IF(F143="Return",-1,1)*(H143*I143-J143))</x:f>
      </x:c>
      <x:c r="O143" s="37" t="str">
        <x:f>IF(A143="","",IF(F143="Return",-K143,K143))</x:f>
      </x:c>
      <x:c r="P143" s="37" t="str">
        <x:f>IF(A143="","",N143+O143)</x:f>
      </x:c>
      <x:c r="Q143" s="37" t="str">
        <x:f>IF(A143="","",IF(COUNTIFS('Lots'!$A$6:$A$105,G143)=1,VLOOKUP(G143,'Lots'!$A$6:$J$105,10,FALSE),"Unknown lot"))</x:f>
      </x:c>
      <x:c r="R143" s="37" t="str">
        <x:f>IF(A143="","",IF(ISNUMBER(Q143),IF(F143="Return",-1,1)*H143*Q143,"Cost missing"))</x:f>
      </x:c>
      <x:c r="S143" s="37" t="str">
        <x:f>IF(A143="","",IF(ISNUMBER(R143),N143-R143,"Cost missing"))</x:f>
      </x:c>
      <x:c r="T143" s="42" t="str">
        <x:f>IF(A143="","",IF(COUNTIFS($A$6:$A$205,A143)&lt;&gt;1,"Duplicate ID",IF(OR(B143="",D143="",NOT(ISNUMBER(C143)),H143&lt;=0,NOT(ISNUMBER(I143)),I143&lt;0,J143&lt;0,J143&gt;H143*I143,K143&lt;0),"Check sale inputs",IF(NOT(ISNUMBER(Q143)),"Lot/cost incomplete",IF(OR(F143="Sale",F143="Return"),"OK","Type required")))))</x:f>
      </x:c>
    </x:row>
    <x:row r="144" ht="23" customHeight="1">
      <x:c r="A144" s="36"/>
      <x:c r="B144" s="36"/>
      <x:c r="C144" s="40"/>
      <x:c r="D144" s="36"/>
      <x:c r="E144" s="36"/>
      <x:c r="F144" s="36"/>
      <x:c r="G144" s="36"/>
      <x:c r="H144" s="41"/>
      <x:c r="I144" s="41"/>
      <x:c r="J144" s="41"/>
      <x:c r="K144" s="41"/>
      <x:c r="L144" s="36"/>
      <x:c r="M144" s="42" t="str">
        <x:f>IF(A144="","",IF(COUNTIFS('Lots'!$A$6:$A$105,G144)=1,VLOOKUP(G144,'Lots'!$A$6:$B$105,2,FALSE),"Unknown lot"))</x:f>
      </x:c>
      <x:c r="N144" s="37" t="str">
        <x:f>IF(A144="","",IF(F144="Return",-1,1)*(H144*I144-J144))</x:f>
      </x:c>
      <x:c r="O144" s="37" t="str">
        <x:f>IF(A144="","",IF(F144="Return",-K144,K144))</x:f>
      </x:c>
      <x:c r="P144" s="37" t="str">
        <x:f>IF(A144="","",N144+O144)</x:f>
      </x:c>
      <x:c r="Q144" s="37" t="str">
        <x:f>IF(A144="","",IF(COUNTIFS('Lots'!$A$6:$A$105,G144)=1,VLOOKUP(G144,'Lots'!$A$6:$J$105,10,FALSE),"Unknown lot"))</x:f>
      </x:c>
      <x:c r="R144" s="37" t="str">
        <x:f>IF(A144="","",IF(ISNUMBER(Q144),IF(F144="Return",-1,1)*H144*Q144,"Cost missing"))</x:f>
      </x:c>
      <x:c r="S144" s="37" t="str">
        <x:f>IF(A144="","",IF(ISNUMBER(R144),N144-R144,"Cost missing"))</x:f>
      </x:c>
      <x:c r="T144" s="42" t="str">
        <x:f>IF(A144="","",IF(COUNTIFS($A$6:$A$205,A144)&lt;&gt;1,"Duplicate ID",IF(OR(B144="",D144="",NOT(ISNUMBER(C144)),H144&lt;=0,NOT(ISNUMBER(I144)),I144&lt;0,J144&lt;0,J144&gt;H144*I144,K144&lt;0),"Check sale inputs",IF(NOT(ISNUMBER(Q144)),"Lot/cost incomplete",IF(OR(F144="Sale",F144="Return"),"OK","Type required")))))</x:f>
      </x:c>
    </x:row>
    <x:row r="145" ht="23" customHeight="1">
      <x:c r="A145" s="36"/>
      <x:c r="B145" s="36"/>
      <x:c r="C145" s="40"/>
      <x:c r="D145" s="36"/>
      <x:c r="E145" s="36"/>
      <x:c r="F145" s="36"/>
      <x:c r="G145" s="36"/>
      <x:c r="H145" s="41"/>
      <x:c r="I145" s="41"/>
      <x:c r="J145" s="41"/>
      <x:c r="K145" s="41"/>
      <x:c r="L145" s="36"/>
      <x:c r="M145" s="42" t="str">
        <x:f>IF(A145="","",IF(COUNTIFS('Lots'!$A$6:$A$105,G145)=1,VLOOKUP(G145,'Lots'!$A$6:$B$105,2,FALSE),"Unknown lot"))</x:f>
      </x:c>
      <x:c r="N145" s="37" t="str">
        <x:f>IF(A145="","",IF(F145="Return",-1,1)*(H145*I145-J145))</x:f>
      </x:c>
      <x:c r="O145" s="37" t="str">
        <x:f>IF(A145="","",IF(F145="Return",-K145,K145))</x:f>
      </x:c>
      <x:c r="P145" s="37" t="str">
        <x:f>IF(A145="","",N145+O145)</x:f>
      </x:c>
      <x:c r="Q145" s="37" t="str">
        <x:f>IF(A145="","",IF(COUNTIFS('Lots'!$A$6:$A$105,G145)=1,VLOOKUP(G145,'Lots'!$A$6:$J$105,10,FALSE),"Unknown lot"))</x:f>
      </x:c>
      <x:c r="R145" s="37" t="str">
        <x:f>IF(A145="","",IF(ISNUMBER(Q145),IF(F145="Return",-1,1)*H145*Q145,"Cost missing"))</x:f>
      </x:c>
      <x:c r="S145" s="37" t="str">
        <x:f>IF(A145="","",IF(ISNUMBER(R145),N145-R145,"Cost missing"))</x:f>
      </x:c>
      <x:c r="T145" s="42" t="str">
        <x:f>IF(A145="","",IF(COUNTIFS($A$6:$A$205,A145)&lt;&gt;1,"Duplicate ID",IF(OR(B145="",D145="",NOT(ISNUMBER(C145)),H145&lt;=0,NOT(ISNUMBER(I145)),I145&lt;0,J145&lt;0,J145&gt;H145*I145,K145&lt;0),"Check sale inputs",IF(NOT(ISNUMBER(Q145)),"Lot/cost incomplete",IF(OR(F145="Sale",F145="Return"),"OK","Type required")))))</x:f>
      </x:c>
    </x:row>
    <x:row r="146" ht="23" customHeight="1">
      <x:c r="A146" s="36"/>
      <x:c r="B146" s="36"/>
      <x:c r="C146" s="40"/>
      <x:c r="D146" s="36"/>
      <x:c r="E146" s="36"/>
      <x:c r="F146" s="36"/>
      <x:c r="G146" s="36"/>
      <x:c r="H146" s="41"/>
      <x:c r="I146" s="41"/>
      <x:c r="J146" s="41"/>
      <x:c r="K146" s="41"/>
      <x:c r="L146" s="36"/>
      <x:c r="M146" s="42" t="str">
        <x:f>IF(A146="","",IF(COUNTIFS('Lots'!$A$6:$A$105,G146)=1,VLOOKUP(G146,'Lots'!$A$6:$B$105,2,FALSE),"Unknown lot"))</x:f>
      </x:c>
      <x:c r="N146" s="37" t="str">
        <x:f>IF(A146="","",IF(F146="Return",-1,1)*(H146*I146-J146))</x:f>
      </x:c>
      <x:c r="O146" s="37" t="str">
        <x:f>IF(A146="","",IF(F146="Return",-K146,K146))</x:f>
      </x:c>
      <x:c r="P146" s="37" t="str">
        <x:f>IF(A146="","",N146+O146)</x:f>
      </x:c>
      <x:c r="Q146" s="37" t="str">
        <x:f>IF(A146="","",IF(COUNTIFS('Lots'!$A$6:$A$105,G146)=1,VLOOKUP(G146,'Lots'!$A$6:$J$105,10,FALSE),"Unknown lot"))</x:f>
      </x:c>
      <x:c r="R146" s="37" t="str">
        <x:f>IF(A146="","",IF(ISNUMBER(Q146),IF(F146="Return",-1,1)*H146*Q146,"Cost missing"))</x:f>
      </x:c>
      <x:c r="S146" s="37" t="str">
        <x:f>IF(A146="","",IF(ISNUMBER(R146),N146-R146,"Cost missing"))</x:f>
      </x:c>
      <x:c r="T146" s="42" t="str">
        <x:f>IF(A146="","",IF(COUNTIFS($A$6:$A$205,A146)&lt;&gt;1,"Duplicate ID",IF(OR(B146="",D146="",NOT(ISNUMBER(C146)),H146&lt;=0,NOT(ISNUMBER(I146)),I146&lt;0,J146&lt;0,J146&gt;H146*I146,K146&lt;0),"Check sale inputs",IF(NOT(ISNUMBER(Q146)),"Lot/cost incomplete",IF(OR(F146="Sale",F146="Return"),"OK","Type required")))))</x:f>
      </x:c>
    </x:row>
    <x:row r="147" ht="23" customHeight="1">
      <x:c r="A147" s="36"/>
      <x:c r="B147" s="36"/>
      <x:c r="C147" s="40"/>
      <x:c r="D147" s="36"/>
      <x:c r="E147" s="36"/>
      <x:c r="F147" s="36"/>
      <x:c r="G147" s="36"/>
      <x:c r="H147" s="41"/>
      <x:c r="I147" s="41"/>
      <x:c r="J147" s="41"/>
      <x:c r="K147" s="41"/>
      <x:c r="L147" s="36"/>
      <x:c r="M147" s="42" t="str">
        <x:f>IF(A147="","",IF(COUNTIFS('Lots'!$A$6:$A$105,G147)=1,VLOOKUP(G147,'Lots'!$A$6:$B$105,2,FALSE),"Unknown lot"))</x:f>
      </x:c>
      <x:c r="N147" s="37" t="str">
        <x:f>IF(A147="","",IF(F147="Return",-1,1)*(H147*I147-J147))</x:f>
      </x:c>
      <x:c r="O147" s="37" t="str">
        <x:f>IF(A147="","",IF(F147="Return",-K147,K147))</x:f>
      </x:c>
      <x:c r="P147" s="37" t="str">
        <x:f>IF(A147="","",N147+O147)</x:f>
      </x:c>
      <x:c r="Q147" s="37" t="str">
        <x:f>IF(A147="","",IF(COUNTIFS('Lots'!$A$6:$A$105,G147)=1,VLOOKUP(G147,'Lots'!$A$6:$J$105,10,FALSE),"Unknown lot"))</x:f>
      </x:c>
      <x:c r="R147" s="37" t="str">
        <x:f>IF(A147="","",IF(ISNUMBER(Q147),IF(F147="Return",-1,1)*H147*Q147,"Cost missing"))</x:f>
      </x:c>
      <x:c r="S147" s="37" t="str">
        <x:f>IF(A147="","",IF(ISNUMBER(R147),N147-R147,"Cost missing"))</x:f>
      </x:c>
      <x:c r="T147" s="42" t="str">
        <x:f>IF(A147="","",IF(COUNTIFS($A$6:$A$205,A147)&lt;&gt;1,"Duplicate ID",IF(OR(B147="",D147="",NOT(ISNUMBER(C147)),H147&lt;=0,NOT(ISNUMBER(I147)),I147&lt;0,J147&lt;0,J147&gt;H147*I147,K147&lt;0),"Check sale inputs",IF(NOT(ISNUMBER(Q147)),"Lot/cost incomplete",IF(OR(F147="Sale",F147="Return"),"OK","Type required")))))</x:f>
      </x:c>
    </x:row>
    <x:row r="148" ht="23" customHeight="1">
      <x:c r="A148" s="36"/>
      <x:c r="B148" s="36"/>
      <x:c r="C148" s="40"/>
      <x:c r="D148" s="36"/>
      <x:c r="E148" s="36"/>
      <x:c r="F148" s="36"/>
      <x:c r="G148" s="36"/>
      <x:c r="H148" s="41"/>
      <x:c r="I148" s="41"/>
      <x:c r="J148" s="41"/>
      <x:c r="K148" s="41"/>
      <x:c r="L148" s="36"/>
      <x:c r="M148" s="42" t="str">
        <x:f>IF(A148="","",IF(COUNTIFS('Lots'!$A$6:$A$105,G148)=1,VLOOKUP(G148,'Lots'!$A$6:$B$105,2,FALSE),"Unknown lot"))</x:f>
      </x:c>
      <x:c r="N148" s="37" t="str">
        <x:f>IF(A148="","",IF(F148="Return",-1,1)*(H148*I148-J148))</x:f>
      </x:c>
      <x:c r="O148" s="37" t="str">
        <x:f>IF(A148="","",IF(F148="Return",-K148,K148))</x:f>
      </x:c>
      <x:c r="P148" s="37" t="str">
        <x:f>IF(A148="","",N148+O148)</x:f>
      </x:c>
      <x:c r="Q148" s="37" t="str">
        <x:f>IF(A148="","",IF(COUNTIFS('Lots'!$A$6:$A$105,G148)=1,VLOOKUP(G148,'Lots'!$A$6:$J$105,10,FALSE),"Unknown lot"))</x:f>
      </x:c>
      <x:c r="R148" s="37" t="str">
        <x:f>IF(A148="","",IF(ISNUMBER(Q148),IF(F148="Return",-1,1)*H148*Q148,"Cost missing"))</x:f>
      </x:c>
      <x:c r="S148" s="37" t="str">
        <x:f>IF(A148="","",IF(ISNUMBER(R148),N148-R148,"Cost missing"))</x:f>
      </x:c>
      <x:c r="T148" s="42" t="str">
        <x:f>IF(A148="","",IF(COUNTIFS($A$6:$A$205,A148)&lt;&gt;1,"Duplicate ID",IF(OR(B148="",D148="",NOT(ISNUMBER(C148)),H148&lt;=0,NOT(ISNUMBER(I148)),I148&lt;0,J148&lt;0,J148&gt;H148*I148,K148&lt;0),"Check sale inputs",IF(NOT(ISNUMBER(Q148)),"Lot/cost incomplete",IF(OR(F148="Sale",F148="Return"),"OK","Type required")))))</x:f>
      </x:c>
    </x:row>
    <x:row r="149" ht="23" customHeight="1">
      <x:c r="A149" s="36"/>
      <x:c r="B149" s="36"/>
      <x:c r="C149" s="40"/>
      <x:c r="D149" s="36"/>
      <x:c r="E149" s="36"/>
      <x:c r="F149" s="36"/>
      <x:c r="G149" s="36"/>
      <x:c r="H149" s="41"/>
      <x:c r="I149" s="41"/>
      <x:c r="J149" s="41"/>
      <x:c r="K149" s="41"/>
      <x:c r="L149" s="36"/>
      <x:c r="M149" s="42" t="str">
        <x:f>IF(A149="","",IF(COUNTIFS('Lots'!$A$6:$A$105,G149)=1,VLOOKUP(G149,'Lots'!$A$6:$B$105,2,FALSE),"Unknown lot"))</x:f>
      </x:c>
      <x:c r="N149" s="37" t="str">
        <x:f>IF(A149="","",IF(F149="Return",-1,1)*(H149*I149-J149))</x:f>
      </x:c>
      <x:c r="O149" s="37" t="str">
        <x:f>IF(A149="","",IF(F149="Return",-K149,K149))</x:f>
      </x:c>
      <x:c r="P149" s="37" t="str">
        <x:f>IF(A149="","",N149+O149)</x:f>
      </x:c>
      <x:c r="Q149" s="37" t="str">
        <x:f>IF(A149="","",IF(COUNTIFS('Lots'!$A$6:$A$105,G149)=1,VLOOKUP(G149,'Lots'!$A$6:$J$105,10,FALSE),"Unknown lot"))</x:f>
      </x:c>
      <x:c r="R149" s="37" t="str">
        <x:f>IF(A149="","",IF(ISNUMBER(Q149),IF(F149="Return",-1,1)*H149*Q149,"Cost missing"))</x:f>
      </x:c>
      <x:c r="S149" s="37" t="str">
        <x:f>IF(A149="","",IF(ISNUMBER(R149),N149-R149,"Cost missing"))</x:f>
      </x:c>
      <x:c r="T149" s="42" t="str">
        <x:f>IF(A149="","",IF(COUNTIFS($A$6:$A$205,A149)&lt;&gt;1,"Duplicate ID",IF(OR(B149="",D149="",NOT(ISNUMBER(C149)),H149&lt;=0,NOT(ISNUMBER(I149)),I149&lt;0,J149&lt;0,J149&gt;H149*I149,K149&lt;0),"Check sale inputs",IF(NOT(ISNUMBER(Q149)),"Lot/cost incomplete",IF(OR(F149="Sale",F149="Return"),"OK","Type required")))))</x:f>
      </x:c>
    </x:row>
    <x:row r="150" ht="23" customHeight="1">
      <x:c r="A150" s="36"/>
      <x:c r="B150" s="36"/>
      <x:c r="C150" s="40"/>
      <x:c r="D150" s="36"/>
      <x:c r="E150" s="36"/>
      <x:c r="F150" s="36"/>
      <x:c r="G150" s="36"/>
      <x:c r="H150" s="41"/>
      <x:c r="I150" s="41"/>
      <x:c r="J150" s="41"/>
      <x:c r="K150" s="41"/>
      <x:c r="L150" s="36"/>
      <x:c r="M150" s="42" t="str">
        <x:f>IF(A150="","",IF(COUNTIFS('Lots'!$A$6:$A$105,G150)=1,VLOOKUP(G150,'Lots'!$A$6:$B$105,2,FALSE),"Unknown lot"))</x:f>
      </x:c>
      <x:c r="N150" s="37" t="str">
        <x:f>IF(A150="","",IF(F150="Return",-1,1)*(H150*I150-J150))</x:f>
      </x:c>
      <x:c r="O150" s="37" t="str">
        <x:f>IF(A150="","",IF(F150="Return",-K150,K150))</x:f>
      </x:c>
      <x:c r="P150" s="37" t="str">
        <x:f>IF(A150="","",N150+O150)</x:f>
      </x:c>
      <x:c r="Q150" s="37" t="str">
        <x:f>IF(A150="","",IF(COUNTIFS('Lots'!$A$6:$A$105,G150)=1,VLOOKUP(G150,'Lots'!$A$6:$J$105,10,FALSE),"Unknown lot"))</x:f>
      </x:c>
      <x:c r="R150" s="37" t="str">
        <x:f>IF(A150="","",IF(ISNUMBER(Q150),IF(F150="Return",-1,1)*H150*Q150,"Cost missing"))</x:f>
      </x:c>
      <x:c r="S150" s="37" t="str">
        <x:f>IF(A150="","",IF(ISNUMBER(R150),N150-R150,"Cost missing"))</x:f>
      </x:c>
      <x:c r="T150" s="42" t="str">
        <x:f>IF(A150="","",IF(COUNTIFS($A$6:$A$205,A150)&lt;&gt;1,"Duplicate ID",IF(OR(B150="",D150="",NOT(ISNUMBER(C150)),H150&lt;=0,NOT(ISNUMBER(I150)),I150&lt;0,J150&lt;0,J150&gt;H150*I150,K150&lt;0),"Check sale inputs",IF(NOT(ISNUMBER(Q150)),"Lot/cost incomplete",IF(OR(F150="Sale",F150="Return"),"OK","Type required")))))</x:f>
      </x:c>
    </x:row>
    <x:row r="151" ht="23" customHeight="1">
      <x:c r="A151" s="36"/>
      <x:c r="B151" s="36"/>
      <x:c r="C151" s="40"/>
      <x:c r="D151" s="36"/>
      <x:c r="E151" s="36"/>
      <x:c r="F151" s="36"/>
      <x:c r="G151" s="36"/>
      <x:c r="H151" s="41"/>
      <x:c r="I151" s="41"/>
      <x:c r="J151" s="41"/>
      <x:c r="K151" s="41"/>
      <x:c r="L151" s="36"/>
      <x:c r="M151" s="42" t="str">
        <x:f>IF(A151="","",IF(COUNTIFS('Lots'!$A$6:$A$105,G151)=1,VLOOKUP(G151,'Lots'!$A$6:$B$105,2,FALSE),"Unknown lot"))</x:f>
      </x:c>
      <x:c r="N151" s="37" t="str">
        <x:f>IF(A151="","",IF(F151="Return",-1,1)*(H151*I151-J151))</x:f>
      </x:c>
      <x:c r="O151" s="37" t="str">
        <x:f>IF(A151="","",IF(F151="Return",-K151,K151))</x:f>
      </x:c>
      <x:c r="P151" s="37" t="str">
        <x:f>IF(A151="","",N151+O151)</x:f>
      </x:c>
      <x:c r="Q151" s="37" t="str">
        <x:f>IF(A151="","",IF(COUNTIFS('Lots'!$A$6:$A$105,G151)=1,VLOOKUP(G151,'Lots'!$A$6:$J$105,10,FALSE),"Unknown lot"))</x:f>
      </x:c>
      <x:c r="R151" s="37" t="str">
        <x:f>IF(A151="","",IF(ISNUMBER(Q151),IF(F151="Return",-1,1)*H151*Q151,"Cost missing"))</x:f>
      </x:c>
      <x:c r="S151" s="37" t="str">
        <x:f>IF(A151="","",IF(ISNUMBER(R151),N151-R151,"Cost missing"))</x:f>
      </x:c>
      <x:c r="T151" s="42" t="str">
        <x:f>IF(A151="","",IF(COUNTIFS($A$6:$A$205,A151)&lt;&gt;1,"Duplicate ID",IF(OR(B151="",D151="",NOT(ISNUMBER(C151)),H151&lt;=0,NOT(ISNUMBER(I151)),I151&lt;0,J151&lt;0,J151&gt;H151*I151,K151&lt;0),"Check sale inputs",IF(NOT(ISNUMBER(Q151)),"Lot/cost incomplete",IF(OR(F151="Sale",F151="Return"),"OK","Type required")))))</x:f>
      </x:c>
    </x:row>
    <x:row r="152" ht="23" customHeight="1">
      <x:c r="A152" s="36"/>
      <x:c r="B152" s="36"/>
      <x:c r="C152" s="40"/>
      <x:c r="D152" s="36"/>
      <x:c r="E152" s="36"/>
      <x:c r="F152" s="36"/>
      <x:c r="G152" s="36"/>
      <x:c r="H152" s="41"/>
      <x:c r="I152" s="41"/>
      <x:c r="J152" s="41"/>
      <x:c r="K152" s="41"/>
      <x:c r="L152" s="36"/>
      <x:c r="M152" s="42" t="str">
        <x:f>IF(A152="","",IF(COUNTIFS('Lots'!$A$6:$A$105,G152)=1,VLOOKUP(G152,'Lots'!$A$6:$B$105,2,FALSE),"Unknown lot"))</x:f>
      </x:c>
      <x:c r="N152" s="37" t="str">
        <x:f>IF(A152="","",IF(F152="Return",-1,1)*(H152*I152-J152))</x:f>
      </x:c>
      <x:c r="O152" s="37" t="str">
        <x:f>IF(A152="","",IF(F152="Return",-K152,K152))</x:f>
      </x:c>
      <x:c r="P152" s="37" t="str">
        <x:f>IF(A152="","",N152+O152)</x:f>
      </x:c>
      <x:c r="Q152" s="37" t="str">
        <x:f>IF(A152="","",IF(COUNTIFS('Lots'!$A$6:$A$105,G152)=1,VLOOKUP(G152,'Lots'!$A$6:$J$105,10,FALSE),"Unknown lot"))</x:f>
      </x:c>
      <x:c r="R152" s="37" t="str">
        <x:f>IF(A152="","",IF(ISNUMBER(Q152),IF(F152="Return",-1,1)*H152*Q152,"Cost missing"))</x:f>
      </x:c>
      <x:c r="S152" s="37" t="str">
        <x:f>IF(A152="","",IF(ISNUMBER(R152),N152-R152,"Cost missing"))</x:f>
      </x:c>
      <x:c r="T152" s="42" t="str">
        <x:f>IF(A152="","",IF(COUNTIFS($A$6:$A$205,A152)&lt;&gt;1,"Duplicate ID",IF(OR(B152="",D152="",NOT(ISNUMBER(C152)),H152&lt;=0,NOT(ISNUMBER(I152)),I152&lt;0,J152&lt;0,J152&gt;H152*I152,K152&lt;0),"Check sale inputs",IF(NOT(ISNUMBER(Q152)),"Lot/cost incomplete",IF(OR(F152="Sale",F152="Return"),"OK","Type required")))))</x:f>
      </x:c>
    </x:row>
    <x:row r="153" ht="23" customHeight="1">
      <x:c r="A153" s="36"/>
      <x:c r="B153" s="36"/>
      <x:c r="C153" s="40"/>
      <x:c r="D153" s="36"/>
      <x:c r="E153" s="36"/>
      <x:c r="F153" s="36"/>
      <x:c r="G153" s="36"/>
      <x:c r="H153" s="41"/>
      <x:c r="I153" s="41"/>
      <x:c r="J153" s="41"/>
      <x:c r="K153" s="41"/>
      <x:c r="L153" s="36"/>
      <x:c r="M153" s="42" t="str">
        <x:f>IF(A153="","",IF(COUNTIFS('Lots'!$A$6:$A$105,G153)=1,VLOOKUP(G153,'Lots'!$A$6:$B$105,2,FALSE),"Unknown lot"))</x:f>
      </x:c>
      <x:c r="N153" s="37" t="str">
        <x:f>IF(A153="","",IF(F153="Return",-1,1)*(H153*I153-J153))</x:f>
      </x:c>
      <x:c r="O153" s="37" t="str">
        <x:f>IF(A153="","",IF(F153="Return",-K153,K153))</x:f>
      </x:c>
      <x:c r="P153" s="37" t="str">
        <x:f>IF(A153="","",N153+O153)</x:f>
      </x:c>
      <x:c r="Q153" s="37" t="str">
        <x:f>IF(A153="","",IF(COUNTIFS('Lots'!$A$6:$A$105,G153)=1,VLOOKUP(G153,'Lots'!$A$6:$J$105,10,FALSE),"Unknown lot"))</x:f>
      </x:c>
      <x:c r="R153" s="37" t="str">
        <x:f>IF(A153="","",IF(ISNUMBER(Q153),IF(F153="Return",-1,1)*H153*Q153,"Cost missing"))</x:f>
      </x:c>
      <x:c r="S153" s="37" t="str">
        <x:f>IF(A153="","",IF(ISNUMBER(R153),N153-R153,"Cost missing"))</x:f>
      </x:c>
      <x:c r="T153" s="42" t="str">
        <x:f>IF(A153="","",IF(COUNTIFS($A$6:$A$205,A153)&lt;&gt;1,"Duplicate ID",IF(OR(B153="",D153="",NOT(ISNUMBER(C153)),H153&lt;=0,NOT(ISNUMBER(I153)),I153&lt;0,J153&lt;0,J153&gt;H153*I153,K153&lt;0),"Check sale inputs",IF(NOT(ISNUMBER(Q153)),"Lot/cost incomplete",IF(OR(F153="Sale",F153="Return"),"OK","Type required")))))</x:f>
      </x:c>
    </x:row>
    <x:row r="154" ht="23" customHeight="1">
      <x:c r="A154" s="36"/>
      <x:c r="B154" s="36"/>
      <x:c r="C154" s="40"/>
      <x:c r="D154" s="36"/>
      <x:c r="E154" s="36"/>
      <x:c r="F154" s="36"/>
      <x:c r="G154" s="36"/>
      <x:c r="H154" s="41"/>
      <x:c r="I154" s="41"/>
      <x:c r="J154" s="41"/>
      <x:c r="K154" s="41"/>
      <x:c r="L154" s="36"/>
      <x:c r="M154" s="42" t="str">
        <x:f>IF(A154="","",IF(COUNTIFS('Lots'!$A$6:$A$105,G154)=1,VLOOKUP(G154,'Lots'!$A$6:$B$105,2,FALSE),"Unknown lot"))</x:f>
      </x:c>
      <x:c r="N154" s="37" t="str">
        <x:f>IF(A154="","",IF(F154="Return",-1,1)*(H154*I154-J154))</x:f>
      </x:c>
      <x:c r="O154" s="37" t="str">
        <x:f>IF(A154="","",IF(F154="Return",-K154,K154))</x:f>
      </x:c>
      <x:c r="P154" s="37" t="str">
        <x:f>IF(A154="","",N154+O154)</x:f>
      </x:c>
      <x:c r="Q154" s="37" t="str">
        <x:f>IF(A154="","",IF(COUNTIFS('Lots'!$A$6:$A$105,G154)=1,VLOOKUP(G154,'Lots'!$A$6:$J$105,10,FALSE),"Unknown lot"))</x:f>
      </x:c>
      <x:c r="R154" s="37" t="str">
        <x:f>IF(A154="","",IF(ISNUMBER(Q154),IF(F154="Return",-1,1)*H154*Q154,"Cost missing"))</x:f>
      </x:c>
      <x:c r="S154" s="37" t="str">
        <x:f>IF(A154="","",IF(ISNUMBER(R154),N154-R154,"Cost missing"))</x:f>
      </x:c>
      <x:c r="T154" s="42" t="str">
        <x:f>IF(A154="","",IF(COUNTIFS($A$6:$A$205,A154)&lt;&gt;1,"Duplicate ID",IF(OR(B154="",D154="",NOT(ISNUMBER(C154)),H154&lt;=0,NOT(ISNUMBER(I154)),I154&lt;0,J154&lt;0,J154&gt;H154*I154,K154&lt;0),"Check sale inputs",IF(NOT(ISNUMBER(Q154)),"Lot/cost incomplete",IF(OR(F154="Sale",F154="Return"),"OK","Type required")))))</x:f>
      </x:c>
    </x:row>
    <x:row r="155" ht="23" customHeight="1">
      <x:c r="A155" s="36"/>
      <x:c r="B155" s="36"/>
      <x:c r="C155" s="40"/>
      <x:c r="D155" s="36"/>
      <x:c r="E155" s="36"/>
      <x:c r="F155" s="36"/>
      <x:c r="G155" s="36"/>
      <x:c r="H155" s="41"/>
      <x:c r="I155" s="41"/>
      <x:c r="J155" s="41"/>
      <x:c r="K155" s="41"/>
      <x:c r="L155" s="36"/>
      <x:c r="M155" s="42" t="str">
        <x:f>IF(A155="","",IF(COUNTIFS('Lots'!$A$6:$A$105,G155)=1,VLOOKUP(G155,'Lots'!$A$6:$B$105,2,FALSE),"Unknown lot"))</x:f>
      </x:c>
      <x:c r="N155" s="37" t="str">
        <x:f>IF(A155="","",IF(F155="Return",-1,1)*(H155*I155-J155))</x:f>
      </x:c>
      <x:c r="O155" s="37" t="str">
        <x:f>IF(A155="","",IF(F155="Return",-K155,K155))</x:f>
      </x:c>
      <x:c r="P155" s="37" t="str">
        <x:f>IF(A155="","",N155+O155)</x:f>
      </x:c>
      <x:c r="Q155" s="37" t="str">
        <x:f>IF(A155="","",IF(COUNTIFS('Lots'!$A$6:$A$105,G155)=1,VLOOKUP(G155,'Lots'!$A$6:$J$105,10,FALSE),"Unknown lot"))</x:f>
      </x:c>
      <x:c r="R155" s="37" t="str">
        <x:f>IF(A155="","",IF(ISNUMBER(Q155),IF(F155="Return",-1,1)*H155*Q155,"Cost missing"))</x:f>
      </x:c>
      <x:c r="S155" s="37" t="str">
        <x:f>IF(A155="","",IF(ISNUMBER(R155),N155-R155,"Cost missing"))</x:f>
      </x:c>
      <x:c r="T155" s="42" t="str">
        <x:f>IF(A155="","",IF(COUNTIFS($A$6:$A$205,A155)&lt;&gt;1,"Duplicate ID",IF(OR(B155="",D155="",NOT(ISNUMBER(C155)),H155&lt;=0,NOT(ISNUMBER(I155)),I155&lt;0,J155&lt;0,J155&gt;H155*I155,K155&lt;0),"Check sale inputs",IF(NOT(ISNUMBER(Q155)),"Lot/cost incomplete",IF(OR(F155="Sale",F155="Return"),"OK","Type required")))))</x:f>
      </x:c>
    </x:row>
    <x:row r="156" ht="23" customHeight="1">
      <x:c r="A156" s="36"/>
      <x:c r="B156" s="36"/>
      <x:c r="C156" s="40"/>
      <x:c r="D156" s="36"/>
      <x:c r="E156" s="36"/>
      <x:c r="F156" s="36"/>
      <x:c r="G156" s="36"/>
      <x:c r="H156" s="41"/>
      <x:c r="I156" s="41"/>
      <x:c r="J156" s="41"/>
      <x:c r="K156" s="41"/>
      <x:c r="L156" s="36"/>
      <x:c r="M156" s="42" t="str">
        <x:f>IF(A156="","",IF(COUNTIFS('Lots'!$A$6:$A$105,G156)=1,VLOOKUP(G156,'Lots'!$A$6:$B$105,2,FALSE),"Unknown lot"))</x:f>
      </x:c>
      <x:c r="N156" s="37" t="str">
        <x:f>IF(A156="","",IF(F156="Return",-1,1)*(H156*I156-J156))</x:f>
      </x:c>
      <x:c r="O156" s="37" t="str">
        <x:f>IF(A156="","",IF(F156="Return",-K156,K156))</x:f>
      </x:c>
      <x:c r="P156" s="37" t="str">
        <x:f>IF(A156="","",N156+O156)</x:f>
      </x:c>
      <x:c r="Q156" s="37" t="str">
        <x:f>IF(A156="","",IF(COUNTIFS('Lots'!$A$6:$A$105,G156)=1,VLOOKUP(G156,'Lots'!$A$6:$J$105,10,FALSE),"Unknown lot"))</x:f>
      </x:c>
      <x:c r="R156" s="37" t="str">
        <x:f>IF(A156="","",IF(ISNUMBER(Q156),IF(F156="Return",-1,1)*H156*Q156,"Cost missing"))</x:f>
      </x:c>
      <x:c r="S156" s="37" t="str">
        <x:f>IF(A156="","",IF(ISNUMBER(R156),N156-R156,"Cost missing"))</x:f>
      </x:c>
      <x:c r="T156" s="42" t="str">
        <x:f>IF(A156="","",IF(COUNTIFS($A$6:$A$205,A156)&lt;&gt;1,"Duplicate ID",IF(OR(B156="",D156="",NOT(ISNUMBER(C156)),H156&lt;=0,NOT(ISNUMBER(I156)),I156&lt;0,J156&lt;0,J156&gt;H156*I156,K156&lt;0),"Check sale inputs",IF(NOT(ISNUMBER(Q156)),"Lot/cost incomplete",IF(OR(F156="Sale",F156="Return"),"OK","Type required")))))</x:f>
      </x:c>
    </x:row>
    <x:row r="157" ht="23" customHeight="1">
      <x:c r="A157" s="36"/>
      <x:c r="B157" s="36"/>
      <x:c r="C157" s="40"/>
      <x:c r="D157" s="36"/>
      <x:c r="E157" s="36"/>
      <x:c r="F157" s="36"/>
      <x:c r="G157" s="36"/>
      <x:c r="H157" s="41"/>
      <x:c r="I157" s="41"/>
      <x:c r="J157" s="41"/>
      <x:c r="K157" s="41"/>
      <x:c r="L157" s="36"/>
      <x:c r="M157" s="42" t="str">
        <x:f>IF(A157="","",IF(COUNTIFS('Lots'!$A$6:$A$105,G157)=1,VLOOKUP(G157,'Lots'!$A$6:$B$105,2,FALSE),"Unknown lot"))</x:f>
      </x:c>
      <x:c r="N157" s="37" t="str">
        <x:f>IF(A157="","",IF(F157="Return",-1,1)*(H157*I157-J157))</x:f>
      </x:c>
      <x:c r="O157" s="37" t="str">
        <x:f>IF(A157="","",IF(F157="Return",-K157,K157))</x:f>
      </x:c>
      <x:c r="P157" s="37" t="str">
        <x:f>IF(A157="","",N157+O157)</x:f>
      </x:c>
      <x:c r="Q157" s="37" t="str">
        <x:f>IF(A157="","",IF(COUNTIFS('Lots'!$A$6:$A$105,G157)=1,VLOOKUP(G157,'Lots'!$A$6:$J$105,10,FALSE),"Unknown lot"))</x:f>
      </x:c>
      <x:c r="R157" s="37" t="str">
        <x:f>IF(A157="","",IF(ISNUMBER(Q157),IF(F157="Return",-1,1)*H157*Q157,"Cost missing"))</x:f>
      </x:c>
      <x:c r="S157" s="37" t="str">
        <x:f>IF(A157="","",IF(ISNUMBER(R157),N157-R157,"Cost missing"))</x:f>
      </x:c>
      <x:c r="T157" s="42" t="str">
        <x:f>IF(A157="","",IF(COUNTIFS($A$6:$A$205,A157)&lt;&gt;1,"Duplicate ID",IF(OR(B157="",D157="",NOT(ISNUMBER(C157)),H157&lt;=0,NOT(ISNUMBER(I157)),I157&lt;0,J157&lt;0,J157&gt;H157*I157,K157&lt;0),"Check sale inputs",IF(NOT(ISNUMBER(Q157)),"Lot/cost incomplete",IF(OR(F157="Sale",F157="Return"),"OK","Type required")))))</x:f>
      </x:c>
    </x:row>
    <x:row r="158" ht="23" customHeight="1">
      <x:c r="A158" s="36"/>
      <x:c r="B158" s="36"/>
      <x:c r="C158" s="40"/>
      <x:c r="D158" s="36"/>
      <x:c r="E158" s="36"/>
      <x:c r="F158" s="36"/>
      <x:c r="G158" s="36"/>
      <x:c r="H158" s="41"/>
      <x:c r="I158" s="41"/>
      <x:c r="J158" s="41"/>
      <x:c r="K158" s="41"/>
      <x:c r="L158" s="36"/>
      <x:c r="M158" s="42" t="str">
        <x:f>IF(A158="","",IF(COUNTIFS('Lots'!$A$6:$A$105,G158)=1,VLOOKUP(G158,'Lots'!$A$6:$B$105,2,FALSE),"Unknown lot"))</x:f>
      </x:c>
      <x:c r="N158" s="37" t="str">
        <x:f>IF(A158="","",IF(F158="Return",-1,1)*(H158*I158-J158))</x:f>
      </x:c>
      <x:c r="O158" s="37" t="str">
        <x:f>IF(A158="","",IF(F158="Return",-K158,K158))</x:f>
      </x:c>
      <x:c r="P158" s="37" t="str">
        <x:f>IF(A158="","",N158+O158)</x:f>
      </x:c>
      <x:c r="Q158" s="37" t="str">
        <x:f>IF(A158="","",IF(COUNTIFS('Lots'!$A$6:$A$105,G158)=1,VLOOKUP(G158,'Lots'!$A$6:$J$105,10,FALSE),"Unknown lot"))</x:f>
      </x:c>
      <x:c r="R158" s="37" t="str">
        <x:f>IF(A158="","",IF(ISNUMBER(Q158),IF(F158="Return",-1,1)*H158*Q158,"Cost missing"))</x:f>
      </x:c>
      <x:c r="S158" s="37" t="str">
        <x:f>IF(A158="","",IF(ISNUMBER(R158),N158-R158,"Cost missing"))</x:f>
      </x:c>
      <x:c r="T158" s="42" t="str">
        <x:f>IF(A158="","",IF(COUNTIFS($A$6:$A$205,A158)&lt;&gt;1,"Duplicate ID",IF(OR(B158="",D158="",NOT(ISNUMBER(C158)),H158&lt;=0,NOT(ISNUMBER(I158)),I158&lt;0,J158&lt;0,J158&gt;H158*I158,K158&lt;0),"Check sale inputs",IF(NOT(ISNUMBER(Q158)),"Lot/cost incomplete",IF(OR(F158="Sale",F158="Return"),"OK","Type required")))))</x:f>
      </x:c>
    </x:row>
    <x:row r="159" ht="23" customHeight="1">
      <x:c r="A159" s="36"/>
      <x:c r="B159" s="36"/>
      <x:c r="C159" s="40"/>
      <x:c r="D159" s="36"/>
      <x:c r="E159" s="36"/>
      <x:c r="F159" s="36"/>
      <x:c r="G159" s="36"/>
      <x:c r="H159" s="41"/>
      <x:c r="I159" s="41"/>
      <x:c r="J159" s="41"/>
      <x:c r="K159" s="41"/>
      <x:c r="L159" s="36"/>
      <x:c r="M159" s="42" t="str">
        <x:f>IF(A159="","",IF(COUNTIFS('Lots'!$A$6:$A$105,G159)=1,VLOOKUP(G159,'Lots'!$A$6:$B$105,2,FALSE),"Unknown lot"))</x:f>
      </x:c>
      <x:c r="N159" s="37" t="str">
        <x:f>IF(A159="","",IF(F159="Return",-1,1)*(H159*I159-J159))</x:f>
      </x:c>
      <x:c r="O159" s="37" t="str">
        <x:f>IF(A159="","",IF(F159="Return",-K159,K159))</x:f>
      </x:c>
      <x:c r="P159" s="37" t="str">
        <x:f>IF(A159="","",N159+O159)</x:f>
      </x:c>
      <x:c r="Q159" s="37" t="str">
        <x:f>IF(A159="","",IF(COUNTIFS('Lots'!$A$6:$A$105,G159)=1,VLOOKUP(G159,'Lots'!$A$6:$J$105,10,FALSE),"Unknown lot"))</x:f>
      </x:c>
      <x:c r="R159" s="37" t="str">
        <x:f>IF(A159="","",IF(ISNUMBER(Q159),IF(F159="Return",-1,1)*H159*Q159,"Cost missing"))</x:f>
      </x:c>
      <x:c r="S159" s="37" t="str">
        <x:f>IF(A159="","",IF(ISNUMBER(R159),N159-R159,"Cost missing"))</x:f>
      </x:c>
      <x:c r="T159" s="42" t="str">
        <x:f>IF(A159="","",IF(COUNTIFS($A$6:$A$205,A159)&lt;&gt;1,"Duplicate ID",IF(OR(B159="",D159="",NOT(ISNUMBER(C159)),H159&lt;=0,NOT(ISNUMBER(I159)),I159&lt;0,J159&lt;0,J159&gt;H159*I159,K159&lt;0),"Check sale inputs",IF(NOT(ISNUMBER(Q159)),"Lot/cost incomplete",IF(OR(F159="Sale",F159="Return"),"OK","Type required")))))</x:f>
      </x:c>
    </x:row>
    <x:row r="160" ht="23" customHeight="1">
      <x:c r="A160" s="36"/>
      <x:c r="B160" s="36"/>
      <x:c r="C160" s="40"/>
      <x:c r="D160" s="36"/>
      <x:c r="E160" s="36"/>
      <x:c r="F160" s="36"/>
      <x:c r="G160" s="36"/>
      <x:c r="H160" s="41"/>
      <x:c r="I160" s="41"/>
      <x:c r="J160" s="41"/>
      <x:c r="K160" s="41"/>
      <x:c r="L160" s="36"/>
      <x:c r="M160" s="42" t="str">
        <x:f>IF(A160="","",IF(COUNTIFS('Lots'!$A$6:$A$105,G160)=1,VLOOKUP(G160,'Lots'!$A$6:$B$105,2,FALSE),"Unknown lot"))</x:f>
      </x:c>
      <x:c r="N160" s="37" t="str">
        <x:f>IF(A160="","",IF(F160="Return",-1,1)*(H160*I160-J160))</x:f>
      </x:c>
      <x:c r="O160" s="37" t="str">
        <x:f>IF(A160="","",IF(F160="Return",-K160,K160))</x:f>
      </x:c>
      <x:c r="P160" s="37" t="str">
        <x:f>IF(A160="","",N160+O160)</x:f>
      </x:c>
      <x:c r="Q160" s="37" t="str">
        <x:f>IF(A160="","",IF(COUNTIFS('Lots'!$A$6:$A$105,G160)=1,VLOOKUP(G160,'Lots'!$A$6:$J$105,10,FALSE),"Unknown lot"))</x:f>
      </x:c>
      <x:c r="R160" s="37" t="str">
        <x:f>IF(A160="","",IF(ISNUMBER(Q160),IF(F160="Return",-1,1)*H160*Q160,"Cost missing"))</x:f>
      </x:c>
      <x:c r="S160" s="37" t="str">
        <x:f>IF(A160="","",IF(ISNUMBER(R160),N160-R160,"Cost missing"))</x:f>
      </x:c>
      <x:c r="T160" s="42" t="str">
        <x:f>IF(A160="","",IF(COUNTIFS($A$6:$A$205,A160)&lt;&gt;1,"Duplicate ID",IF(OR(B160="",D160="",NOT(ISNUMBER(C160)),H160&lt;=0,NOT(ISNUMBER(I160)),I160&lt;0,J160&lt;0,J160&gt;H160*I160,K160&lt;0),"Check sale inputs",IF(NOT(ISNUMBER(Q160)),"Lot/cost incomplete",IF(OR(F160="Sale",F160="Return"),"OK","Type required")))))</x:f>
      </x:c>
    </x:row>
    <x:row r="161" ht="23" customHeight="1">
      <x:c r="A161" s="36"/>
      <x:c r="B161" s="36"/>
      <x:c r="C161" s="40"/>
      <x:c r="D161" s="36"/>
      <x:c r="E161" s="36"/>
      <x:c r="F161" s="36"/>
      <x:c r="G161" s="36"/>
      <x:c r="H161" s="41"/>
      <x:c r="I161" s="41"/>
      <x:c r="J161" s="41"/>
      <x:c r="K161" s="41"/>
      <x:c r="L161" s="36"/>
      <x:c r="M161" s="42" t="str">
        <x:f>IF(A161="","",IF(COUNTIFS('Lots'!$A$6:$A$105,G161)=1,VLOOKUP(G161,'Lots'!$A$6:$B$105,2,FALSE),"Unknown lot"))</x:f>
      </x:c>
      <x:c r="N161" s="37" t="str">
        <x:f>IF(A161="","",IF(F161="Return",-1,1)*(H161*I161-J161))</x:f>
      </x:c>
      <x:c r="O161" s="37" t="str">
        <x:f>IF(A161="","",IF(F161="Return",-K161,K161))</x:f>
      </x:c>
      <x:c r="P161" s="37" t="str">
        <x:f>IF(A161="","",N161+O161)</x:f>
      </x:c>
      <x:c r="Q161" s="37" t="str">
        <x:f>IF(A161="","",IF(COUNTIFS('Lots'!$A$6:$A$105,G161)=1,VLOOKUP(G161,'Lots'!$A$6:$J$105,10,FALSE),"Unknown lot"))</x:f>
      </x:c>
      <x:c r="R161" s="37" t="str">
        <x:f>IF(A161="","",IF(ISNUMBER(Q161),IF(F161="Return",-1,1)*H161*Q161,"Cost missing"))</x:f>
      </x:c>
      <x:c r="S161" s="37" t="str">
        <x:f>IF(A161="","",IF(ISNUMBER(R161),N161-R161,"Cost missing"))</x:f>
      </x:c>
      <x:c r="T161" s="42" t="str">
        <x:f>IF(A161="","",IF(COUNTIFS($A$6:$A$205,A161)&lt;&gt;1,"Duplicate ID",IF(OR(B161="",D161="",NOT(ISNUMBER(C161)),H161&lt;=0,NOT(ISNUMBER(I161)),I161&lt;0,J161&lt;0,J161&gt;H161*I161,K161&lt;0),"Check sale inputs",IF(NOT(ISNUMBER(Q161)),"Lot/cost incomplete",IF(OR(F161="Sale",F161="Return"),"OK","Type required")))))</x:f>
      </x:c>
    </x:row>
    <x:row r="162" ht="23" customHeight="1">
      <x:c r="A162" s="36"/>
      <x:c r="B162" s="36"/>
      <x:c r="C162" s="40"/>
      <x:c r="D162" s="36"/>
      <x:c r="E162" s="36"/>
      <x:c r="F162" s="36"/>
      <x:c r="G162" s="36"/>
      <x:c r="H162" s="41"/>
      <x:c r="I162" s="41"/>
      <x:c r="J162" s="41"/>
      <x:c r="K162" s="41"/>
      <x:c r="L162" s="36"/>
      <x:c r="M162" s="42" t="str">
        <x:f>IF(A162="","",IF(COUNTIFS('Lots'!$A$6:$A$105,G162)=1,VLOOKUP(G162,'Lots'!$A$6:$B$105,2,FALSE),"Unknown lot"))</x:f>
      </x:c>
      <x:c r="N162" s="37" t="str">
        <x:f>IF(A162="","",IF(F162="Return",-1,1)*(H162*I162-J162))</x:f>
      </x:c>
      <x:c r="O162" s="37" t="str">
        <x:f>IF(A162="","",IF(F162="Return",-K162,K162))</x:f>
      </x:c>
      <x:c r="P162" s="37" t="str">
        <x:f>IF(A162="","",N162+O162)</x:f>
      </x:c>
      <x:c r="Q162" s="37" t="str">
        <x:f>IF(A162="","",IF(COUNTIFS('Lots'!$A$6:$A$105,G162)=1,VLOOKUP(G162,'Lots'!$A$6:$J$105,10,FALSE),"Unknown lot"))</x:f>
      </x:c>
      <x:c r="R162" s="37" t="str">
        <x:f>IF(A162="","",IF(ISNUMBER(Q162),IF(F162="Return",-1,1)*H162*Q162,"Cost missing"))</x:f>
      </x:c>
      <x:c r="S162" s="37" t="str">
        <x:f>IF(A162="","",IF(ISNUMBER(R162),N162-R162,"Cost missing"))</x:f>
      </x:c>
      <x:c r="T162" s="42" t="str">
        <x:f>IF(A162="","",IF(COUNTIFS($A$6:$A$205,A162)&lt;&gt;1,"Duplicate ID",IF(OR(B162="",D162="",NOT(ISNUMBER(C162)),H162&lt;=0,NOT(ISNUMBER(I162)),I162&lt;0,J162&lt;0,J162&gt;H162*I162,K162&lt;0),"Check sale inputs",IF(NOT(ISNUMBER(Q162)),"Lot/cost incomplete",IF(OR(F162="Sale",F162="Return"),"OK","Type required")))))</x:f>
      </x:c>
    </x:row>
    <x:row r="163" ht="23" customHeight="1">
      <x:c r="A163" s="36"/>
      <x:c r="B163" s="36"/>
      <x:c r="C163" s="40"/>
      <x:c r="D163" s="36"/>
      <x:c r="E163" s="36"/>
      <x:c r="F163" s="36"/>
      <x:c r="G163" s="36"/>
      <x:c r="H163" s="41"/>
      <x:c r="I163" s="41"/>
      <x:c r="J163" s="41"/>
      <x:c r="K163" s="41"/>
      <x:c r="L163" s="36"/>
      <x:c r="M163" s="42" t="str">
        <x:f>IF(A163="","",IF(COUNTIFS('Lots'!$A$6:$A$105,G163)=1,VLOOKUP(G163,'Lots'!$A$6:$B$105,2,FALSE),"Unknown lot"))</x:f>
      </x:c>
      <x:c r="N163" s="37" t="str">
        <x:f>IF(A163="","",IF(F163="Return",-1,1)*(H163*I163-J163))</x:f>
      </x:c>
      <x:c r="O163" s="37" t="str">
        <x:f>IF(A163="","",IF(F163="Return",-K163,K163))</x:f>
      </x:c>
      <x:c r="P163" s="37" t="str">
        <x:f>IF(A163="","",N163+O163)</x:f>
      </x:c>
      <x:c r="Q163" s="37" t="str">
        <x:f>IF(A163="","",IF(COUNTIFS('Lots'!$A$6:$A$105,G163)=1,VLOOKUP(G163,'Lots'!$A$6:$J$105,10,FALSE),"Unknown lot"))</x:f>
      </x:c>
      <x:c r="R163" s="37" t="str">
        <x:f>IF(A163="","",IF(ISNUMBER(Q163),IF(F163="Return",-1,1)*H163*Q163,"Cost missing"))</x:f>
      </x:c>
      <x:c r="S163" s="37" t="str">
        <x:f>IF(A163="","",IF(ISNUMBER(R163),N163-R163,"Cost missing"))</x:f>
      </x:c>
      <x:c r="T163" s="42" t="str">
        <x:f>IF(A163="","",IF(COUNTIFS($A$6:$A$205,A163)&lt;&gt;1,"Duplicate ID",IF(OR(B163="",D163="",NOT(ISNUMBER(C163)),H163&lt;=0,NOT(ISNUMBER(I163)),I163&lt;0,J163&lt;0,J163&gt;H163*I163,K163&lt;0),"Check sale inputs",IF(NOT(ISNUMBER(Q163)),"Lot/cost incomplete",IF(OR(F163="Sale",F163="Return"),"OK","Type required")))))</x:f>
      </x:c>
    </x:row>
    <x:row r="164" ht="23" customHeight="1">
      <x:c r="A164" s="36"/>
      <x:c r="B164" s="36"/>
      <x:c r="C164" s="40"/>
      <x:c r="D164" s="36"/>
      <x:c r="E164" s="36"/>
      <x:c r="F164" s="36"/>
      <x:c r="G164" s="36"/>
      <x:c r="H164" s="41"/>
      <x:c r="I164" s="41"/>
      <x:c r="J164" s="41"/>
      <x:c r="K164" s="41"/>
      <x:c r="L164" s="36"/>
      <x:c r="M164" s="42" t="str">
        <x:f>IF(A164="","",IF(COUNTIFS('Lots'!$A$6:$A$105,G164)=1,VLOOKUP(G164,'Lots'!$A$6:$B$105,2,FALSE),"Unknown lot"))</x:f>
      </x:c>
      <x:c r="N164" s="37" t="str">
        <x:f>IF(A164="","",IF(F164="Return",-1,1)*(H164*I164-J164))</x:f>
      </x:c>
      <x:c r="O164" s="37" t="str">
        <x:f>IF(A164="","",IF(F164="Return",-K164,K164))</x:f>
      </x:c>
      <x:c r="P164" s="37" t="str">
        <x:f>IF(A164="","",N164+O164)</x:f>
      </x:c>
      <x:c r="Q164" s="37" t="str">
        <x:f>IF(A164="","",IF(COUNTIFS('Lots'!$A$6:$A$105,G164)=1,VLOOKUP(G164,'Lots'!$A$6:$J$105,10,FALSE),"Unknown lot"))</x:f>
      </x:c>
      <x:c r="R164" s="37" t="str">
        <x:f>IF(A164="","",IF(ISNUMBER(Q164),IF(F164="Return",-1,1)*H164*Q164,"Cost missing"))</x:f>
      </x:c>
      <x:c r="S164" s="37" t="str">
        <x:f>IF(A164="","",IF(ISNUMBER(R164),N164-R164,"Cost missing"))</x:f>
      </x:c>
      <x:c r="T164" s="42" t="str">
        <x:f>IF(A164="","",IF(COUNTIFS($A$6:$A$205,A164)&lt;&gt;1,"Duplicate ID",IF(OR(B164="",D164="",NOT(ISNUMBER(C164)),H164&lt;=0,NOT(ISNUMBER(I164)),I164&lt;0,J164&lt;0,J164&gt;H164*I164,K164&lt;0),"Check sale inputs",IF(NOT(ISNUMBER(Q164)),"Lot/cost incomplete",IF(OR(F164="Sale",F164="Return"),"OK","Type required")))))</x:f>
      </x:c>
    </x:row>
    <x:row r="165" ht="23" customHeight="1">
      <x:c r="A165" s="36"/>
      <x:c r="B165" s="36"/>
      <x:c r="C165" s="40"/>
      <x:c r="D165" s="36"/>
      <x:c r="E165" s="36"/>
      <x:c r="F165" s="36"/>
      <x:c r="G165" s="36"/>
      <x:c r="H165" s="41"/>
      <x:c r="I165" s="41"/>
      <x:c r="J165" s="41"/>
      <x:c r="K165" s="41"/>
      <x:c r="L165" s="36"/>
      <x:c r="M165" s="42" t="str">
        <x:f>IF(A165="","",IF(COUNTIFS('Lots'!$A$6:$A$105,G165)=1,VLOOKUP(G165,'Lots'!$A$6:$B$105,2,FALSE),"Unknown lot"))</x:f>
      </x:c>
      <x:c r="N165" s="37" t="str">
        <x:f>IF(A165="","",IF(F165="Return",-1,1)*(H165*I165-J165))</x:f>
      </x:c>
      <x:c r="O165" s="37" t="str">
        <x:f>IF(A165="","",IF(F165="Return",-K165,K165))</x:f>
      </x:c>
      <x:c r="P165" s="37" t="str">
        <x:f>IF(A165="","",N165+O165)</x:f>
      </x:c>
      <x:c r="Q165" s="37" t="str">
        <x:f>IF(A165="","",IF(COUNTIFS('Lots'!$A$6:$A$105,G165)=1,VLOOKUP(G165,'Lots'!$A$6:$J$105,10,FALSE),"Unknown lot"))</x:f>
      </x:c>
      <x:c r="R165" s="37" t="str">
        <x:f>IF(A165="","",IF(ISNUMBER(Q165),IF(F165="Return",-1,1)*H165*Q165,"Cost missing"))</x:f>
      </x:c>
      <x:c r="S165" s="37" t="str">
        <x:f>IF(A165="","",IF(ISNUMBER(R165),N165-R165,"Cost missing"))</x:f>
      </x:c>
      <x:c r="T165" s="42" t="str">
        <x:f>IF(A165="","",IF(COUNTIFS($A$6:$A$205,A165)&lt;&gt;1,"Duplicate ID",IF(OR(B165="",D165="",NOT(ISNUMBER(C165)),H165&lt;=0,NOT(ISNUMBER(I165)),I165&lt;0,J165&lt;0,J165&gt;H165*I165,K165&lt;0),"Check sale inputs",IF(NOT(ISNUMBER(Q165)),"Lot/cost incomplete",IF(OR(F165="Sale",F165="Return"),"OK","Type required")))))</x:f>
      </x:c>
    </x:row>
    <x:row r="166" ht="23" customHeight="1">
      <x:c r="A166" s="36"/>
      <x:c r="B166" s="36"/>
      <x:c r="C166" s="40"/>
      <x:c r="D166" s="36"/>
      <x:c r="E166" s="36"/>
      <x:c r="F166" s="36"/>
      <x:c r="G166" s="36"/>
      <x:c r="H166" s="41"/>
      <x:c r="I166" s="41"/>
      <x:c r="J166" s="41"/>
      <x:c r="K166" s="41"/>
      <x:c r="L166" s="36"/>
      <x:c r="M166" s="42" t="str">
        <x:f>IF(A166="","",IF(COUNTIFS('Lots'!$A$6:$A$105,G166)=1,VLOOKUP(G166,'Lots'!$A$6:$B$105,2,FALSE),"Unknown lot"))</x:f>
      </x:c>
      <x:c r="N166" s="37" t="str">
        <x:f>IF(A166="","",IF(F166="Return",-1,1)*(H166*I166-J166))</x:f>
      </x:c>
      <x:c r="O166" s="37" t="str">
        <x:f>IF(A166="","",IF(F166="Return",-K166,K166))</x:f>
      </x:c>
      <x:c r="P166" s="37" t="str">
        <x:f>IF(A166="","",N166+O166)</x:f>
      </x:c>
      <x:c r="Q166" s="37" t="str">
        <x:f>IF(A166="","",IF(COUNTIFS('Lots'!$A$6:$A$105,G166)=1,VLOOKUP(G166,'Lots'!$A$6:$J$105,10,FALSE),"Unknown lot"))</x:f>
      </x:c>
      <x:c r="R166" s="37" t="str">
        <x:f>IF(A166="","",IF(ISNUMBER(Q166),IF(F166="Return",-1,1)*H166*Q166,"Cost missing"))</x:f>
      </x:c>
      <x:c r="S166" s="37" t="str">
        <x:f>IF(A166="","",IF(ISNUMBER(R166),N166-R166,"Cost missing"))</x:f>
      </x:c>
      <x:c r="T166" s="42" t="str">
        <x:f>IF(A166="","",IF(COUNTIFS($A$6:$A$205,A166)&lt;&gt;1,"Duplicate ID",IF(OR(B166="",D166="",NOT(ISNUMBER(C166)),H166&lt;=0,NOT(ISNUMBER(I166)),I166&lt;0,J166&lt;0,J166&gt;H166*I166,K166&lt;0),"Check sale inputs",IF(NOT(ISNUMBER(Q166)),"Lot/cost incomplete",IF(OR(F166="Sale",F166="Return"),"OK","Type required")))))</x:f>
      </x:c>
    </x:row>
    <x:row r="167" ht="23" customHeight="1">
      <x:c r="A167" s="36"/>
      <x:c r="B167" s="36"/>
      <x:c r="C167" s="40"/>
      <x:c r="D167" s="36"/>
      <x:c r="E167" s="36"/>
      <x:c r="F167" s="36"/>
      <x:c r="G167" s="36"/>
      <x:c r="H167" s="41"/>
      <x:c r="I167" s="41"/>
      <x:c r="J167" s="41"/>
      <x:c r="K167" s="41"/>
      <x:c r="L167" s="36"/>
      <x:c r="M167" s="42" t="str">
        <x:f>IF(A167="","",IF(COUNTIFS('Lots'!$A$6:$A$105,G167)=1,VLOOKUP(G167,'Lots'!$A$6:$B$105,2,FALSE),"Unknown lot"))</x:f>
      </x:c>
      <x:c r="N167" s="37" t="str">
        <x:f>IF(A167="","",IF(F167="Return",-1,1)*(H167*I167-J167))</x:f>
      </x:c>
      <x:c r="O167" s="37" t="str">
        <x:f>IF(A167="","",IF(F167="Return",-K167,K167))</x:f>
      </x:c>
      <x:c r="P167" s="37" t="str">
        <x:f>IF(A167="","",N167+O167)</x:f>
      </x:c>
      <x:c r="Q167" s="37" t="str">
        <x:f>IF(A167="","",IF(COUNTIFS('Lots'!$A$6:$A$105,G167)=1,VLOOKUP(G167,'Lots'!$A$6:$J$105,10,FALSE),"Unknown lot"))</x:f>
      </x:c>
      <x:c r="R167" s="37" t="str">
        <x:f>IF(A167="","",IF(ISNUMBER(Q167),IF(F167="Return",-1,1)*H167*Q167,"Cost missing"))</x:f>
      </x:c>
      <x:c r="S167" s="37" t="str">
        <x:f>IF(A167="","",IF(ISNUMBER(R167),N167-R167,"Cost missing"))</x:f>
      </x:c>
      <x:c r="T167" s="42" t="str">
        <x:f>IF(A167="","",IF(COUNTIFS($A$6:$A$205,A167)&lt;&gt;1,"Duplicate ID",IF(OR(B167="",D167="",NOT(ISNUMBER(C167)),H167&lt;=0,NOT(ISNUMBER(I167)),I167&lt;0,J167&lt;0,J167&gt;H167*I167,K167&lt;0),"Check sale inputs",IF(NOT(ISNUMBER(Q167)),"Lot/cost incomplete",IF(OR(F167="Sale",F167="Return"),"OK","Type required")))))</x:f>
      </x:c>
    </x:row>
    <x:row r="168" ht="23" customHeight="1">
      <x:c r="A168" s="36"/>
      <x:c r="B168" s="36"/>
      <x:c r="C168" s="40"/>
      <x:c r="D168" s="36"/>
      <x:c r="E168" s="36"/>
      <x:c r="F168" s="36"/>
      <x:c r="G168" s="36"/>
      <x:c r="H168" s="41"/>
      <x:c r="I168" s="41"/>
      <x:c r="J168" s="41"/>
      <x:c r="K168" s="41"/>
      <x:c r="L168" s="36"/>
      <x:c r="M168" s="42" t="str">
        <x:f>IF(A168="","",IF(COUNTIFS('Lots'!$A$6:$A$105,G168)=1,VLOOKUP(G168,'Lots'!$A$6:$B$105,2,FALSE),"Unknown lot"))</x:f>
      </x:c>
      <x:c r="N168" s="37" t="str">
        <x:f>IF(A168="","",IF(F168="Return",-1,1)*(H168*I168-J168))</x:f>
      </x:c>
      <x:c r="O168" s="37" t="str">
        <x:f>IF(A168="","",IF(F168="Return",-K168,K168))</x:f>
      </x:c>
      <x:c r="P168" s="37" t="str">
        <x:f>IF(A168="","",N168+O168)</x:f>
      </x:c>
      <x:c r="Q168" s="37" t="str">
        <x:f>IF(A168="","",IF(COUNTIFS('Lots'!$A$6:$A$105,G168)=1,VLOOKUP(G168,'Lots'!$A$6:$J$105,10,FALSE),"Unknown lot"))</x:f>
      </x:c>
      <x:c r="R168" s="37" t="str">
        <x:f>IF(A168="","",IF(ISNUMBER(Q168),IF(F168="Return",-1,1)*H168*Q168,"Cost missing"))</x:f>
      </x:c>
      <x:c r="S168" s="37" t="str">
        <x:f>IF(A168="","",IF(ISNUMBER(R168),N168-R168,"Cost missing"))</x:f>
      </x:c>
      <x:c r="T168" s="42" t="str">
        <x:f>IF(A168="","",IF(COUNTIFS($A$6:$A$205,A168)&lt;&gt;1,"Duplicate ID",IF(OR(B168="",D168="",NOT(ISNUMBER(C168)),H168&lt;=0,NOT(ISNUMBER(I168)),I168&lt;0,J168&lt;0,J168&gt;H168*I168,K168&lt;0),"Check sale inputs",IF(NOT(ISNUMBER(Q168)),"Lot/cost incomplete",IF(OR(F168="Sale",F168="Return"),"OK","Type required")))))</x:f>
      </x:c>
    </x:row>
    <x:row r="169" ht="23" customHeight="1">
      <x:c r="A169" s="36"/>
      <x:c r="B169" s="36"/>
      <x:c r="C169" s="40"/>
      <x:c r="D169" s="36"/>
      <x:c r="E169" s="36"/>
      <x:c r="F169" s="36"/>
      <x:c r="G169" s="36"/>
      <x:c r="H169" s="41"/>
      <x:c r="I169" s="41"/>
      <x:c r="J169" s="41"/>
      <x:c r="K169" s="41"/>
      <x:c r="L169" s="36"/>
      <x:c r="M169" s="42" t="str">
        <x:f>IF(A169="","",IF(COUNTIFS('Lots'!$A$6:$A$105,G169)=1,VLOOKUP(G169,'Lots'!$A$6:$B$105,2,FALSE),"Unknown lot"))</x:f>
      </x:c>
      <x:c r="N169" s="37" t="str">
        <x:f>IF(A169="","",IF(F169="Return",-1,1)*(H169*I169-J169))</x:f>
      </x:c>
      <x:c r="O169" s="37" t="str">
        <x:f>IF(A169="","",IF(F169="Return",-K169,K169))</x:f>
      </x:c>
      <x:c r="P169" s="37" t="str">
        <x:f>IF(A169="","",N169+O169)</x:f>
      </x:c>
      <x:c r="Q169" s="37" t="str">
        <x:f>IF(A169="","",IF(COUNTIFS('Lots'!$A$6:$A$105,G169)=1,VLOOKUP(G169,'Lots'!$A$6:$J$105,10,FALSE),"Unknown lot"))</x:f>
      </x:c>
      <x:c r="R169" s="37" t="str">
        <x:f>IF(A169="","",IF(ISNUMBER(Q169),IF(F169="Return",-1,1)*H169*Q169,"Cost missing"))</x:f>
      </x:c>
      <x:c r="S169" s="37" t="str">
        <x:f>IF(A169="","",IF(ISNUMBER(R169),N169-R169,"Cost missing"))</x:f>
      </x:c>
      <x:c r="T169" s="42" t="str">
        <x:f>IF(A169="","",IF(COUNTIFS($A$6:$A$205,A169)&lt;&gt;1,"Duplicate ID",IF(OR(B169="",D169="",NOT(ISNUMBER(C169)),H169&lt;=0,NOT(ISNUMBER(I169)),I169&lt;0,J169&lt;0,J169&gt;H169*I169,K169&lt;0),"Check sale inputs",IF(NOT(ISNUMBER(Q169)),"Lot/cost incomplete",IF(OR(F169="Sale",F169="Return"),"OK","Type required")))))</x:f>
      </x:c>
    </x:row>
    <x:row r="170" ht="23" customHeight="1">
      <x:c r="A170" s="36"/>
      <x:c r="B170" s="36"/>
      <x:c r="C170" s="40"/>
      <x:c r="D170" s="36"/>
      <x:c r="E170" s="36"/>
      <x:c r="F170" s="36"/>
      <x:c r="G170" s="36"/>
      <x:c r="H170" s="41"/>
      <x:c r="I170" s="41"/>
      <x:c r="J170" s="41"/>
      <x:c r="K170" s="41"/>
      <x:c r="L170" s="36"/>
      <x:c r="M170" s="42" t="str">
        <x:f>IF(A170="","",IF(COUNTIFS('Lots'!$A$6:$A$105,G170)=1,VLOOKUP(G170,'Lots'!$A$6:$B$105,2,FALSE),"Unknown lot"))</x:f>
      </x:c>
      <x:c r="N170" s="37" t="str">
        <x:f>IF(A170="","",IF(F170="Return",-1,1)*(H170*I170-J170))</x:f>
      </x:c>
      <x:c r="O170" s="37" t="str">
        <x:f>IF(A170="","",IF(F170="Return",-K170,K170))</x:f>
      </x:c>
      <x:c r="P170" s="37" t="str">
        <x:f>IF(A170="","",N170+O170)</x:f>
      </x:c>
      <x:c r="Q170" s="37" t="str">
        <x:f>IF(A170="","",IF(COUNTIFS('Lots'!$A$6:$A$105,G170)=1,VLOOKUP(G170,'Lots'!$A$6:$J$105,10,FALSE),"Unknown lot"))</x:f>
      </x:c>
      <x:c r="R170" s="37" t="str">
        <x:f>IF(A170="","",IF(ISNUMBER(Q170),IF(F170="Return",-1,1)*H170*Q170,"Cost missing"))</x:f>
      </x:c>
      <x:c r="S170" s="37" t="str">
        <x:f>IF(A170="","",IF(ISNUMBER(R170),N170-R170,"Cost missing"))</x:f>
      </x:c>
      <x:c r="T170" s="42" t="str">
        <x:f>IF(A170="","",IF(COUNTIFS($A$6:$A$205,A170)&lt;&gt;1,"Duplicate ID",IF(OR(B170="",D170="",NOT(ISNUMBER(C170)),H170&lt;=0,NOT(ISNUMBER(I170)),I170&lt;0,J170&lt;0,J170&gt;H170*I170,K170&lt;0),"Check sale inputs",IF(NOT(ISNUMBER(Q170)),"Lot/cost incomplete",IF(OR(F170="Sale",F170="Return"),"OK","Type required")))))</x:f>
      </x:c>
    </x:row>
    <x:row r="171" ht="23" customHeight="1">
      <x:c r="A171" s="36"/>
      <x:c r="B171" s="36"/>
      <x:c r="C171" s="40"/>
      <x:c r="D171" s="36"/>
      <x:c r="E171" s="36"/>
      <x:c r="F171" s="36"/>
      <x:c r="G171" s="36"/>
      <x:c r="H171" s="41"/>
      <x:c r="I171" s="41"/>
      <x:c r="J171" s="41"/>
      <x:c r="K171" s="41"/>
      <x:c r="L171" s="36"/>
      <x:c r="M171" s="42" t="str">
        <x:f>IF(A171="","",IF(COUNTIFS('Lots'!$A$6:$A$105,G171)=1,VLOOKUP(G171,'Lots'!$A$6:$B$105,2,FALSE),"Unknown lot"))</x:f>
      </x:c>
      <x:c r="N171" s="37" t="str">
        <x:f>IF(A171="","",IF(F171="Return",-1,1)*(H171*I171-J171))</x:f>
      </x:c>
      <x:c r="O171" s="37" t="str">
        <x:f>IF(A171="","",IF(F171="Return",-K171,K171))</x:f>
      </x:c>
      <x:c r="P171" s="37" t="str">
        <x:f>IF(A171="","",N171+O171)</x:f>
      </x:c>
      <x:c r="Q171" s="37" t="str">
        <x:f>IF(A171="","",IF(COUNTIFS('Lots'!$A$6:$A$105,G171)=1,VLOOKUP(G171,'Lots'!$A$6:$J$105,10,FALSE),"Unknown lot"))</x:f>
      </x:c>
      <x:c r="R171" s="37" t="str">
        <x:f>IF(A171="","",IF(ISNUMBER(Q171),IF(F171="Return",-1,1)*H171*Q171,"Cost missing"))</x:f>
      </x:c>
      <x:c r="S171" s="37" t="str">
        <x:f>IF(A171="","",IF(ISNUMBER(R171),N171-R171,"Cost missing"))</x:f>
      </x:c>
      <x:c r="T171" s="42" t="str">
        <x:f>IF(A171="","",IF(COUNTIFS($A$6:$A$205,A171)&lt;&gt;1,"Duplicate ID",IF(OR(B171="",D171="",NOT(ISNUMBER(C171)),H171&lt;=0,NOT(ISNUMBER(I171)),I171&lt;0,J171&lt;0,J171&gt;H171*I171,K171&lt;0),"Check sale inputs",IF(NOT(ISNUMBER(Q171)),"Lot/cost incomplete",IF(OR(F171="Sale",F171="Return"),"OK","Type required")))))</x:f>
      </x:c>
    </x:row>
    <x:row r="172" ht="23" customHeight="1">
      <x:c r="A172" s="36"/>
      <x:c r="B172" s="36"/>
      <x:c r="C172" s="40"/>
      <x:c r="D172" s="36"/>
      <x:c r="E172" s="36"/>
      <x:c r="F172" s="36"/>
      <x:c r="G172" s="36"/>
      <x:c r="H172" s="41"/>
      <x:c r="I172" s="41"/>
      <x:c r="J172" s="41"/>
      <x:c r="K172" s="41"/>
      <x:c r="L172" s="36"/>
      <x:c r="M172" s="42" t="str">
        <x:f>IF(A172="","",IF(COUNTIFS('Lots'!$A$6:$A$105,G172)=1,VLOOKUP(G172,'Lots'!$A$6:$B$105,2,FALSE),"Unknown lot"))</x:f>
      </x:c>
      <x:c r="N172" s="37" t="str">
        <x:f>IF(A172="","",IF(F172="Return",-1,1)*(H172*I172-J172))</x:f>
      </x:c>
      <x:c r="O172" s="37" t="str">
        <x:f>IF(A172="","",IF(F172="Return",-K172,K172))</x:f>
      </x:c>
      <x:c r="P172" s="37" t="str">
        <x:f>IF(A172="","",N172+O172)</x:f>
      </x:c>
      <x:c r="Q172" s="37" t="str">
        <x:f>IF(A172="","",IF(COUNTIFS('Lots'!$A$6:$A$105,G172)=1,VLOOKUP(G172,'Lots'!$A$6:$J$105,10,FALSE),"Unknown lot"))</x:f>
      </x:c>
      <x:c r="R172" s="37" t="str">
        <x:f>IF(A172="","",IF(ISNUMBER(Q172),IF(F172="Return",-1,1)*H172*Q172,"Cost missing"))</x:f>
      </x:c>
      <x:c r="S172" s="37" t="str">
        <x:f>IF(A172="","",IF(ISNUMBER(R172),N172-R172,"Cost missing"))</x:f>
      </x:c>
      <x:c r="T172" s="42" t="str">
        <x:f>IF(A172="","",IF(COUNTIFS($A$6:$A$205,A172)&lt;&gt;1,"Duplicate ID",IF(OR(B172="",D172="",NOT(ISNUMBER(C172)),H172&lt;=0,NOT(ISNUMBER(I172)),I172&lt;0,J172&lt;0,J172&gt;H172*I172,K172&lt;0),"Check sale inputs",IF(NOT(ISNUMBER(Q172)),"Lot/cost incomplete",IF(OR(F172="Sale",F172="Return"),"OK","Type required")))))</x:f>
      </x:c>
    </x:row>
    <x:row r="173" ht="23" customHeight="1">
      <x:c r="A173" s="36"/>
      <x:c r="B173" s="36"/>
      <x:c r="C173" s="40"/>
      <x:c r="D173" s="36"/>
      <x:c r="E173" s="36"/>
      <x:c r="F173" s="36"/>
      <x:c r="G173" s="36"/>
      <x:c r="H173" s="41"/>
      <x:c r="I173" s="41"/>
      <x:c r="J173" s="41"/>
      <x:c r="K173" s="41"/>
      <x:c r="L173" s="36"/>
      <x:c r="M173" s="42" t="str">
        <x:f>IF(A173="","",IF(COUNTIFS('Lots'!$A$6:$A$105,G173)=1,VLOOKUP(G173,'Lots'!$A$6:$B$105,2,FALSE),"Unknown lot"))</x:f>
      </x:c>
      <x:c r="N173" s="37" t="str">
        <x:f>IF(A173="","",IF(F173="Return",-1,1)*(H173*I173-J173))</x:f>
      </x:c>
      <x:c r="O173" s="37" t="str">
        <x:f>IF(A173="","",IF(F173="Return",-K173,K173))</x:f>
      </x:c>
      <x:c r="P173" s="37" t="str">
        <x:f>IF(A173="","",N173+O173)</x:f>
      </x:c>
      <x:c r="Q173" s="37" t="str">
        <x:f>IF(A173="","",IF(COUNTIFS('Lots'!$A$6:$A$105,G173)=1,VLOOKUP(G173,'Lots'!$A$6:$J$105,10,FALSE),"Unknown lot"))</x:f>
      </x:c>
      <x:c r="R173" s="37" t="str">
        <x:f>IF(A173="","",IF(ISNUMBER(Q173),IF(F173="Return",-1,1)*H173*Q173,"Cost missing"))</x:f>
      </x:c>
      <x:c r="S173" s="37" t="str">
        <x:f>IF(A173="","",IF(ISNUMBER(R173),N173-R173,"Cost missing"))</x:f>
      </x:c>
      <x:c r="T173" s="42" t="str">
        <x:f>IF(A173="","",IF(COUNTIFS($A$6:$A$205,A173)&lt;&gt;1,"Duplicate ID",IF(OR(B173="",D173="",NOT(ISNUMBER(C173)),H173&lt;=0,NOT(ISNUMBER(I173)),I173&lt;0,J173&lt;0,J173&gt;H173*I173,K173&lt;0),"Check sale inputs",IF(NOT(ISNUMBER(Q173)),"Lot/cost incomplete",IF(OR(F173="Sale",F173="Return"),"OK","Type required")))))</x:f>
      </x:c>
    </x:row>
    <x:row r="174" ht="23" customHeight="1">
      <x:c r="A174" s="36"/>
      <x:c r="B174" s="36"/>
      <x:c r="C174" s="40"/>
      <x:c r="D174" s="36"/>
      <x:c r="E174" s="36"/>
      <x:c r="F174" s="36"/>
      <x:c r="G174" s="36"/>
      <x:c r="H174" s="41"/>
      <x:c r="I174" s="41"/>
      <x:c r="J174" s="41"/>
      <x:c r="K174" s="41"/>
      <x:c r="L174" s="36"/>
      <x:c r="M174" s="42" t="str">
        <x:f>IF(A174="","",IF(COUNTIFS('Lots'!$A$6:$A$105,G174)=1,VLOOKUP(G174,'Lots'!$A$6:$B$105,2,FALSE),"Unknown lot"))</x:f>
      </x:c>
      <x:c r="N174" s="37" t="str">
        <x:f>IF(A174="","",IF(F174="Return",-1,1)*(H174*I174-J174))</x:f>
      </x:c>
      <x:c r="O174" s="37" t="str">
        <x:f>IF(A174="","",IF(F174="Return",-K174,K174))</x:f>
      </x:c>
      <x:c r="P174" s="37" t="str">
        <x:f>IF(A174="","",N174+O174)</x:f>
      </x:c>
      <x:c r="Q174" s="37" t="str">
        <x:f>IF(A174="","",IF(COUNTIFS('Lots'!$A$6:$A$105,G174)=1,VLOOKUP(G174,'Lots'!$A$6:$J$105,10,FALSE),"Unknown lot"))</x:f>
      </x:c>
      <x:c r="R174" s="37" t="str">
        <x:f>IF(A174="","",IF(ISNUMBER(Q174),IF(F174="Return",-1,1)*H174*Q174,"Cost missing"))</x:f>
      </x:c>
      <x:c r="S174" s="37" t="str">
        <x:f>IF(A174="","",IF(ISNUMBER(R174),N174-R174,"Cost missing"))</x:f>
      </x:c>
      <x:c r="T174" s="42" t="str">
        <x:f>IF(A174="","",IF(COUNTIFS($A$6:$A$205,A174)&lt;&gt;1,"Duplicate ID",IF(OR(B174="",D174="",NOT(ISNUMBER(C174)),H174&lt;=0,NOT(ISNUMBER(I174)),I174&lt;0,J174&lt;0,J174&gt;H174*I174,K174&lt;0),"Check sale inputs",IF(NOT(ISNUMBER(Q174)),"Lot/cost incomplete",IF(OR(F174="Sale",F174="Return"),"OK","Type required")))))</x:f>
      </x:c>
    </x:row>
    <x:row r="175" ht="23" customHeight="1">
      <x:c r="A175" s="36"/>
      <x:c r="B175" s="36"/>
      <x:c r="C175" s="40"/>
      <x:c r="D175" s="36"/>
      <x:c r="E175" s="36"/>
      <x:c r="F175" s="36"/>
      <x:c r="G175" s="36"/>
      <x:c r="H175" s="41"/>
      <x:c r="I175" s="41"/>
      <x:c r="J175" s="41"/>
      <x:c r="K175" s="41"/>
      <x:c r="L175" s="36"/>
      <x:c r="M175" s="42" t="str">
        <x:f>IF(A175="","",IF(COUNTIFS('Lots'!$A$6:$A$105,G175)=1,VLOOKUP(G175,'Lots'!$A$6:$B$105,2,FALSE),"Unknown lot"))</x:f>
      </x:c>
      <x:c r="N175" s="37" t="str">
        <x:f>IF(A175="","",IF(F175="Return",-1,1)*(H175*I175-J175))</x:f>
      </x:c>
      <x:c r="O175" s="37" t="str">
        <x:f>IF(A175="","",IF(F175="Return",-K175,K175))</x:f>
      </x:c>
      <x:c r="P175" s="37" t="str">
        <x:f>IF(A175="","",N175+O175)</x:f>
      </x:c>
      <x:c r="Q175" s="37" t="str">
        <x:f>IF(A175="","",IF(COUNTIFS('Lots'!$A$6:$A$105,G175)=1,VLOOKUP(G175,'Lots'!$A$6:$J$105,10,FALSE),"Unknown lot"))</x:f>
      </x:c>
      <x:c r="R175" s="37" t="str">
        <x:f>IF(A175="","",IF(ISNUMBER(Q175),IF(F175="Return",-1,1)*H175*Q175,"Cost missing"))</x:f>
      </x:c>
      <x:c r="S175" s="37" t="str">
        <x:f>IF(A175="","",IF(ISNUMBER(R175),N175-R175,"Cost missing"))</x:f>
      </x:c>
      <x:c r="T175" s="42" t="str">
        <x:f>IF(A175="","",IF(COUNTIFS($A$6:$A$205,A175)&lt;&gt;1,"Duplicate ID",IF(OR(B175="",D175="",NOT(ISNUMBER(C175)),H175&lt;=0,NOT(ISNUMBER(I175)),I175&lt;0,J175&lt;0,J175&gt;H175*I175,K175&lt;0),"Check sale inputs",IF(NOT(ISNUMBER(Q175)),"Lot/cost incomplete",IF(OR(F175="Sale",F175="Return"),"OK","Type required")))))</x:f>
      </x:c>
    </x:row>
    <x:row r="176" ht="23" customHeight="1">
      <x:c r="A176" s="36"/>
      <x:c r="B176" s="36"/>
      <x:c r="C176" s="40"/>
      <x:c r="D176" s="36"/>
      <x:c r="E176" s="36"/>
      <x:c r="F176" s="36"/>
      <x:c r="G176" s="36"/>
      <x:c r="H176" s="41"/>
      <x:c r="I176" s="41"/>
      <x:c r="J176" s="41"/>
      <x:c r="K176" s="41"/>
      <x:c r="L176" s="36"/>
      <x:c r="M176" s="42" t="str">
        <x:f>IF(A176="","",IF(COUNTIFS('Lots'!$A$6:$A$105,G176)=1,VLOOKUP(G176,'Lots'!$A$6:$B$105,2,FALSE),"Unknown lot"))</x:f>
      </x:c>
      <x:c r="N176" s="37" t="str">
        <x:f>IF(A176="","",IF(F176="Return",-1,1)*(H176*I176-J176))</x:f>
      </x:c>
      <x:c r="O176" s="37" t="str">
        <x:f>IF(A176="","",IF(F176="Return",-K176,K176))</x:f>
      </x:c>
      <x:c r="P176" s="37" t="str">
        <x:f>IF(A176="","",N176+O176)</x:f>
      </x:c>
      <x:c r="Q176" s="37" t="str">
        <x:f>IF(A176="","",IF(COUNTIFS('Lots'!$A$6:$A$105,G176)=1,VLOOKUP(G176,'Lots'!$A$6:$J$105,10,FALSE),"Unknown lot"))</x:f>
      </x:c>
      <x:c r="R176" s="37" t="str">
        <x:f>IF(A176="","",IF(ISNUMBER(Q176),IF(F176="Return",-1,1)*H176*Q176,"Cost missing"))</x:f>
      </x:c>
      <x:c r="S176" s="37" t="str">
        <x:f>IF(A176="","",IF(ISNUMBER(R176),N176-R176,"Cost missing"))</x:f>
      </x:c>
      <x:c r="T176" s="42" t="str">
        <x:f>IF(A176="","",IF(COUNTIFS($A$6:$A$205,A176)&lt;&gt;1,"Duplicate ID",IF(OR(B176="",D176="",NOT(ISNUMBER(C176)),H176&lt;=0,NOT(ISNUMBER(I176)),I176&lt;0,J176&lt;0,J176&gt;H176*I176,K176&lt;0),"Check sale inputs",IF(NOT(ISNUMBER(Q176)),"Lot/cost incomplete",IF(OR(F176="Sale",F176="Return"),"OK","Type required")))))</x:f>
      </x:c>
    </x:row>
    <x:row r="177" ht="23" customHeight="1">
      <x:c r="A177" s="36"/>
      <x:c r="B177" s="36"/>
      <x:c r="C177" s="40"/>
      <x:c r="D177" s="36"/>
      <x:c r="E177" s="36"/>
      <x:c r="F177" s="36"/>
      <x:c r="G177" s="36"/>
      <x:c r="H177" s="41"/>
      <x:c r="I177" s="41"/>
      <x:c r="J177" s="41"/>
      <x:c r="K177" s="41"/>
      <x:c r="L177" s="36"/>
      <x:c r="M177" s="42" t="str">
        <x:f>IF(A177="","",IF(COUNTIFS('Lots'!$A$6:$A$105,G177)=1,VLOOKUP(G177,'Lots'!$A$6:$B$105,2,FALSE),"Unknown lot"))</x:f>
      </x:c>
      <x:c r="N177" s="37" t="str">
        <x:f>IF(A177="","",IF(F177="Return",-1,1)*(H177*I177-J177))</x:f>
      </x:c>
      <x:c r="O177" s="37" t="str">
        <x:f>IF(A177="","",IF(F177="Return",-K177,K177))</x:f>
      </x:c>
      <x:c r="P177" s="37" t="str">
        <x:f>IF(A177="","",N177+O177)</x:f>
      </x:c>
      <x:c r="Q177" s="37" t="str">
        <x:f>IF(A177="","",IF(COUNTIFS('Lots'!$A$6:$A$105,G177)=1,VLOOKUP(G177,'Lots'!$A$6:$J$105,10,FALSE),"Unknown lot"))</x:f>
      </x:c>
      <x:c r="R177" s="37" t="str">
        <x:f>IF(A177="","",IF(ISNUMBER(Q177),IF(F177="Return",-1,1)*H177*Q177,"Cost missing"))</x:f>
      </x:c>
      <x:c r="S177" s="37" t="str">
        <x:f>IF(A177="","",IF(ISNUMBER(R177),N177-R177,"Cost missing"))</x:f>
      </x:c>
      <x:c r="T177" s="42" t="str">
        <x:f>IF(A177="","",IF(COUNTIFS($A$6:$A$205,A177)&lt;&gt;1,"Duplicate ID",IF(OR(B177="",D177="",NOT(ISNUMBER(C177)),H177&lt;=0,NOT(ISNUMBER(I177)),I177&lt;0,J177&lt;0,J177&gt;H177*I177,K177&lt;0),"Check sale inputs",IF(NOT(ISNUMBER(Q177)),"Lot/cost incomplete",IF(OR(F177="Sale",F177="Return"),"OK","Type required")))))</x:f>
      </x:c>
    </x:row>
    <x:row r="178" ht="23" customHeight="1">
      <x:c r="A178" s="36"/>
      <x:c r="B178" s="36"/>
      <x:c r="C178" s="40"/>
      <x:c r="D178" s="36"/>
      <x:c r="E178" s="36"/>
      <x:c r="F178" s="36"/>
      <x:c r="G178" s="36"/>
      <x:c r="H178" s="41"/>
      <x:c r="I178" s="41"/>
      <x:c r="J178" s="41"/>
      <x:c r="K178" s="41"/>
      <x:c r="L178" s="36"/>
      <x:c r="M178" s="42" t="str">
        <x:f>IF(A178="","",IF(COUNTIFS('Lots'!$A$6:$A$105,G178)=1,VLOOKUP(G178,'Lots'!$A$6:$B$105,2,FALSE),"Unknown lot"))</x:f>
      </x:c>
      <x:c r="N178" s="37" t="str">
        <x:f>IF(A178="","",IF(F178="Return",-1,1)*(H178*I178-J178))</x:f>
      </x:c>
      <x:c r="O178" s="37" t="str">
        <x:f>IF(A178="","",IF(F178="Return",-K178,K178))</x:f>
      </x:c>
      <x:c r="P178" s="37" t="str">
        <x:f>IF(A178="","",N178+O178)</x:f>
      </x:c>
      <x:c r="Q178" s="37" t="str">
        <x:f>IF(A178="","",IF(COUNTIFS('Lots'!$A$6:$A$105,G178)=1,VLOOKUP(G178,'Lots'!$A$6:$J$105,10,FALSE),"Unknown lot"))</x:f>
      </x:c>
      <x:c r="R178" s="37" t="str">
        <x:f>IF(A178="","",IF(ISNUMBER(Q178),IF(F178="Return",-1,1)*H178*Q178,"Cost missing"))</x:f>
      </x:c>
      <x:c r="S178" s="37" t="str">
        <x:f>IF(A178="","",IF(ISNUMBER(R178),N178-R178,"Cost missing"))</x:f>
      </x:c>
      <x:c r="T178" s="42" t="str">
        <x:f>IF(A178="","",IF(COUNTIFS($A$6:$A$205,A178)&lt;&gt;1,"Duplicate ID",IF(OR(B178="",D178="",NOT(ISNUMBER(C178)),H178&lt;=0,NOT(ISNUMBER(I178)),I178&lt;0,J178&lt;0,J178&gt;H178*I178,K178&lt;0),"Check sale inputs",IF(NOT(ISNUMBER(Q178)),"Lot/cost incomplete",IF(OR(F178="Sale",F178="Return"),"OK","Type required")))))</x:f>
      </x:c>
    </x:row>
    <x:row r="179" ht="23" customHeight="1">
      <x:c r="A179" s="36"/>
      <x:c r="B179" s="36"/>
      <x:c r="C179" s="40"/>
      <x:c r="D179" s="36"/>
      <x:c r="E179" s="36"/>
      <x:c r="F179" s="36"/>
      <x:c r="G179" s="36"/>
      <x:c r="H179" s="41"/>
      <x:c r="I179" s="41"/>
      <x:c r="J179" s="41"/>
      <x:c r="K179" s="41"/>
      <x:c r="L179" s="36"/>
      <x:c r="M179" s="42" t="str">
        <x:f>IF(A179="","",IF(COUNTIFS('Lots'!$A$6:$A$105,G179)=1,VLOOKUP(G179,'Lots'!$A$6:$B$105,2,FALSE),"Unknown lot"))</x:f>
      </x:c>
      <x:c r="N179" s="37" t="str">
        <x:f>IF(A179="","",IF(F179="Return",-1,1)*(H179*I179-J179))</x:f>
      </x:c>
      <x:c r="O179" s="37" t="str">
        <x:f>IF(A179="","",IF(F179="Return",-K179,K179))</x:f>
      </x:c>
      <x:c r="P179" s="37" t="str">
        <x:f>IF(A179="","",N179+O179)</x:f>
      </x:c>
      <x:c r="Q179" s="37" t="str">
        <x:f>IF(A179="","",IF(COUNTIFS('Lots'!$A$6:$A$105,G179)=1,VLOOKUP(G179,'Lots'!$A$6:$J$105,10,FALSE),"Unknown lot"))</x:f>
      </x:c>
      <x:c r="R179" s="37" t="str">
        <x:f>IF(A179="","",IF(ISNUMBER(Q179),IF(F179="Return",-1,1)*H179*Q179,"Cost missing"))</x:f>
      </x:c>
      <x:c r="S179" s="37" t="str">
        <x:f>IF(A179="","",IF(ISNUMBER(R179),N179-R179,"Cost missing"))</x:f>
      </x:c>
      <x:c r="T179" s="42" t="str">
        <x:f>IF(A179="","",IF(COUNTIFS($A$6:$A$205,A179)&lt;&gt;1,"Duplicate ID",IF(OR(B179="",D179="",NOT(ISNUMBER(C179)),H179&lt;=0,NOT(ISNUMBER(I179)),I179&lt;0,J179&lt;0,J179&gt;H179*I179,K179&lt;0),"Check sale inputs",IF(NOT(ISNUMBER(Q179)),"Lot/cost incomplete",IF(OR(F179="Sale",F179="Return"),"OK","Type required")))))</x:f>
      </x:c>
    </x:row>
    <x:row r="180" ht="23" customHeight="1">
      <x:c r="A180" s="36"/>
      <x:c r="B180" s="36"/>
      <x:c r="C180" s="40"/>
      <x:c r="D180" s="36"/>
      <x:c r="E180" s="36"/>
      <x:c r="F180" s="36"/>
      <x:c r="G180" s="36"/>
      <x:c r="H180" s="41"/>
      <x:c r="I180" s="41"/>
      <x:c r="J180" s="41"/>
      <x:c r="K180" s="41"/>
      <x:c r="L180" s="36"/>
      <x:c r="M180" s="42" t="str">
        <x:f>IF(A180="","",IF(COUNTIFS('Lots'!$A$6:$A$105,G180)=1,VLOOKUP(G180,'Lots'!$A$6:$B$105,2,FALSE),"Unknown lot"))</x:f>
      </x:c>
      <x:c r="N180" s="37" t="str">
        <x:f>IF(A180="","",IF(F180="Return",-1,1)*(H180*I180-J180))</x:f>
      </x:c>
      <x:c r="O180" s="37" t="str">
        <x:f>IF(A180="","",IF(F180="Return",-K180,K180))</x:f>
      </x:c>
      <x:c r="P180" s="37" t="str">
        <x:f>IF(A180="","",N180+O180)</x:f>
      </x:c>
      <x:c r="Q180" s="37" t="str">
        <x:f>IF(A180="","",IF(COUNTIFS('Lots'!$A$6:$A$105,G180)=1,VLOOKUP(G180,'Lots'!$A$6:$J$105,10,FALSE),"Unknown lot"))</x:f>
      </x:c>
      <x:c r="R180" s="37" t="str">
        <x:f>IF(A180="","",IF(ISNUMBER(Q180),IF(F180="Return",-1,1)*H180*Q180,"Cost missing"))</x:f>
      </x:c>
      <x:c r="S180" s="37" t="str">
        <x:f>IF(A180="","",IF(ISNUMBER(R180),N180-R180,"Cost missing"))</x:f>
      </x:c>
      <x:c r="T180" s="42" t="str">
        <x:f>IF(A180="","",IF(COUNTIFS($A$6:$A$205,A180)&lt;&gt;1,"Duplicate ID",IF(OR(B180="",D180="",NOT(ISNUMBER(C180)),H180&lt;=0,NOT(ISNUMBER(I180)),I180&lt;0,J180&lt;0,J180&gt;H180*I180,K180&lt;0),"Check sale inputs",IF(NOT(ISNUMBER(Q180)),"Lot/cost incomplete",IF(OR(F180="Sale",F180="Return"),"OK","Type required")))))</x:f>
      </x:c>
    </x:row>
    <x:row r="181" ht="23" customHeight="1">
      <x:c r="A181" s="36"/>
      <x:c r="B181" s="36"/>
      <x:c r="C181" s="40"/>
      <x:c r="D181" s="36"/>
      <x:c r="E181" s="36"/>
      <x:c r="F181" s="36"/>
      <x:c r="G181" s="36"/>
      <x:c r="H181" s="41"/>
      <x:c r="I181" s="41"/>
      <x:c r="J181" s="41"/>
      <x:c r="K181" s="41"/>
      <x:c r="L181" s="36"/>
      <x:c r="M181" s="42" t="str">
        <x:f>IF(A181="","",IF(COUNTIFS('Lots'!$A$6:$A$105,G181)=1,VLOOKUP(G181,'Lots'!$A$6:$B$105,2,FALSE),"Unknown lot"))</x:f>
      </x:c>
      <x:c r="N181" s="37" t="str">
        <x:f>IF(A181="","",IF(F181="Return",-1,1)*(H181*I181-J181))</x:f>
      </x:c>
      <x:c r="O181" s="37" t="str">
        <x:f>IF(A181="","",IF(F181="Return",-K181,K181))</x:f>
      </x:c>
      <x:c r="P181" s="37" t="str">
        <x:f>IF(A181="","",N181+O181)</x:f>
      </x:c>
      <x:c r="Q181" s="37" t="str">
        <x:f>IF(A181="","",IF(COUNTIFS('Lots'!$A$6:$A$105,G181)=1,VLOOKUP(G181,'Lots'!$A$6:$J$105,10,FALSE),"Unknown lot"))</x:f>
      </x:c>
      <x:c r="R181" s="37" t="str">
        <x:f>IF(A181="","",IF(ISNUMBER(Q181),IF(F181="Return",-1,1)*H181*Q181,"Cost missing"))</x:f>
      </x:c>
      <x:c r="S181" s="37" t="str">
        <x:f>IF(A181="","",IF(ISNUMBER(R181),N181-R181,"Cost missing"))</x:f>
      </x:c>
      <x:c r="T181" s="42" t="str">
        <x:f>IF(A181="","",IF(COUNTIFS($A$6:$A$205,A181)&lt;&gt;1,"Duplicate ID",IF(OR(B181="",D181="",NOT(ISNUMBER(C181)),H181&lt;=0,NOT(ISNUMBER(I181)),I181&lt;0,J181&lt;0,J181&gt;H181*I181,K181&lt;0),"Check sale inputs",IF(NOT(ISNUMBER(Q181)),"Lot/cost incomplete",IF(OR(F181="Sale",F181="Return"),"OK","Type required")))))</x:f>
      </x:c>
    </x:row>
    <x:row r="182" ht="23" customHeight="1">
      <x:c r="A182" s="36"/>
      <x:c r="B182" s="36"/>
      <x:c r="C182" s="40"/>
      <x:c r="D182" s="36"/>
      <x:c r="E182" s="36"/>
      <x:c r="F182" s="36"/>
      <x:c r="G182" s="36"/>
      <x:c r="H182" s="41"/>
      <x:c r="I182" s="41"/>
      <x:c r="J182" s="41"/>
      <x:c r="K182" s="41"/>
      <x:c r="L182" s="36"/>
      <x:c r="M182" s="42" t="str">
        <x:f>IF(A182="","",IF(COUNTIFS('Lots'!$A$6:$A$105,G182)=1,VLOOKUP(G182,'Lots'!$A$6:$B$105,2,FALSE),"Unknown lot"))</x:f>
      </x:c>
      <x:c r="N182" s="37" t="str">
        <x:f>IF(A182="","",IF(F182="Return",-1,1)*(H182*I182-J182))</x:f>
      </x:c>
      <x:c r="O182" s="37" t="str">
        <x:f>IF(A182="","",IF(F182="Return",-K182,K182))</x:f>
      </x:c>
      <x:c r="P182" s="37" t="str">
        <x:f>IF(A182="","",N182+O182)</x:f>
      </x:c>
      <x:c r="Q182" s="37" t="str">
        <x:f>IF(A182="","",IF(COUNTIFS('Lots'!$A$6:$A$105,G182)=1,VLOOKUP(G182,'Lots'!$A$6:$J$105,10,FALSE),"Unknown lot"))</x:f>
      </x:c>
      <x:c r="R182" s="37" t="str">
        <x:f>IF(A182="","",IF(ISNUMBER(Q182),IF(F182="Return",-1,1)*H182*Q182,"Cost missing"))</x:f>
      </x:c>
      <x:c r="S182" s="37" t="str">
        <x:f>IF(A182="","",IF(ISNUMBER(R182),N182-R182,"Cost missing"))</x:f>
      </x:c>
      <x:c r="T182" s="42" t="str">
        <x:f>IF(A182="","",IF(COUNTIFS($A$6:$A$205,A182)&lt;&gt;1,"Duplicate ID",IF(OR(B182="",D182="",NOT(ISNUMBER(C182)),H182&lt;=0,NOT(ISNUMBER(I182)),I182&lt;0,J182&lt;0,J182&gt;H182*I182,K182&lt;0),"Check sale inputs",IF(NOT(ISNUMBER(Q182)),"Lot/cost incomplete",IF(OR(F182="Sale",F182="Return"),"OK","Type required")))))</x:f>
      </x:c>
    </x:row>
    <x:row r="183" ht="23" customHeight="1">
      <x:c r="A183" s="36"/>
      <x:c r="B183" s="36"/>
      <x:c r="C183" s="40"/>
      <x:c r="D183" s="36"/>
      <x:c r="E183" s="36"/>
      <x:c r="F183" s="36"/>
      <x:c r="G183" s="36"/>
      <x:c r="H183" s="41"/>
      <x:c r="I183" s="41"/>
      <x:c r="J183" s="41"/>
      <x:c r="K183" s="41"/>
      <x:c r="L183" s="36"/>
      <x:c r="M183" s="42" t="str">
        <x:f>IF(A183="","",IF(COUNTIFS('Lots'!$A$6:$A$105,G183)=1,VLOOKUP(G183,'Lots'!$A$6:$B$105,2,FALSE),"Unknown lot"))</x:f>
      </x:c>
      <x:c r="N183" s="37" t="str">
        <x:f>IF(A183="","",IF(F183="Return",-1,1)*(H183*I183-J183))</x:f>
      </x:c>
      <x:c r="O183" s="37" t="str">
        <x:f>IF(A183="","",IF(F183="Return",-K183,K183))</x:f>
      </x:c>
      <x:c r="P183" s="37" t="str">
        <x:f>IF(A183="","",N183+O183)</x:f>
      </x:c>
      <x:c r="Q183" s="37" t="str">
        <x:f>IF(A183="","",IF(COUNTIFS('Lots'!$A$6:$A$105,G183)=1,VLOOKUP(G183,'Lots'!$A$6:$J$105,10,FALSE),"Unknown lot"))</x:f>
      </x:c>
      <x:c r="R183" s="37" t="str">
        <x:f>IF(A183="","",IF(ISNUMBER(Q183),IF(F183="Return",-1,1)*H183*Q183,"Cost missing"))</x:f>
      </x:c>
      <x:c r="S183" s="37" t="str">
        <x:f>IF(A183="","",IF(ISNUMBER(R183),N183-R183,"Cost missing"))</x:f>
      </x:c>
      <x:c r="T183" s="42" t="str">
        <x:f>IF(A183="","",IF(COUNTIFS($A$6:$A$205,A183)&lt;&gt;1,"Duplicate ID",IF(OR(B183="",D183="",NOT(ISNUMBER(C183)),H183&lt;=0,NOT(ISNUMBER(I183)),I183&lt;0,J183&lt;0,J183&gt;H183*I183,K183&lt;0),"Check sale inputs",IF(NOT(ISNUMBER(Q183)),"Lot/cost incomplete",IF(OR(F183="Sale",F183="Return"),"OK","Type required")))))</x:f>
      </x:c>
    </x:row>
    <x:row r="184" ht="23" customHeight="1">
      <x:c r="A184" s="36"/>
      <x:c r="B184" s="36"/>
      <x:c r="C184" s="40"/>
      <x:c r="D184" s="36"/>
      <x:c r="E184" s="36"/>
      <x:c r="F184" s="36"/>
      <x:c r="G184" s="36"/>
      <x:c r="H184" s="41"/>
      <x:c r="I184" s="41"/>
      <x:c r="J184" s="41"/>
      <x:c r="K184" s="41"/>
      <x:c r="L184" s="36"/>
      <x:c r="M184" s="42" t="str">
        <x:f>IF(A184="","",IF(COUNTIFS('Lots'!$A$6:$A$105,G184)=1,VLOOKUP(G184,'Lots'!$A$6:$B$105,2,FALSE),"Unknown lot"))</x:f>
      </x:c>
      <x:c r="N184" s="37" t="str">
        <x:f>IF(A184="","",IF(F184="Return",-1,1)*(H184*I184-J184))</x:f>
      </x:c>
      <x:c r="O184" s="37" t="str">
        <x:f>IF(A184="","",IF(F184="Return",-K184,K184))</x:f>
      </x:c>
      <x:c r="P184" s="37" t="str">
        <x:f>IF(A184="","",N184+O184)</x:f>
      </x:c>
      <x:c r="Q184" s="37" t="str">
        <x:f>IF(A184="","",IF(COUNTIFS('Lots'!$A$6:$A$105,G184)=1,VLOOKUP(G184,'Lots'!$A$6:$J$105,10,FALSE),"Unknown lot"))</x:f>
      </x:c>
      <x:c r="R184" s="37" t="str">
        <x:f>IF(A184="","",IF(ISNUMBER(Q184),IF(F184="Return",-1,1)*H184*Q184,"Cost missing"))</x:f>
      </x:c>
      <x:c r="S184" s="37" t="str">
        <x:f>IF(A184="","",IF(ISNUMBER(R184),N184-R184,"Cost missing"))</x:f>
      </x:c>
      <x:c r="T184" s="42" t="str">
        <x:f>IF(A184="","",IF(COUNTIFS($A$6:$A$205,A184)&lt;&gt;1,"Duplicate ID",IF(OR(B184="",D184="",NOT(ISNUMBER(C184)),H184&lt;=0,NOT(ISNUMBER(I184)),I184&lt;0,J184&lt;0,J184&gt;H184*I184,K184&lt;0),"Check sale inputs",IF(NOT(ISNUMBER(Q184)),"Lot/cost incomplete",IF(OR(F184="Sale",F184="Return"),"OK","Type required")))))</x:f>
      </x:c>
    </x:row>
    <x:row r="185" ht="23" customHeight="1">
      <x:c r="A185" s="36"/>
      <x:c r="B185" s="36"/>
      <x:c r="C185" s="40"/>
      <x:c r="D185" s="36"/>
      <x:c r="E185" s="36"/>
      <x:c r="F185" s="36"/>
      <x:c r="G185" s="36"/>
      <x:c r="H185" s="41"/>
      <x:c r="I185" s="41"/>
      <x:c r="J185" s="41"/>
      <x:c r="K185" s="41"/>
      <x:c r="L185" s="36"/>
      <x:c r="M185" s="42" t="str">
        <x:f>IF(A185="","",IF(COUNTIFS('Lots'!$A$6:$A$105,G185)=1,VLOOKUP(G185,'Lots'!$A$6:$B$105,2,FALSE),"Unknown lot"))</x:f>
      </x:c>
      <x:c r="N185" s="37" t="str">
        <x:f>IF(A185="","",IF(F185="Return",-1,1)*(H185*I185-J185))</x:f>
      </x:c>
      <x:c r="O185" s="37" t="str">
        <x:f>IF(A185="","",IF(F185="Return",-K185,K185))</x:f>
      </x:c>
      <x:c r="P185" s="37" t="str">
        <x:f>IF(A185="","",N185+O185)</x:f>
      </x:c>
      <x:c r="Q185" s="37" t="str">
        <x:f>IF(A185="","",IF(COUNTIFS('Lots'!$A$6:$A$105,G185)=1,VLOOKUP(G185,'Lots'!$A$6:$J$105,10,FALSE),"Unknown lot"))</x:f>
      </x:c>
      <x:c r="R185" s="37" t="str">
        <x:f>IF(A185="","",IF(ISNUMBER(Q185),IF(F185="Return",-1,1)*H185*Q185,"Cost missing"))</x:f>
      </x:c>
      <x:c r="S185" s="37" t="str">
        <x:f>IF(A185="","",IF(ISNUMBER(R185),N185-R185,"Cost missing"))</x:f>
      </x:c>
      <x:c r="T185" s="42" t="str">
        <x:f>IF(A185="","",IF(COUNTIFS($A$6:$A$205,A185)&lt;&gt;1,"Duplicate ID",IF(OR(B185="",D185="",NOT(ISNUMBER(C185)),H185&lt;=0,NOT(ISNUMBER(I185)),I185&lt;0,J185&lt;0,J185&gt;H185*I185,K185&lt;0),"Check sale inputs",IF(NOT(ISNUMBER(Q185)),"Lot/cost incomplete",IF(OR(F185="Sale",F185="Return"),"OK","Type required")))))</x:f>
      </x:c>
    </x:row>
    <x:row r="186" ht="23" customHeight="1">
      <x:c r="A186" s="36"/>
      <x:c r="B186" s="36"/>
      <x:c r="C186" s="40"/>
      <x:c r="D186" s="36"/>
      <x:c r="E186" s="36"/>
      <x:c r="F186" s="36"/>
      <x:c r="G186" s="36"/>
      <x:c r="H186" s="41"/>
      <x:c r="I186" s="41"/>
      <x:c r="J186" s="41"/>
      <x:c r="K186" s="41"/>
      <x:c r="L186" s="36"/>
      <x:c r="M186" s="42" t="str">
        <x:f>IF(A186="","",IF(COUNTIFS('Lots'!$A$6:$A$105,G186)=1,VLOOKUP(G186,'Lots'!$A$6:$B$105,2,FALSE),"Unknown lot"))</x:f>
      </x:c>
      <x:c r="N186" s="37" t="str">
        <x:f>IF(A186="","",IF(F186="Return",-1,1)*(H186*I186-J186))</x:f>
      </x:c>
      <x:c r="O186" s="37" t="str">
        <x:f>IF(A186="","",IF(F186="Return",-K186,K186))</x:f>
      </x:c>
      <x:c r="P186" s="37" t="str">
        <x:f>IF(A186="","",N186+O186)</x:f>
      </x:c>
      <x:c r="Q186" s="37" t="str">
        <x:f>IF(A186="","",IF(COUNTIFS('Lots'!$A$6:$A$105,G186)=1,VLOOKUP(G186,'Lots'!$A$6:$J$105,10,FALSE),"Unknown lot"))</x:f>
      </x:c>
      <x:c r="R186" s="37" t="str">
        <x:f>IF(A186="","",IF(ISNUMBER(Q186),IF(F186="Return",-1,1)*H186*Q186,"Cost missing"))</x:f>
      </x:c>
      <x:c r="S186" s="37" t="str">
        <x:f>IF(A186="","",IF(ISNUMBER(R186),N186-R186,"Cost missing"))</x:f>
      </x:c>
      <x:c r="T186" s="42" t="str">
        <x:f>IF(A186="","",IF(COUNTIFS($A$6:$A$205,A186)&lt;&gt;1,"Duplicate ID",IF(OR(B186="",D186="",NOT(ISNUMBER(C186)),H186&lt;=0,NOT(ISNUMBER(I186)),I186&lt;0,J186&lt;0,J186&gt;H186*I186,K186&lt;0),"Check sale inputs",IF(NOT(ISNUMBER(Q186)),"Lot/cost incomplete",IF(OR(F186="Sale",F186="Return"),"OK","Type required")))))</x:f>
      </x:c>
    </x:row>
    <x:row r="187" ht="23" customHeight="1">
      <x:c r="A187" s="36"/>
      <x:c r="B187" s="36"/>
      <x:c r="C187" s="40"/>
      <x:c r="D187" s="36"/>
      <x:c r="E187" s="36"/>
      <x:c r="F187" s="36"/>
      <x:c r="G187" s="36"/>
      <x:c r="H187" s="41"/>
      <x:c r="I187" s="41"/>
      <x:c r="J187" s="41"/>
      <x:c r="K187" s="41"/>
      <x:c r="L187" s="36"/>
      <x:c r="M187" s="42" t="str">
        <x:f>IF(A187="","",IF(COUNTIFS('Lots'!$A$6:$A$105,G187)=1,VLOOKUP(G187,'Lots'!$A$6:$B$105,2,FALSE),"Unknown lot"))</x:f>
      </x:c>
      <x:c r="N187" s="37" t="str">
        <x:f>IF(A187="","",IF(F187="Return",-1,1)*(H187*I187-J187))</x:f>
      </x:c>
      <x:c r="O187" s="37" t="str">
        <x:f>IF(A187="","",IF(F187="Return",-K187,K187))</x:f>
      </x:c>
      <x:c r="P187" s="37" t="str">
        <x:f>IF(A187="","",N187+O187)</x:f>
      </x:c>
      <x:c r="Q187" s="37" t="str">
        <x:f>IF(A187="","",IF(COUNTIFS('Lots'!$A$6:$A$105,G187)=1,VLOOKUP(G187,'Lots'!$A$6:$J$105,10,FALSE),"Unknown lot"))</x:f>
      </x:c>
      <x:c r="R187" s="37" t="str">
        <x:f>IF(A187="","",IF(ISNUMBER(Q187),IF(F187="Return",-1,1)*H187*Q187,"Cost missing"))</x:f>
      </x:c>
      <x:c r="S187" s="37" t="str">
        <x:f>IF(A187="","",IF(ISNUMBER(R187),N187-R187,"Cost missing"))</x:f>
      </x:c>
      <x:c r="T187" s="42" t="str">
        <x:f>IF(A187="","",IF(COUNTIFS($A$6:$A$205,A187)&lt;&gt;1,"Duplicate ID",IF(OR(B187="",D187="",NOT(ISNUMBER(C187)),H187&lt;=0,NOT(ISNUMBER(I187)),I187&lt;0,J187&lt;0,J187&gt;H187*I187,K187&lt;0),"Check sale inputs",IF(NOT(ISNUMBER(Q187)),"Lot/cost incomplete",IF(OR(F187="Sale",F187="Return"),"OK","Type required")))))</x:f>
      </x:c>
    </x:row>
    <x:row r="188" ht="23" customHeight="1">
      <x:c r="A188" s="36"/>
      <x:c r="B188" s="36"/>
      <x:c r="C188" s="40"/>
      <x:c r="D188" s="36"/>
      <x:c r="E188" s="36"/>
      <x:c r="F188" s="36"/>
      <x:c r="G188" s="36"/>
      <x:c r="H188" s="41"/>
      <x:c r="I188" s="41"/>
      <x:c r="J188" s="41"/>
      <x:c r="K188" s="41"/>
      <x:c r="L188" s="36"/>
      <x:c r="M188" s="42" t="str">
        <x:f>IF(A188="","",IF(COUNTIFS('Lots'!$A$6:$A$105,G188)=1,VLOOKUP(G188,'Lots'!$A$6:$B$105,2,FALSE),"Unknown lot"))</x:f>
      </x:c>
      <x:c r="N188" s="37" t="str">
        <x:f>IF(A188="","",IF(F188="Return",-1,1)*(H188*I188-J188))</x:f>
      </x:c>
      <x:c r="O188" s="37" t="str">
        <x:f>IF(A188="","",IF(F188="Return",-K188,K188))</x:f>
      </x:c>
      <x:c r="P188" s="37" t="str">
        <x:f>IF(A188="","",N188+O188)</x:f>
      </x:c>
      <x:c r="Q188" s="37" t="str">
        <x:f>IF(A188="","",IF(COUNTIFS('Lots'!$A$6:$A$105,G188)=1,VLOOKUP(G188,'Lots'!$A$6:$J$105,10,FALSE),"Unknown lot"))</x:f>
      </x:c>
      <x:c r="R188" s="37" t="str">
        <x:f>IF(A188="","",IF(ISNUMBER(Q188),IF(F188="Return",-1,1)*H188*Q188,"Cost missing"))</x:f>
      </x:c>
      <x:c r="S188" s="37" t="str">
        <x:f>IF(A188="","",IF(ISNUMBER(R188),N188-R188,"Cost missing"))</x:f>
      </x:c>
      <x:c r="T188" s="42" t="str">
        <x:f>IF(A188="","",IF(COUNTIFS($A$6:$A$205,A188)&lt;&gt;1,"Duplicate ID",IF(OR(B188="",D188="",NOT(ISNUMBER(C188)),H188&lt;=0,NOT(ISNUMBER(I188)),I188&lt;0,J188&lt;0,J188&gt;H188*I188,K188&lt;0),"Check sale inputs",IF(NOT(ISNUMBER(Q188)),"Lot/cost incomplete",IF(OR(F188="Sale",F188="Return"),"OK","Type required")))))</x:f>
      </x:c>
    </x:row>
    <x:row r="189" ht="23" customHeight="1">
      <x:c r="A189" s="36"/>
      <x:c r="B189" s="36"/>
      <x:c r="C189" s="40"/>
      <x:c r="D189" s="36"/>
      <x:c r="E189" s="36"/>
      <x:c r="F189" s="36"/>
      <x:c r="G189" s="36"/>
      <x:c r="H189" s="41"/>
      <x:c r="I189" s="41"/>
      <x:c r="J189" s="41"/>
      <x:c r="K189" s="41"/>
      <x:c r="L189" s="36"/>
      <x:c r="M189" s="42" t="str">
        <x:f>IF(A189="","",IF(COUNTIFS('Lots'!$A$6:$A$105,G189)=1,VLOOKUP(G189,'Lots'!$A$6:$B$105,2,FALSE),"Unknown lot"))</x:f>
      </x:c>
      <x:c r="N189" s="37" t="str">
        <x:f>IF(A189="","",IF(F189="Return",-1,1)*(H189*I189-J189))</x:f>
      </x:c>
      <x:c r="O189" s="37" t="str">
        <x:f>IF(A189="","",IF(F189="Return",-K189,K189))</x:f>
      </x:c>
      <x:c r="P189" s="37" t="str">
        <x:f>IF(A189="","",N189+O189)</x:f>
      </x:c>
      <x:c r="Q189" s="37" t="str">
        <x:f>IF(A189="","",IF(COUNTIFS('Lots'!$A$6:$A$105,G189)=1,VLOOKUP(G189,'Lots'!$A$6:$J$105,10,FALSE),"Unknown lot"))</x:f>
      </x:c>
      <x:c r="R189" s="37" t="str">
        <x:f>IF(A189="","",IF(ISNUMBER(Q189),IF(F189="Return",-1,1)*H189*Q189,"Cost missing"))</x:f>
      </x:c>
      <x:c r="S189" s="37" t="str">
        <x:f>IF(A189="","",IF(ISNUMBER(R189),N189-R189,"Cost missing"))</x:f>
      </x:c>
      <x:c r="T189" s="42" t="str">
        <x:f>IF(A189="","",IF(COUNTIFS($A$6:$A$205,A189)&lt;&gt;1,"Duplicate ID",IF(OR(B189="",D189="",NOT(ISNUMBER(C189)),H189&lt;=0,NOT(ISNUMBER(I189)),I189&lt;0,J189&lt;0,J189&gt;H189*I189,K189&lt;0),"Check sale inputs",IF(NOT(ISNUMBER(Q189)),"Lot/cost incomplete",IF(OR(F189="Sale",F189="Return"),"OK","Type required")))))</x:f>
      </x:c>
    </x:row>
    <x:row r="190" ht="23" customHeight="1">
      <x:c r="A190" s="36"/>
      <x:c r="B190" s="36"/>
      <x:c r="C190" s="40"/>
      <x:c r="D190" s="36"/>
      <x:c r="E190" s="36"/>
      <x:c r="F190" s="36"/>
      <x:c r="G190" s="36"/>
      <x:c r="H190" s="41"/>
      <x:c r="I190" s="41"/>
      <x:c r="J190" s="41"/>
      <x:c r="K190" s="41"/>
      <x:c r="L190" s="36"/>
      <x:c r="M190" s="42" t="str">
        <x:f>IF(A190="","",IF(COUNTIFS('Lots'!$A$6:$A$105,G190)=1,VLOOKUP(G190,'Lots'!$A$6:$B$105,2,FALSE),"Unknown lot"))</x:f>
      </x:c>
      <x:c r="N190" s="37" t="str">
        <x:f>IF(A190="","",IF(F190="Return",-1,1)*(H190*I190-J190))</x:f>
      </x:c>
      <x:c r="O190" s="37" t="str">
        <x:f>IF(A190="","",IF(F190="Return",-K190,K190))</x:f>
      </x:c>
      <x:c r="P190" s="37" t="str">
        <x:f>IF(A190="","",N190+O190)</x:f>
      </x:c>
      <x:c r="Q190" s="37" t="str">
        <x:f>IF(A190="","",IF(COUNTIFS('Lots'!$A$6:$A$105,G190)=1,VLOOKUP(G190,'Lots'!$A$6:$J$105,10,FALSE),"Unknown lot"))</x:f>
      </x:c>
      <x:c r="R190" s="37" t="str">
        <x:f>IF(A190="","",IF(ISNUMBER(Q190),IF(F190="Return",-1,1)*H190*Q190,"Cost missing"))</x:f>
      </x:c>
      <x:c r="S190" s="37" t="str">
        <x:f>IF(A190="","",IF(ISNUMBER(R190),N190-R190,"Cost missing"))</x:f>
      </x:c>
      <x:c r="T190" s="42" t="str">
        <x:f>IF(A190="","",IF(COUNTIFS($A$6:$A$205,A190)&lt;&gt;1,"Duplicate ID",IF(OR(B190="",D190="",NOT(ISNUMBER(C190)),H190&lt;=0,NOT(ISNUMBER(I190)),I190&lt;0,J190&lt;0,J190&gt;H190*I190,K190&lt;0),"Check sale inputs",IF(NOT(ISNUMBER(Q190)),"Lot/cost incomplete",IF(OR(F190="Sale",F190="Return"),"OK","Type required")))))</x:f>
      </x:c>
    </x:row>
    <x:row r="191" ht="23" customHeight="1">
      <x:c r="A191" s="36"/>
      <x:c r="B191" s="36"/>
      <x:c r="C191" s="40"/>
      <x:c r="D191" s="36"/>
      <x:c r="E191" s="36"/>
      <x:c r="F191" s="36"/>
      <x:c r="G191" s="36"/>
      <x:c r="H191" s="41"/>
      <x:c r="I191" s="41"/>
      <x:c r="J191" s="41"/>
      <x:c r="K191" s="41"/>
      <x:c r="L191" s="36"/>
      <x:c r="M191" s="42" t="str">
        <x:f>IF(A191="","",IF(COUNTIFS('Lots'!$A$6:$A$105,G191)=1,VLOOKUP(G191,'Lots'!$A$6:$B$105,2,FALSE),"Unknown lot"))</x:f>
      </x:c>
      <x:c r="N191" s="37" t="str">
        <x:f>IF(A191="","",IF(F191="Return",-1,1)*(H191*I191-J191))</x:f>
      </x:c>
      <x:c r="O191" s="37" t="str">
        <x:f>IF(A191="","",IF(F191="Return",-K191,K191))</x:f>
      </x:c>
      <x:c r="P191" s="37" t="str">
        <x:f>IF(A191="","",N191+O191)</x:f>
      </x:c>
      <x:c r="Q191" s="37" t="str">
        <x:f>IF(A191="","",IF(COUNTIFS('Lots'!$A$6:$A$105,G191)=1,VLOOKUP(G191,'Lots'!$A$6:$J$105,10,FALSE),"Unknown lot"))</x:f>
      </x:c>
      <x:c r="R191" s="37" t="str">
        <x:f>IF(A191="","",IF(ISNUMBER(Q191),IF(F191="Return",-1,1)*H191*Q191,"Cost missing"))</x:f>
      </x:c>
      <x:c r="S191" s="37" t="str">
        <x:f>IF(A191="","",IF(ISNUMBER(R191),N191-R191,"Cost missing"))</x:f>
      </x:c>
      <x:c r="T191" s="42" t="str">
        <x:f>IF(A191="","",IF(COUNTIFS($A$6:$A$205,A191)&lt;&gt;1,"Duplicate ID",IF(OR(B191="",D191="",NOT(ISNUMBER(C191)),H191&lt;=0,NOT(ISNUMBER(I191)),I191&lt;0,J191&lt;0,J191&gt;H191*I191,K191&lt;0),"Check sale inputs",IF(NOT(ISNUMBER(Q191)),"Lot/cost incomplete",IF(OR(F191="Sale",F191="Return"),"OK","Type required")))))</x:f>
      </x:c>
    </x:row>
    <x:row r="192" ht="23" customHeight="1">
      <x:c r="A192" s="36"/>
      <x:c r="B192" s="36"/>
      <x:c r="C192" s="40"/>
      <x:c r="D192" s="36"/>
      <x:c r="E192" s="36"/>
      <x:c r="F192" s="36"/>
      <x:c r="G192" s="36"/>
      <x:c r="H192" s="41"/>
      <x:c r="I192" s="41"/>
      <x:c r="J192" s="41"/>
      <x:c r="K192" s="41"/>
      <x:c r="L192" s="36"/>
      <x:c r="M192" s="42" t="str">
        <x:f>IF(A192="","",IF(COUNTIFS('Lots'!$A$6:$A$105,G192)=1,VLOOKUP(G192,'Lots'!$A$6:$B$105,2,FALSE),"Unknown lot"))</x:f>
      </x:c>
      <x:c r="N192" s="37" t="str">
        <x:f>IF(A192="","",IF(F192="Return",-1,1)*(H192*I192-J192))</x:f>
      </x:c>
      <x:c r="O192" s="37" t="str">
        <x:f>IF(A192="","",IF(F192="Return",-K192,K192))</x:f>
      </x:c>
      <x:c r="P192" s="37" t="str">
        <x:f>IF(A192="","",N192+O192)</x:f>
      </x:c>
      <x:c r="Q192" s="37" t="str">
        <x:f>IF(A192="","",IF(COUNTIFS('Lots'!$A$6:$A$105,G192)=1,VLOOKUP(G192,'Lots'!$A$6:$J$105,10,FALSE),"Unknown lot"))</x:f>
      </x:c>
      <x:c r="R192" s="37" t="str">
        <x:f>IF(A192="","",IF(ISNUMBER(Q192),IF(F192="Return",-1,1)*H192*Q192,"Cost missing"))</x:f>
      </x:c>
      <x:c r="S192" s="37" t="str">
        <x:f>IF(A192="","",IF(ISNUMBER(R192),N192-R192,"Cost missing"))</x:f>
      </x:c>
      <x:c r="T192" s="42" t="str">
        <x:f>IF(A192="","",IF(COUNTIFS($A$6:$A$205,A192)&lt;&gt;1,"Duplicate ID",IF(OR(B192="",D192="",NOT(ISNUMBER(C192)),H192&lt;=0,NOT(ISNUMBER(I192)),I192&lt;0,J192&lt;0,J192&gt;H192*I192,K192&lt;0),"Check sale inputs",IF(NOT(ISNUMBER(Q192)),"Lot/cost incomplete",IF(OR(F192="Sale",F192="Return"),"OK","Type required")))))</x:f>
      </x:c>
    </x:row>
    <x:row r="193" ht="23" customHeight="1">
      <x:c r="A193" s="36"/>
      <x:c r="B193" s="36"/>
      <x:c r="C193" s="40"/>
      <x:c r="D193" s="36"/>
      <x:c r="E193" s="36"/>
      <x:c r="F193" s="36"/>
      <x:c r="G193" s="36"/>
      <x:c r="H193" s="41"/>
      <x:c r="I193" s="41"/>
      <x:c r="J193" s="41"/>
      <x:c r="K193" s="41"/>
      <x:c r="L193" s="36"/>
      <x:c r="M193" s="42" t="str">
        <x:f>IF(A193="","",IF(COUNTIFS('Lots'!$A$6:$A$105,G193)=1,VLOOKUP(G193,'Lots'!$A$6:$B$105,2,FALSE),"Unknown lot"))</x:f>
      </x:c>
      <x:c r="N193" s="37" t="str">
        <x:f>IF(A193="","",IF(F193="Return",-1,1)*(H193*I193-J193))</x:f>
      </x:c>
      <x:c r="O193" s="37" t="str">
        <x:f>IF(A193="","",IF(F193="Return",-K193,K193))</x:f>
      </x:c>
      <x:c r="P193" s="37" t="str">
        <x:f>IF(A193="","",N193+O193)</x:f>
      </x:c>
      <x:c r="Q193" s="37" t="str">
        <x:f>IF(A193="","",IF(COUNTIFS('Lots'!$A$6:$A$105,G193)=1,VLOOKUP(G193,'Lots'!$A$6:$J$105,10,FALSE),"Unknown lot"))</x:f>
      </x:c>
      <x:c r="R193" s="37" t="str">
        <x:f>IF(A193="","",IF(ISNUMBER(Q193),IF(F193="Return",-1,1)*H193*Q193,"Cost missing"))</x:f>
      </x:c>
      <x:c r="S193" s="37" t="str">
        <x:f>IF(A193="","",IF(ISNUMBER(R193),N193-R193,"Cost missing"))</x:f>
      </x:c>
      <x:c r="T193" s="42" t="str">
        <x:f>IF(A193="","",IF(COUNTIFS($A$6:$A$205,A193)&lt;&gt;1,"Duplicate ID",IF(OR(B193="",D193="",NOT(ISNUMBER(C193)),H193&lt;=0,NOT(ISNUMBER(I193)),I193&lt;0,J193&lt;0,J193&gt;H193*I193,K193&lt;0),"Check sale inputs",IF(NOT(ISNUMBER(Q193)),"Lot/cost incomplete",IF(OR(F193="Sale",F193="Return"),"OK","Type required")))))</x:f>
      </x:c>
    </x:row>
    <x:row r="194" ht="23" customHeight="1">
      <x:c r="A194" s="36"/>
      <x:c r="B194" s="36"/>
      <x:c r="C194" s="40"/>
      <x:c r="D194" s="36"/>
      <x:c r="E194" s="36"/>
      <x:c r="F194" s="36"/>
      <x:c r="G194" s="36"/>
      <x:c r="H194" s="41"/>
      <x:c r="I194" s="41"/>
      <x:c r="J194" s="41"/>
      <x:c r="K194" s="41"/>
      <x:c r="L194" s="36"/>
      <x:c r="M194" s="42" t="str">
        <x:f>IF(A194="","",IF(COUNTIFS('Lots'!$A$6:$A$105,G194)=1,VLOOKUP(G194,'Lots'!$A$6:$B$105,2,FALSE),"Unknown lot"))</x:f>
      </x:c>
      <x:c r="N194" s="37" t="str">
        <x:f>IF(A194="","",IF(F194="Return",-1,1)*(H194*I194-J194))</x:f>
      </x:c>
      <x:c r="O194" s="37" t="str">
        <x:f>IF(A194="","",IF(F194="Return",-K194,K194))</x:f>
      </x:c>
      <x:c r="P194" s="37" t="str">
        <x:f>IF(A194="","",N194+O194)</x:f>
      </x:c>
      <x:c r="Q194" s="37" t="str">
        <x:f>IF(A194="","",IF(COUNTIFS('Lots'!$A$6:$A$105,G194)=1,VLOOKUP(G194,'Lots'!$A$6:$J$105,10,FALSE),"Unknown lot"))</x:f>
      </x:c>
      <x:c r="R194" s="37" t="str">
        <x:f>IF(A194="","",IF(ISNUMBER(Q194),IF(F194="Return",-1,1)*H194*Q194,"Cost missing"))</x:f>
      </x:c>
      <x:c r="S194" s="37" t="str">
        <x:f>IF(A194="","",IF(ISNUMBER(R194),N194-R194,"Cost missing"))</x:f>
      </x:c>
      <x:c r="T194" s="42" t="str">
        <x:f>IF(A194="","",IF(COUNTIFS($A$6:$A$205,A194)&lt;&gt;1,"Duplicate ID",IF(OR(B194="",D194="",NOT(ISNUMBER(C194)),H194&lt;=0,NOT(ISNUMBER(I194)),I194&lt;0,J194&lt;0,J194&gt;H194*I194,K194&lt;0),"Check sale inputs",IF(NOT(ISNUMBER(Q194)),"Lot/cost incomplete",IF(OR(F194="Sale",F194="Return"),"OK","Type required")))))</x:f>
      </x:c>
    </x:row>
    <x:row r="195" ht="23" customHeight="1">
      <x:c r="A195" s="36"/>
      <x:c r="B195" s="36"/>
      <x:c r="C195" s="40"/>
      <x:c r="D195" s="36"/>
      <x:c r="E195" s="36"/>
      <x:c r="F195" s="36"/>
      <x:c r="G195" s="36"/>
      <x:c r="H195" s="41"/>
      <x:c r="I195" s="41"/>
      <x:c r="J195" s="41"/>
      <x:c r="K195" s="41"/>
      <x:c r="L195" s="36"/>
      <x:c r="M195" s="42" t="str">
        <x:f>IF(A195="","",IF(COUNTIFS('Lots'!$A$6:$A$105,G195)=1,VLOOKUP(G195,'Lots'!$A$6:$B$105,2,FALSE),"Unknown lot"))</x:f>
      </x:c>
      <x:c r="N195" s="37" t="str">
        <x:f>IF(A195="","",IF(F195="Return",-1,1)*(H195*I195-J195))</x:f>
      </x:c>
      <x:c r="O195" s="37" t="str">
        <x:f>IF(A195="","",IF(F195="Return",-K195,K195))</x:f>
      </x:c>
      <x:c r="P195" s="37" t="str">
        <x:f>IF(A195="","",N195+O195)</x:f>
      </x:c>
      <x:c r="Q195" s="37" t="str">
        <x:f>IF(A195="","",IF(COUNTIFS('Lots'!$A$6:$A$105,G195)=1,VLOOKUP(G195,'Lots'!$A$6:$J$105,10,FALSE),"Unknown lot"))</x:f>
      </x:c>
      <x:c r="R195" s="37" t="str">
        <x:f>IF(A195="","",IF(ISNUMBER(Q195),IF(F195="Return",-1,1)*H195*Q195,"Cost missing"))</x:f>
      </x:c>
      <x:c r="S195" s="37" t="str">
        <x:f>IF(A195="","",IF(ISNUMBER(R195),N195-R195,"Cost missing"))</x:f>
      </x:c>
      <x:c r="T195" s="42" t="str">
        <x:f>IF(A195="","",IF(COUNTIFS($A$6:$A$205,A195)&lt;&gt;1,"Duplicate ID",IF(OR(B195="",D195="",NOT(ISNUMBER(C195)),H195&lt;=0,NOT(ISNUMBER(I195)),I195&lt;0,J195&lt;0,J195&gt;H195*I195,K195&lt;0),"Check sale inputs",IF(NOT(ISNUMBER(Q195)),"Lot/cost incomplete",IF(OR(F195="Sale",F195="Return"),"OK","Type required")))))</x:f>
      </x:c>
    </x:row>
    <x:row r="196" ht="23" customHeight="1">
      <x:c r="A196" s="36"/>
      <x:c r="B196" s="36"/>
      <x:c r="C196" s="40"/>
      <x:c r="D196" s="36"/>
      <x:c r="E196" s="36"/>
      <x:c r="F196" s="36"/>
      <x:c r="G196" s="36"/>
      <x:c r="H196" s="41"/>
      <x:c r="I196" s="41"/>
      <x:c r="J196" s="41"/>
      <x:c r="K196" s="41"/>
      <x:c r="L196" s="36"/>
      <x:c r="M196" s="42" t="str">
        <x:f>IF(A196="","",IF(COUNTIFS('Lots'!$A$6:$A$105,G196)=1,VLOOKUP(G196,'Lots'!$A$6:$B$105,2,FALSE),"Unknown lot"))</x:f>
      </x:c>
      <x:c r="N196" s="37" t="str">
        <x:f>IF(A196="","",IF(F196="Return",-1,1)*(H196*I196-J196))</x:f>
      </x:c>
      <x:c r="O196" s="37" t="str">
        <x:f>IF(A196="","",IF(F196="Return",-K196,K196))</x:f>
      </x:c>
      <x:c r="P196" s="37" t="str">
        <x:f>IF(A196="","",N196+O196)</x:f>
      </x:c>
      <x:c r="Q196" s="37" t="str">
        <x:f>IF(A196="","",IF(COUNTIFS('Lots'!$A$6:$A$105,G196)=1,VLOOKUP(G196,'Lots'!$A$6:$J$105,10,FALSE),"Unknown lot"))</x:f>
      </x:c>
      <x:c r="R196" s="37" t="str">
        <x:f>IF(A196="","",IF(ISNUMBER(Q196),IF(F196="Return",-1,1)*H196*Q196,"Cost missing"))</x:f>
      </x:c>
      <x:c r="S196" s="37" t="str">
        <x:f>IF(A196="","",IF(ISNUMBER(R196),N196-R196,"Cost missing"))</x:f>
      </x:c>
      <x:c r="T196" s="42" t="str">
        <x:f>IF(A196="","",IF(COUNTIFS($A$6:$A$205,A196)&lt;&gt;1,"Duplicate ID",IF(OR(B196="",D196="",NOT(ISNUMBER(C196)),H196&lt;=0,NOT(ISNUMBER(I196)),I196&lt;0,J196&lt;0,J196&gt;H196*I196,K196&lt;0),"Check sale inputs",IF(NOT(ISNUMBER(Q196)),"Lot/cost incomplete",IF(OR(F196="Sale",F196="Return"),"OK","Type required")))))</x:f>
      </x:c>
    </x:row>
    <x:row r="197" ht="23" customHeight="1">
      <x:c r="A197" s="36"/>
      <x:c r="B197" s="36"/>
      <x:c r="C197" s="40"/>
      <x:c r="D197" s="36"/>
      <x:c r="E197" s="36"/>
      <x:c r="F197" s="36"/>
      <x:c r="G197" s="36"/>
      <x:c r="H197" s="41"/>
      <x:c r="I197" s="41"/>
      <x:c r="J197" s="41"/>
      <x:c r="K197" s="41"/>
      <x:c r="L197" s="36"/>
      <x:c r="M197" s="42" t="str">
        <x:f>IF(A197="","",IF(COUNTIFS('Lots'!$A$6:$A$105,G197)=1,VLOOKUP(G197,'Lots'!$A$6:$B$105,2,FALSE),"Unknown lot"))</x:f>
      </x:c>
      <x:c r="N197" s="37" t="str">
        <x:f>IF(A197="","",IF(F197="Return",-1,1)*(H197*I197-J197))</x:f>
      </x:c>
      <x:c r="O197" s="37" t="str">
        <x:f>IF(A197="","",IF(F197="Return",-K197,K197))</x:f>
      </x:c>
      <x:c r="P197" s="37" t="str">
        <x:f>IF(A197="","",N197+O197)</x:f>
      </x:c>
      <x:c r="Q197" s="37" t="str">
        <x:f>IF(A197="","",IF(COUNTIFS('Lots'!$A$6:$A$105,G197)=1,VLOOKUP(G197,'Lots'!$A$6:$J$105,10,FALSE),"Unknown lot"))</x:f>
      </x:c>
      <x:c r="R197" s="37" t="str">
        <x:f>IF(A197="","",IF(ISNUMBER(Q197),IF(F197="Return",-1,1)*H197*Q197,"Cost missing"))</x:f>
      </x:c>
      <x:c r="S197" s="37" t="str">
        <x:f>IF(A197="","",IF(ISNUMBER(R197),N197-R197,"Cost missing"))</x:f>
      </x:c>
      <x:c r="T197" s="42" t="str">
        <x:f>IF(A197="","",IF(COUNTIFS($A$6:$A$205,A197)&lt;&gt;1,"Duplicate ID",IF(OR(B197="",D197="",NOT(ISNUMBER(C197)),H197&lt;=0,NOT(ISNUMBER(I197)),I197&lt;0,J197&lt;0,J197&gt;H197*I197,K197&lt;0),"Check sale inputs",IF(NOT(ISNUMBER(Q197)),"Lot/cost incomplete",IF(OR(F197="Sale",F197="Return"),"OK","Type required")))))</x:f>
      </x:c>
    </x:row>
    <x:row r="198" ht="23" customHeight="1">
      <x:c r="A198" s="36"/>
      <x:c r="B198" s="36"/>
      <x:c r="C198" s="40"/>
      <x:c r="D198" s="36"/>
      <x:c r="E198" s="36"/>
      <x:c r="F198" s="36"/>
      <x:c r="G198" s="36"/>
      <x:c r="H198" s="41"/>
      <x:c r="I198" s="41"/>
      <x:c r="J198" s="41"/>
      <x:c r="K198" s="41"/>
      <x:c r="L198" s="36"/>
      <x:c r="M198" s="42" t="str">
        <x:f>IF(A198="","",IF(COUNTIFS('Lots'!$A$6:$A$105,G198)=1,VLOOKUP(G198,'Lots'!$A$6:$B$105,2,FALSE),"Unknown lot"))</x:f>
      </x:c>
      <x:c r="N198" s="37" t="str">
        <x:f>IF(A198="","",IF(F198="Return",-1,1)*(H198*I198-J198))</x:f>
      </x:c>
      <x:c r="O198" s="37" t="str">
        <x:f>IF(A198="","",IF(F198="Return",-K198,K198))</x:f>
      </x:c>
      <x:c r="P198" s="37" t="str">
        <x:f>IF(A198="","",N198+O198)</x:f>
      </x:c>
      <x:c r="Q198" s="37" t="str">
        <x:f>IF(A198="","",IF(COUNTIFS('Lots'!$A$6:$A$105,G198)=1,VLOOKUP(G198,'Lots'!$A$6:$J$105,10,FALSE),"Unknown lot"))</x:f>
      </x:c>
      <x:c r="R198" s="37" t="str">
        <x:f>IF(A198="","",IF(ISNUMBER(Q198),IF(F198="Return",-1,1)*H198*Q198,"Cost missing"))</x:f>
      </x:c>
      <x:c r="S198" s="37" t="str">
        <x:f>IF(A198="","",IF(ISNUMBER(R198),N198-R198,"Cost missing"))</x:f>
      </x:c>
      <x:c r="T198" s="42" t="str">
        <x:f>IF(A198="","",IF(COUNTIFS($A$6:$A$205,A198)&lt;&gt;1,"Duplicate ID",IF(OR(B198="",D198="",NOT(ISNUMBER(C198)),H198&lt;=0,NOT(ISNUMBER(I198)),I198&lt;0,J198&lt;0,J198&gt;H198*I198,K198&lt;0),"Check sale inputs",IF(NOT(ISNUMBER(Q198)),"Lot/cost incomplete",IF(OR(F198="Sale",F198="Return"),"OK","Type required")))))</x:f>
      </x:c>
    </x:row>
    <x:row r="199" ht="23" customHeight="1">
      <x:c r="A199" s="36"/>
      <x:c r="B199" s="36"/>
      <x:c r="C199" s="40"/>
      <x:c r="D199" s="36"/>
      <x:c r="E199" s="36"/>
      <x:c r="F199" s="36"/>
      <x:c r="G199" s="36"/>
      <x:c r="H199" s="41"/>
      <x:c r="I199" s="41"/>
      <x:c r="J199" s="41"/>
      <x:c r="K199" s="41"/>
      <x:c r="L199" s="36"/>
      <x:c r="M199" s="42" t="str">
        <x:f>IF(A199="","",IF(COUNTIFS('Lots'!$A$6:$A$105,G199)=1,VLOOKUP(G199,'Lots'!$A$6:$B$105,2,FALSE),"Unknown lot"))</x:f>
      </x:c>
      <x:c r="N199" s="37" t="str">
        <x:f>IF(A199="","",IF(F199="Return",-1,1)*(H199*I199-J199))</x:f>
      </x:c>
      <x:c r="O199" s="37" t="str">
        <x:f>IF(A199="","",IF(F199="Return",-K199,K199))</x:f>
      </x:c>
      <x:c r="P199" s="37" t="str">
        <x:f>IF(A199="","",N199+O199)</x:f>
      </x:c>
      <x:c r="Q199" s="37" t="str">
        <x:f>IF(A199="","",IF(COUNTIFS('Lots'!$A$6:$A$105,G199)=1,VLOOKUP(G199,'Lots'!$A$6:$J$105,10,FALSE),"Unknown lot"))</x:f>
      </x:c>
      <x:c r="R199" s="37" t="str">
        <x:f>IF(A199="","",IF(ISNUMBER(Q199),IF(F199="Return",-1,1)*H199*Q199,"Cost missing"))</x:f>
      </x:c>
      <x:c r="S199" s="37" t="str">
        <x:f>IF(A199="","",IF(ISNUMBER(R199),N199-R199,"Cost missing"))</x:f>
      </x:c>
      <x:c r="T199" s="42" t="str">
        <x:f>IF(A199="","",IF(COUNTIFS($A$6:$A$205,A199)&lt;&gt;1,"Duplicate ID",IF(OR(B199="",D199="",NOT(ISNUMBER(C199)),H199&lt;=0,NOT(ISNUMBER(I199)),I199&lt;0,J199&lt;0,J199&gt;H199*I199,K199&lt;0),"Check sale inputs",IF(NOT(ISNUMBER(Q199)),"Lot/cost incomplete",IF(OR(F199="Sale",F199="Return"),"OK","Type required")))))</x:f>
      </x:c>
    </x:row>
    <x:row r="200" ht="23" customHeight="1">
      <x:c r="A200" s="36"/>
      <x:c r="B200" s="36"/>
      <x:c r="C200" s="40"/>
      <x:c r="D200" s="36"/>
      <x:c r="E200" s="36"/>
      <x:c r="F200" s="36"/>
      <x:c r="G200" s="36"/>
      <x:c r="H200" s="41"/>
      <x:c r="I200" s="41"/>
      <x:c r="J200" s="41"/>
      <x:c r="K200" s="41"/>
      <x:c r="L200" s="36"/>
      <x:c r="M200" s="42" t="str">
        <x:f>IF(A200="","",IF(COUNTIFS('Lots'!$A$6:$A$105,G200)=1,VLOOKUP(G200,'Lots'!$A$6:$B$105,2,FALSE),"Unknown lot"))</x:f>
      </x:c>
      <x:c r="N200" s="37" t="str">
        <x:f>IF(A200="","",IF(F200="Return",-1,1)*(H200*I200-J200))</x:f>
      </x:c>
      <x:c r="O200" s="37" t="str">
        <x:f>IF(A200="","",IF(F200="Return",-K200,K200))</x:f>
      </x:c>
      <x:c r="P200" s="37" t="str">
        <x:f>IF(A200="","",N200+O200)</x:f>
      </x:c>
      <x:c r="Q200" s="37" t="str">
        <x:f>IF(A200="","",IF(COUNTIFS('Lots'!$A$6:$A$105,G200)=1,VLOOKUP(G200,'Lots'!$A$6:$J$105,10,FALSE),"Unknown lot"))</x:f>
      </x:c>
      <x:c r="R200" s="37" t="str">
        <x:f>IF(A200="","",IF(ISNUMBER(Q200),IF(F200="Return",-1,1)*H200*Q200,"Cost missing"))</x:f>
      </x:c>
      <x:c r="S200" s="37" t="str">
        <x:f>IF(A200="","",IF(ISNUMBER(R200),N200-R200,"Cost missing"))</x:f>
      </x:c>
      <x:c r="T200" s="42" t="str">
        <x:f>IF(A200="","",IF(COUNTIFS($A$6:$A$205,A200)&lt;&gt;1,"Duplicate ID",IF(OR(B200="",D200="",NOT(ISNUMBER(C200)),H200&lt;=0,NOT(ISNUMBER(I200)),I200&lt;0,J200&lt;0,J200&gt;H200*I200,K200&lt;0),"Check sale inputs",IF(NOT(ISNUMBER(Q200)),"Lot/cost incomplete",IF(OR(F200="Sale",F200="Return"),"OK","Type required")))))</x:f>
      </x:c>
    </x:row>
    <x:row r="201" ht="23" customHeight="1">
      <x:c r="A201" s="36"/>
      <x:c r="B201" s="36"/>
      <x:c r="C201" s="40"/>
      <x:c r="D201" s="36"/>
      <x:c r="E201" s="36"/>
      <x:c r="F201" s="36"/>
      <x:c r="G201" s="36"/>
      <x:c r="H201" s="41"/>
      <x:c r="I201" s="41"/>
      <x:c r="J201" s="41"/>
      <x:c r="K201" s="41"/>
      <x:c r="L201" s="36"/>
      <x:c r="M201" s="42" t="str">
        <x:f>IF(A201="","",IF(COUNTIFS('Lots'!$A$6:$A$105,G201)=1,VLOOKUP(G201,'Lots'!$A$6:$B$105,2,FALSE),"Unknown lot"))</x:f>
      </x:c>
      <x:c r="N201" s="37" t="str">
        <x:f>IF(A201="","",IF(F201="Return",-1,1)*(H201*I201-J201))</x:f>
      </x:c>
      <x:c r="O201" s="37" t="str">
        <x:f>IF(A201="","",IF(F201="Return",-K201,K201))</x:f>
      </x:c>
      <x:c r="P201" s="37" t="str">
        <x:f>IF(A201="","",N201+O201)</x:f>
      </x:c>
      <x:c r="Q201" s="37" t="str">
        <x:f>IF(A201="","",IF(COUNTIFS('Lots'!$A$6:$A$105,G201)=1,VLOOKUP(G201,'Lots'!$A$6:$J$105,10,FALSE),"Unknown lot"))</x:f>
      </x:c>
      <x:c r="R201" s="37" t="str">
        <x:f>IF(A201="","",IF(ISNUMBER(Q201),IF(F201="Return",-1,1)*H201*Q201,"Cost missing"))</x:f>
      </x:c>
      <x:c r="S201" s="37" t="str">
        <x:f>IF(A201="","",IF(ISNUMBER(R201),N201-R201,"Cost missing"))</x:f>
      </x:c>
      <x:c r="T201" s="42" t="str">
        <x:f>IF(A201="","",IF(COUNTIFS($A$6:$A$205,A201)&lt;&gt;1,"Duplicate ID",IF(OR(B201="",D201="",NOT(ISNUMBER(C201)),H201&lt;=0,NOT(ISNUMBER(I201)),I201&lt;0,J201&lt;0,J201&gt;H201*I201,K201&lt;0),"Check sale inputs",IF(NOT(ISNUMBER(Q201)),"Lot/cost incomplete",IF(OR(F201="Sale",F201="Return"),"OK","Type required")))))</x:f>
      </x:c>
    </x:row>
    <x:row r="202" ht="23" customHeight="1">
      <x:c r="A202" s="36"/>
      <x:c r="B202" s="36"/>
      <x:c r="C202" s="40"/>
      <x:c r="D202" s="36"/>
      <x:c r="E202" s="36"/>
      <x:c r="F202" s="36"/>
      <x:c r="G202" s="36"/>
      <x:c r="H202" s="41"/>
      <x:c r="I202" s="41"/>
      <x:c r="J202" s="41"/>
      <x:c r="K202" s="41"/>
      <x:c r="L202" s="36"/>
      <x:c r="M202" s="42" t="str">
        <x:f>IF(A202="","",IF(COUNTIFS('Lots'!$A$6:$A$105,G202)=1,VLOOKUP(G202,'Lots'!$A$6:$B$105,2,FALSE),"Unknown lot"))</x:f>
      </x:c>
      <x:c r="N202" s="37" t="str">
        <x:f>IF(A202="","",IF(F202="Return",-1,1)*(H202*I202-J202))</x:f>
      </x:c>
      <x:c r="O202" s="37" t="str">
        <x:f>IF(A202="","",IF(F202="Return",-K202,K202))</x:f>
      </x:c>
      <x:c r="P202" s="37" t="str">
        <x:f>IF(A202="","",N202+O202)</x:f>
      </x:c>
      <x:c r="Q202" s="37" t="str">
        <x:f>IF(A202="","",IF(COUNTIFS('Lots'!$A$6:$A$105,G202)=1,VLOOKUP(G202,'Lots'!$A$6:$J$105,10,FALSE),"Unknown lot"))</x:f>
      </x:c>
      <x:c r="R202" s="37" t="str">
        <x:f>IF(A202="","",IF(ISNUMBER(Q202),IF(F202="Return",-1,1)*H202*Q202,"Cost missing"))</x:f>
      </x:c>
      <x:c r="S202" s="37" t="str">
        <x:f>IF(A202="","",IF(ISNUMBER(R202),N202-R202,"Cost missing"))</x:f>
      </x:c>
      <x:c r="T202" s="42" t="str">
        <x:f>IF(A202="","",IF(COUNTIFS($A$6:$A$205,A202)&lt;&gt;1,"Duplicate ID",IF(OR(B202="",D202="",NOT(ISNUMBER(C202)),H202&lt;=0,NOT(ISNUMBER(I202)),I202&lt;0,J202&lt;0,J202&gt;H202*I202,K202&lt;0),"Check sale inputs",IF(NOT(ISNUMBER(Q202)),"Lot/cost incomplete",IF(OR(F202="Sale",F202="Return"),"OK","Type required")))))</x:f>
      </x:c>
    </x:row>
    <x:row r="203" ht="23" customHeight="1">
      <x:c r="A203" s="36"/>
      <x:c r="B203" s="36"/>
      <x:c r="C203" s="40"/>
      <x:c r="D203" s="36"/>
      <x:c r="E203" s="36"/>
      <x:c r="F203" s="36"/>
      <x:c r="G203" s="36"/>
      <x:c r="H203" s="41"/>
      <x:c r="I203" s="41"/>
      <x:c r="J203" s="41"/>
      <x:c r="K203" s="41"/>
      <x:c r="L203" s="36"/>
      <x:c r="M203" s="42" t="str">
        <x:f>IF(A203="","",IF(COUNTIFS('Lots'!$A$6:$A$105,G203)=1,VLOOKUP(G203,'Lots'!$A$6:$B$105,2,FALSE),"Unknown lot"))</x:f>
      </x:c>
      <x:c r="N203" s="37" t="str">
        <x:f>IF(A203="","",IF(F203="Return",-1,1)*(H203*I203-J203))</x:f>
      </x:c>
      <x:c r="O203" s="37" t="str">
        <x:f>IF(A203="","",IF(F203="Return",-K203,K203))</x:f>
      </x:c>
      <x:c r="P203" s="37" t="str">
        <x:f>IF(A203="","",N203+O203)</x:f>
      </x:c>
      <x:c r="Q203" s="37" t="str">
        <x:f>IF(A203="","",IF(COUNTIFS('Lots'!$A$6:$A$105,G203)=1,VLOOKUP(G203,'Lots'!$A$6:$J$105,10,FALSE),"Unknown lot"))</x:f>
      </x:c>
      <x:c r="R203" s="37" t="str">
        <x:f>IF(A203="","",IF(ISNUMBER(Q203),IF(F203="Return",-1,1)*H203*Q203,"Cost missing"))</x:f>
      </x:c>
      <x:c r="S203" s="37" t="str">
        <x:f>IF(A203="","",IF(ISNUMBER(R203),N203-R203,"Cost missing"))</x:f>
      </x:c>
      <x:c r="T203" s="42" t="str">
        <x:f>IF(A203="","",IF(COUNTIFS($A$6:$A$205,A203)&lt;&gt;1,"Duplicate ID",IF(OR(B203="",D203="",NOT(ISNUMBER(C203)),H203&lt;=0,NOT(ISNUMBER(I203)),I203&lt;0,J203&lt;0,J203&gt;H203*I203,K203&lt;0),"Check sale inputs",IF(NOT(ISNUMBER(Q203)),"Lot/cost incomplete",IF(OR(F203="Sale",F203="Return"),"OK","Type required")))))</x:f>
      </x:c>
    </x:row>
    <x:row r="204" ht="23" customHeight="1">
      <x:c r="A204" s="36"/>
      <x:c r="B204" s="36"/>
      <x:c r="C204" s="40"/>
      <x:c r="D204" s="36"/>
      <x:c r="E204" s="36"/>
      <x:c r="F204" s="36"/>
      <x:c r="G204" s="36"/>
      <x:c r="H204" s="41"/>
      <x:c r="I204" s="41"/>
      <x:c r="J204" s="41"/>
      <x:c r="K204" s="41"/>
      <x:c r="L204" s="36"/>
      <x:c r="M204" s="42" t="str">
        <x:f>IF(A204="","",IF(COUNTIFS('Lots'!$A$6:$A$105,G204)=1,VLOOKUP(G204,'Lots'!$A$6:$B$105,2,FALSE),"Unknown lot"))</x:f>
      </x:c>
      <x:c r="N204" s="37" t="str">
        <x:f>IF(A204="","",IF(F204="Return",-1,1)*(H204*I204-J204))</x:f>
      </x:c>
      <x:c r="O204" s="37" t="str">
        <x:f>IF(A204="","",IF(F204="Return",-K204,K204))</x:f>
      </x:c>
      <x:c r="P204" s="37" t="str">
        <x:f>IF(A204="","",N204+O204)</x:f>
      </x:c>
      <x:c r="Q204" s="37" t="str">
        <x:f>IF(A204="","",IF(COUNTIFS('Lots'!$A$6:$A$105,G204)=1,VLOOKUP(G204,'Lots'!$A$6:$J$105,10,FALSE),"Unknown lot"))</x:f>
      </x:c>
      <x:c r="R204" s="37" t="str">
        <x:f>IF(A204="","",IF(ISNUMBER(Q204),IF(F204="Return",-1,1)*H204*Q204,"Cost missing"))</x:f>
      </x:c>
      <x:c r="S204" s="37" t="str">
        <x:f>IF(A204="","",IF(ISNUMBER(R204),N204-R204,"Cost missing"))</x:f>
      </x:c>
      <x:c r="T204" s="42" t="str">
        <x:f>IF(A204="","",IF(COUNTIFS($A$6:$A$205,A204)&lt;&gt;1,"Duplicate ID",IF(OR(B204="",D204="",NOT(ISNUMBER(C204)),H204&lt;=0,NOT(ISNUMBER(I204)),I204&lt;0,J204&lt;0,J204&gt;H204*I204,K204&lt;0),"Check sale inputs",IF(NOT(ISNUMBER(Q204)),"Lot/cost incomplete",IF(OR(F204="Sale",F204="Return"),"OK","Type required")))))</x:f>
      </x:c>
    </x:row>
    <x:row r="205" ht="23" customHeight="1">
      <x:c r="A205" s="36"/>
      <x:c r="B205" s="36"/>
      <x:c r="C205" s="40"/>
      <x:c r="D205" s="36"/>
      <x:c r="E205" s="36"/>
      <x:c r="F205" s="36"/>
      <x:c r="G205" s="36"/>
      <x:c r="H205" s="41"/>
      <x:c r="I205" s="41"/>
      <x:c r="J205" s="41"/>
      <x:c r="K205" s="41"/>
      <x:c r="L205" s="36"/>
      <x:c r="M205" s="42" t="str">
        <x:f>IF(A205="","",IF(COUNTIFS('Lots'!$A$6:$A$105,G205)=1,VLOOKUP(G205,'Lots'!$A$6:$B$105,2,FALSE),"Unknown lot"))</x:f>
      </x:c>
      <x:c r="N205" s="37" t="str">
        <x:f>IF(A205="","",IF(F205="Return",-1,1)*(H205*I205-J205))</x:f>
      </x:c>
      <x:c r="O205" s="37" t="str">
        <x:f>IF(A205="","",IF(F205="Return",-K205,K205))</x:f>
      </x:c>
      <x:c r="P205" s="37" t="str">
        <x:f>IF(A205="","",N205+O205)</x:f>
      </x:c>
      <x:c r="Q205" s="37" t="str">
        <x:f>IF(A205="","",IF(COUNTIFS('Lots'!$A$6:$A$105,G205)=1,VLOOKUP(G205,'Lots'!$A$6:$J$105,10,FALSE),"Unknown lot"))</x:f>
      </x:c>
      <x:c r="R205" s="37" t="str">
        <x:f>IF(A205="","",IF(ISNUMBER(Q205),IF(F205="Return",-1,1)*H205*Q205,"Cost missing"))</x:f>
      </x:c>
      <x:c r="S205" s="37" t="str">
        <x:f>IF(A205="","",IF(ISNUMBER(R205),N205-R205,"Cost missing"))</x:f>
      </x:c>
      <x:c r="T205" s="42" t="str">
        <x:f>IF(A205="","",IF(COUNTIFS($A$6:$A$205,A205)&lt;&gt;1,"Duplicate ID",IF(OR(B205="",D205="",NOT(ISNUMBER(C205)),H205&lt;=0,NOT(ISNUMBER(I205)),I205&lt;0,J205&lt;0,J205&gt;H205*I205,K205&lt;0),"Check sale inputs",IF(NOT(ISNUMBER(Q205)),"Lot/cost incomplete",IF(OR(F205="Sale",F205="Return"),"OK","Type required")))))</x:f>
      </x:c>
    </x:row>
  </x:sheetData>
  <x:conditionalFormatting sqref="T6:T205">
    <x:cfRule type="expression" dxfId="3" priority="1">
      <x:formula>AND(T6&lt;&gt;"",T6&lt;&gt;"OK")</x:formula>
    </x:cfRule>
  </x:conditionalFormatting>
  <x:dataValidations count="4">
    <x:dataValidation type="list" sqref="E6:E205">
      <x:formula1>"Website,Facebook,Instagram,Other"</x:formula1>
    </x:dataValidation>
    <x:dataValidation type="list" sqref="F6:F205">
      <x:formula1>"Sale,Return"</x:formula1>
    </x:dataValidation>
    <x:dataValidation type="list" sqref="G6:G205">
      <x:formula1>'Lots'!$A$6:$A$105</x:formula1>
    </x:dataValidation>
    <x:dataValidation type="list" sqref="L6:L205">
      <x:formula1>"Draft,Approved,Void"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8563e0094d4cb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23" customHeight="1">
      <x:c r="A2" s="32" t="str">
        <x:v>AFK THEORY / Contacts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</x:row>
    <x:row r="5" ht="34" customHeight="1">
      <x:c r="A5" s="38" t="str">
        <x:v>Contact ID</x:v>
      </x:c>
      <x:c r="B5" s="38" t="str">
        <x:v>Name</x:v>
      </x:c>
      <x:c r="C5" s="38" t="str">
        <x:v>Type</x:v>
      </x:c>
      <x:c r="D5" s="38" t="str">
        <x:v>Phone</x:v>
      </x:c>
      <x:c r="E5" s="38" t="str">
        <x:v>Email</x:v>
      </x:c>
      <x:c r="F5" s="38" t="str">
        <x:v>Address / link</x:v>
      </x:c>
      <x:c r="G5" s="38" t="str">
        <x:v>Terms</x:v>
      </x:c>
      <x:c r="H5" s="38" t="str">
        <x:v>Notes</x:v>
      </x:c>
      <x:c r="I5" s="38" t="str">
        <x:v>Receivables BDT</x:v>
      </x:c>
      <x:c r="J5" s="38" t="str">
        <x:v>Payables BDT</x:v>
      </x:c>
      <x:c r="K5" s="38" t="str">
        <x:v>Advances BDT</x:v>
      </x:c>
    </x:row>
    <x:row r="6" ht="23" customHeight="1">
      <x:c r="A6" s="36"/>
      <x:c r="B6" s="36"/>
      <x:c r="C6" s="36"/>
      <x:c r="D6" s="36"/>
      <x:c r="E6" s="36"/>
      <x:c r="F6" s="36"/>
      <x:c r="G6" s="36"/>
      <x:c r="H6" s="36"/>
      <x:c r="I6" s="37" t="str">
        <x:f>IF(A6="","",(SUMIFS('Entries'!$S$6:$S$505,'Entries'!$H$6:$H$505,A6,'Entries'!$Q$6:$Q$505,"Customer receivables",'Entries'!$B$6:$B$505,"&lt;="&amp;'Settings'!$B$7)-SUMIFS('Entries'!$S$6:$S$505,'Entries'!$H$6:$H$505,A6,'Entries'!$R$6:$R$505,"Customer receivables",'Entries'!$B$6:$B$505,"&lt;="&amp;'Settings'!$B$7)+SUMIFS('Entries'!$S$6:$S$505,'Entries'!$H$6:$H$505,A6,'Entries'!$Q$6:$Q$505,"Courier receivables",'Entries'!$B$6:$B$505,"&lt;="&amp;'Settings'!$B$7)-SUMIFS('Entries'!$S$6:$S$505,'Entries'!$H$6:$H$505,A6,'Entries'!$R$6:$R$505,"Courier receivables",'Entries'!$B$6:$B$505,"&lt;="&amp;'Settings'!$B$7))*1)</x:f>
      </x:c>
      <x:c r="J6" s="37" t="str">
        <x:f>IF(A6="","",(SUMIFS('Entries'!$S$6:$S$505,'Entries'!$H$6:$H$505,A6,'Entries'!$Q$6:$Q$505,"Trade payables",'Entries'!$B$6:$B$505,"&lt;="&amp;'Settings'!$B$7)-SUMIFS('Entries'!$S$6:$S$505,'Entries'!$H$6:$H$505,A6,'Entries'!$R$6:$R$505,"Trade payables",'Entries'!$B$6:$B$505,"&lt;="&amp;'Settings'!$B$7))*-1)</x:f>
      </x:c>
      <x:c r="K6" s="37" t="str">
        <x:f>IF(A6="","",(SUMIFS('Entries'!$S$6:$S$505,'Entries'!$H$6:$H$505,A6,'Entries'!$Q$6:$Q$505,"Supplier advances",'Entries'!$B$6:$B$505,"&lt;="&amp;'Settings'!$B$7)-SUMIFS('Entries'!$S$6:$S$505,'Entries'!$H$6:$H$505,A6,'Entries'!$R$6:$R$505,"Supplier advances",'Entries'!$B$6:$B$505,"&lt;="&amp;'Settings'!$B$7))*1)</x:f>
      </x:c>
    </x:row>
    <x:row r="7" ht="23" customHeight="1">
      <x:c r="A7" s="36"/>
      <x:c r="B7" s="36"/>
      <x:c r="C7" s="36"/>
      <x:c r="D7" s="36"/>
      <x:c r="E7" s="36"/>
      <x:c r="F7" s="36"/>
      <x:c r="G7" s="36"/>
      <x:c r="H7" s="36"/>
      <x:c r="I7" s="37" t="str">
        <x:f>IF(A7="","",(SUMIFS('Entries'!$S$6:$S$505,'Entries'!$H$6:$H$505,A7,'Entries'!$Q$6:$Q$505,"Customer receivables",'Entries'!$B$6:$B$505,"&lt;="&amp;'Settings'!$B$7)-SUMIFS('Entries'!$S$6:$S$505,'Entries'!$H$6:$H$505,A7,'Entries'!$R$6:$R$505,"Customer receivables",'Entries'!$B$6:$B$505,"&lt;="&amp;'Settings'!$B$7)+SUMIFS('Entries'!$S$6:$S$505,'Entries'!$H$6:$H$505,A7,'Entries'!$Q$6:$Q$505,"Courier receivables",'Entries'!$B$6:$B$505,"&lt;="&amp;'Settings'!$B$7)-SUMIFS('Entries'!$S$6:$S$505,'Entries'!$H$6:$H$505,A7,'Entries'!$R$6:$R$505,"Courier receivables",'Entries'!$B$6:$B$505,"&lt;="&amp;'Settings'!$B$7))*1)</x:f>
      </x:c>
      <x:c r="J7" s="37" t="str">
        <x:f>IF(A7="","",(SUMIFS('Entries'!$S$6:$S$505,'Entries'!$H$6:$H$505,A7,'Entries'!$Q$6:$Q$505,"Trade payables",'Entries'!$B$6:$B$505,"&lt;="&amp;'Settings'!$B$7)-SUMIFS('Entries'!$S$6:$S$505,'Entries'!$H$6:$H$505,A7,'Entries'!$R$6:$R$505,"Trade payables",'Entries'!$B$6:$B$505,"&lt;="&amp;'Settings'!$B$7))*-1)</x:f>
      </x:c>
      <x:c r="K7" s="37" t="str">
        <x:f>IF(A7="","",(SUMIFS('Entries'!$S$6:$S$505,'Entries'!$H$6:$H$505,A7,'Entries'!$Q$6:$Q$505,"Supplier advances",'Entries'!$B$6:$B$505,"&lt;="&amp;'Settings'!$B$7)-SUMIFS('Entries'!$S$6:$S$505,'Entries'!$H$6:$H$505,A7,'Entries'!$R$6:$R$505,"Supplier advances",'Entries'!$B$6:$B$505,"&lt;="&amp;'Settings'!$B$7))*1)</x:f>
      </x:c>
    </x:row>
    <x:row r="8" ht="23" customHeight="1">
      <x:c r="A8" s="36"/>
      <x:c r="B8" s="36"/>
      <x:c r="C8" s="36"/>
      <x:c r="D8" s="36"/>
      <x:c r="E8" s="36"/>
      <x:c r="F8" s="36"/>
      <x:c r="G8" s="36"/>
      <x:c r="H8" s="36"/>
      <x:c r="I8" s="37" t="str">
        <x:f>IF(A8="","",(SUMIFS('Entries'!$S$6:$S$505,'Entries'!$H$6:$H$505,A8,'Entries'!$Q$6:$Q$505,"Customer receivables",'Entries'!$B$6:$B$505,"&lt;="&amp;'Settings'!$B$7)-SUMIFS('Entries'!$S$6:$S$505,'Entries'!$H$6:$H$505,A8,'Entries'!$R$6:$R$505,"Customer receivables",'Entries'!$B$6:$B$505,"&lt;="&amp;'Settings'!$B$7)+SUMIFS('Entries'!$S$6:$S$505,'Entries'!$H$6:$H$505,A8,'Entries'!$Q$6:$Q$505,"Courier receivables",'Entries'!$B$6:$B$505,"&lt;="&amp;'Settings'!$B$7)-SUMIFS('Entries'!$S$6:$S$505,'Entries'!$H$6:$H$505,A8,'Entries'!$R$6:$R$505,"Courier receivables",'Entries'!$B$6:$B$505,"&lt;="&amp;'Settings'!$B$7))*1)</x:f>
      </x:c>
      <x:c r="J8" s="37" t="str">
        <x:f>IF(A8="","",(SUMIFS('Entries'!$S$6:$S$505,'Entries'!$H$6:$H$505,A8,'Entries'!$Q$6:$Q$505,"Trade payables",'Entries'!$B$6:$B$505,"&lt;="&amp;'Settings'!$B$7)-SUMIFS('Entries'!$S$6:$S$505,'Entries'!$H$6:$H$505,A8,'Entries'!$R$6:$R$505,"Trade payables",'Entries'!$B$6:$B$505,"&lt;="&amp;'Settings'!$B$7))*-1)</x:f>
      </x:c>
      <x:c r="K8" s="37" t="str">
        <x:f>IF(A8="","",(SUMIFS('Entries'!$S$6:$S$505,'Entries'!$H$6:$H$505,A8,'Entries'!$Q$6:$Q$505,"Supplier advances",'Entries'!$B$6:$B$505,"&lt;="&amp;'Settings'!$B$7)-SUMIFS('Entries'!$S$6:$S$505,'Entries'!$H$6:$H$505,A8,'Entries'!$R$6:$R$505,"Supplier advances",'Entries'!$B$6:$B$505,"&lt;="&amp;'Settings'!$B$7))*1)</x:f>
      </x:c>
    </x:row>
    <x:row r="9" ht="23" customHeight="1">
      <x:c r="A9" s="36"/>
      <x:c r="B9" s="36"/>
      <x:c r="C9" s="36"/>
      <x:c r="D9" s="36"/>
      <x:c r="E9" s="36"/>
      <x:c r="F9" s="36"/>
      <x:c r="G9" s="36"/>
      <x:c r="H9" s="36"/>
      <x:c r="I9" s="37" t="str">
        <x:f>IF(A9="","",(SUMIFS('Entries'!$S$6:$S$505,'Entries'!$H$6:$H$505,A9,'Entries'!$Q$6:$Q$505,"Customer receivables",'Entries'!$B$6:$B$505,"&lt;="&amp;'Settings'!$B$7)-SUMIFS('Entries'!$S$6:$S$505,'Entries'!$H$6:$H$505,A9,'Entries'!$R$6:$R$505,"Customer receivables",'Entries'!$B$6:$B$505,"&lt;="&amp;'Settings'!$B$7)+SUMIFS('Entries'!$S$6:$S$505,'Entries'!$H$6:$H$505,A9,'Entries'!$Q$6:$Q$505,"Courier receivables",'Entries'!$B$6:$B$505,"&lt;="&amp;'Settings'!$B$7)-SUMIFS('Entries'!$S$6:$S$505,'Entries'!$H$6:$H$505,A9,'Entries'!$R$6:$R$505,"Courier receivables",'Entries'!$B$6:$B$505,"&lt;="&amp;'Settings'!$B$7))*1)</x:f>
      </x:c>
      <x:c r="J9" s="37" t="str">
        <x:f>IF(A9="","",(SUMIFS('Entries'!$S$6:$S$505,'Entries'!$H$6:$H$505,A9,'Entries'!$Q$6:$Q$505,"Trade payables",'Entries'!$B$6:$B$505,"&lt;="&amp;'Settings'!$B$7)-SUMIFS('Entries'!$S$6:$S$505,'Entries'!$H$6:$H$505,A9,'Entries'!$R$6:$R$505,"Trade payables",'Entries'!$B$6:$B$505,"&lt;="&amp;'Settings'!$B$7))*-1)</x:f>
      </x:c>
      <x:c r="K9" s="37" t="str">
        <x:f>IF(A9="","",(SUMIFS('Entries'!$S$6:$S$505,'Entries'!$H$6:$H$505,A9,'Entries'!$Q$6:$Q$505,"Supplier advances",'Entries'!$B$6:$B$505,"&lt;="&amp;'Settings'!$B$7)-SUMIFS('Entries'!$S$6:$S$505,'Entries'!$H$6:$H$505,A9,'Entries'!$R$6:$R$505,"Supplier advances",'Entries'!$B$6:$B$505,"&lt;="&amp;'Settings'!$B$7))*1)</x:f>
      </x:c>
    </x:row>
    <x:row r="10" ht="23" customHeight="1">
      <x:c r="A10" s="36"/>
      <x:c r="B10" s="36"/>
      <x:c r="C10" s="36"/>
      <x:c r="D10" s="36"/>
      <x:c r="E10" s="36"/>
      <x:c r="F10" s="36"/>
      <x:c r="G10" s="36"/>
      <x:c r="H10" s="36"/>
      <x:c r="I10" s="37" t="str">
        <x:f>IF(A10="","",(SUMIFS('Entries'!$S$6:$S$505,'Entries'!$H$6:$H$505,A10,'Entries'!$Q$6:$Q$505,"Customer receivables",'Entries'!$B$6:$B$505,"&lt;="&amp;'Settings'!$B$7)-SUMIFS('Entries'!$S$6:$S$505,'Entries'!$H$6:$H$505,A10,'Entries'!$R$6:$R$505,"Customer receivables",'Entries'!$B$6:$B$505,"&lt;="&amp;'Settings'!$B$7)+SUMIFS('Entries'!$S$6:$S$505,'Entries'!$H$6:$H$505,A10,'Entries'!$Q$6:$Q$505,"Courier receivables",'Entries'!$B$6:$B$505,"&lt;="&amp;'Settings'!$B$7)-SUMIFS('Entries'!$S$6:$S$505,'Entries'!$H$6:$H$505,A10,'Entries'!$R$6:$R$505,"Courier receivables",'Entries'!$B$6:$B$505,"&lt;="&amp;'Settings'!$B$7))*1)</x:f>
      </x:c>
      <x:c r="J10" s="37" t="str">
        <x:f>IF(A10="","",(SUMIFS('Entries'!$S$6:$S$505,'Entries'!$H$6:$H$505,A10,'Entries'!$Q$6:$Q$505,"Trade payables",'Entries'!$B$6:$B$505,"&lt;="&amp;'Settings'!$B$7)-SUMIFS('Entries'!$S$6:$S$505,'Entries'!$H$6:$H$505,A10,'Entries'!$R$6:$R$505,"Trade payables",'Entries'!$B$6:$B$505,"&lt;="&amp;'Settings'!$B$7))*-1)</x:f>
      </x:c>
      <x:c r="K10" s="37" t="str">
        <x:f>IF(A10="","",(SUMIFS('Entries'!$S$6:$S$505,'Entries'!$H$6:$H$505,A10,'Entries'!$Q$6:$Q$505,"Supplier advances",'Entries'!$B$6:$B$505,"&lt;="&amp;'Settings'!$B$7)-SUMIFS('Entries'!$S$6:$S$505,'Entries'!$H$6:$H$505,A10,'Entries'!$R$6:$R$505,"Supplier advances",'Entries'!$B$6:$B$505,"&lt;="&amp;'Settings'!$B$7))*1)</x:f>
      </x:c>
    </x:row>
    <x:row r="11" ht="23" customHeight="1">
      <x:c r="A11" s="36"/>
      <x:c r="B11" s="36"/>
      <x:c r="C11" s="36"/>
      <x:c r="D11" s="36"/>
      <x:c r="E11" s="36"/>
      <x:c r="F11" s="36"/>
      <x:c r="G11" s="36"/>
      <x:c r="H11" s="36"/>
      <x:c r="I11" s="37" t="str">
        <x:f>IF(A11="","",(SUMIFS('Entries'!$S$6:$S$505,'Entries'!$H$6:$H$505,A11,'Entries'!$Q$6:$Q$505,"Customer receivables",'Entries'!$B$6:$B$505,"&lt;="&amp;'Settings'!$B$7)-SUMIFS('Entries'!$S$6:$S$505,'Entries'!$H$6:$H$505,A11,'Entries'!$R$6:$R$505,"Customer receivables",'Entries'!$B$6:$B$505,"&lt;="&amp;'Settings'!$B$7)+SUMIFS('Entries'!$S$6:$S$505,'Entries'!$H$6:$H$505,A11,'Entries'!$Q$6:$Q$505,"Courier receivables",'Entries'!$B$6:$B$505,"&lt;="&amp;'Settings'!$B$7)-SUMIFS('Entries'!$S$6:$S$505,'Entries'!$H$6:$H$505,A11,'Entries'!$R$6:$R$505,"Courier receivables",'Entries'!$B$6:$B$505,"&lt;="&amp;'Settings'!$B$7))*1)</x:f>
      </x:c>
      <x:c r="J11" s="37" t="str">
        <x:f>IF(A11="","",(SUMIFS('Entries'!$S$6:$S$505,'Entries'!$H$6:$H$505,A11,'Entries'!$Q$6:$Q$505,"Trade payables",'Entries'!$B$6:$B$505,"&lt;="&amp;'Settings'!$B$7)-SUMIFS('Entries'!$S$6:$S$505,'Entries'!$H$6:$H$505,A11,'Entries'!$R$6:$R$505,"Trade payables",'Entries'!$B$6:$B$505,"&lt;="&amp;'Settings'!$B$7))*-1)</x:f>
      </x:c>
      <x:c r="K11" s="37" t="str">
        <x:f>IF(A11="","",(SUMIFS('Entries'!$S$6:$S$505,'Entries'!$H$6:$H$505,A11,'Entries'!$Q$6:$Q$505,"Supplier advances",'Entries'!$B$6:$B$505,"&lt;="&amp;'Settings'!$B$7)-SUMIFS('Entries'!$S$6:$S$505,'Entries'!$H$6:$H$505,A11,'Entries'!$R$6:$R$505,"Supplier advances",'Entries'!$B$6:$B$505,"&lt;="&amp;'Settings'!$B$7))*1)</x:f>
      </x:c>
    </x:row>
    <x:row r="12" ht="23" customHeight="1">
      <x:c r="A12" s="36"/>
      <x:c r="B12" s="36"/>
      <x:c r="C12" s="36"/>
      <x:c r="D12" s="36"/>
      <x:c r="E12" s="36"/>
      <x:c r="F12" s="36"/>
      <x:c r="G12" s="36"/>
      <x:c r="H12" s="36"/>
      <x:c r="I12" s="37" t="str">
        <x:f>IF(A12="","",(SUMIFS('Entries'!$S$6:$S$505,'Entries'!$H$6:$H$505,A12,'Entries'!$Q$6:$Q$505,"Customer receivables",'Entries'!$B$6:$B$505,"&lt;="&amp;'Settings'!$B$7)-SUMIFS('Entries'!$S$6:$S$505,'Entries'!$H$6:$H$505,A12,'Entries'!$R$6:$R$505,"Customer receivables",'Entries'!$B$6:$B$505,"&lt;="&amp;'Settings'!$B$7)+SUMIFS('Entries'!$S$6:$S$505,'Entries'!$H$6:$H$505,A12,'Entries'!$Q$6:$Q$505,"Courier receivables",'Entries'!$B$6:$B$505,"&lt;="&amp;'Settings'!$B$7)-SUMIFS('Entries'!$S$6:$S$505,'Entries'!$H$6:$H$505,A12,'Entries'!$R$6:$R$505,"Courier receivables",'Entries'!$B$6:$B$505,"&lt;="&amp;'Settings'!$B$7))*1)</x:f>
      </x:c>
      <x:c r="J12" s="37" t="str">
        <x:f>IF(A12="","",(SUMIFS('Entries'!$S$6:$S$505,'Entries'!$H$6:$H$505,A12,'Entries'!$Q$6:$Q$505,"Trade payables",'Entries'!$B$6:$B$505,"&lt;="&amp;'Settings'!$B$7)-SUMIFS('Entries'!$S$6:$S$505,'Entries'!$H$6:$H$505,A12,'Entries'!$R$6:$R$505,"Trade payables",'Entries'!$B$6:$B$505,"&lt;="&amp;'Settings'!$B$7))*-1)</x:f>
      </x:c>
      <x:c r="K12" s="37" t="str">
        <x:f>IF(A12="","",(SUMIFS('Entries'!$S$6:$S$505,'Entries'!$H$6:$H$505,A12,'Entries'!$Q$6:$Q$505,"Supplier advances",'Entries'!$B$6:$B$505,"&lt;="&amp;'Settings'!$B$7)-SUMIFS('Entries'!$S$6:$S$505,'Entries'!$H$6:$H$505,A12,'Entries'!$R$6:$R$505,"Supplier advances",'Entries'!$B$6:$B$505,"&lt;="&amp;'Settings'!$B$7))*1)</x:f>
      </x:c>
    </x:row>
    <x:row r="13" ht="23" customHeight="1">
      <x:c r="A13" s="36"/>
      <x:c r="B13" s="36"/>
      <x:c r="C13" s="36"/>
      <x:c r="D13" s="36"/>
      <x:c r="E13" s="36"/>
      <x:c r="F13" s="36"/>
      <x:c r="G13" s="36"/>
      <x:c r="H13" s="36"/>
      <x:c r="I13" s="37" t="str">
        <x:f>IF(A13="","",(SUMIFS('Entries'!$S$6:$S$505,'Entries'!$H$6:$H$505,A13,'Entries'!$Q$6:$Q$505,"Customer receivables",'Entries'!$B$6:$B$505,"&lt;="&amp;'Settings'!$B$7)-SUMIFS('Entries'!$S$6:$S$505,'Entries'!$H$6:$H$505,A13,'Entries'!$R$6:$R$505,"Customer receivables",'Entries'!$B$6:$B$505,"&lt;="&amp;'Settings'!$B$7)+SUMIFS('Entries'!$S$6:$S$505,'Entries'!$H$6:$H$505,A13,'Entries'!$Q$6:$Q$505,"Courier receivables",'Entries'!$B$6:$B$505,"&lt;="&amp;'Settings'!$B$7)-SUMIFS('Entries'!$S$6:$S$505,'Entries'!$H$6:$H$505,A13,'Entries'!$R$6:$R$505,"Courier receivables",'Entries'!$B$6:$B$505,"&lt;="&amp;'Settings'!$B$7))*1)</x:f>
      </x:c>
      <x:c r="J13" s="37" t="str">
        <x:f>IF(A13="","",(SUMIFS('Entries'!$S$6:$S$505,'Entries'!$H$6:$H$505,A13,'Entries'!$Q$6:$Q$505,"Trade payables",'Entries'!$B$6:$B$505,"&lt;="&amp;'Settings'!$B$7)-SUMIFS('Entries'!$S$6:$S$505,'Entries'!$H$6:$H$505,A13,'Entries'!$R$6:$R$505,"Trade payables",'Entries'!$B$6:$B$505,"&lt;="&amp;'Settings'!$B$7))*-1)</x:f>
      </x:c>
      <x:c r="K13" s="37" t="str">
        <x:f>IF(A13="","",(SUMIFS('Entries'!$S$6:$S$505,'Entries'!$H$6:$H$505,A13,'Entries'!$Q$6:$Q$505,"Supplier advances",'Entries'!$B$6:$B$505,"&lt;="&amp;'Settings'!$B$7)-SUMIFS('Entries'!$S$6:$S$505,'Entries'!$H$6:$H$505,A13,'Entries'!$R$6:$R$505,"Supplier advances",'Entries'!$B$6:$B$505,"&lt;="&amp;'Settings'!$B$7))*1)</x:f>
      </x:c>
    </x:row>
    <x:row r="14" ht="23" customHeight="1">
      <x:c r="A14" s="36"/>
      <x:c r="B14" s="36"/>
      <x:c r="C14" s="36"/>
      <x:c r="D14" s="36"/>
      <x:c r="E14" s="36"/>
      <x:c r="F14" s="36"/>
      <x:c r="G14" s="36"/>
      <x:c r="H14" s="36"/>
      <x:c r="I14" s="37" t="str">
        <x:f>IF(A14="","",(SUMIFS('Entries'!$S$6:$S$505,'Entries'!$H$6:$H$505,A14,'Entries'!$Q$6:$Q$505,"Customer receivables",'Entries'!$B$6:$B$505,"&lt;="&amp;'Settings'!$B$7)-SUMIFS('Entries'!$S$6:$S$505,'Entries'!$H$6:$H$505,A14,'Entries'!$R$6:$R$505,"Customer receivables",'Entries'!$B$6:$B$505,"&lt;="&amp;'Settings'!$B$7)+SUMIFS('Entries'!$S$6:$S$505,'Entries'!$H$6:$H$505,A14,'Entries'!$Q$6:$Q$505,"Courier receivables",'Entries'!$B$6:$B$505,"&lt;="&amp;'Settings'!$B$7)-SUMIFS('Entries'!$S$6:$S$505,'Entries'!$H$6:$H$505,A14,'Entries'!$R$6:$R$505,"Courier receivables",'Entries'!$B$6:$B$505,"&lt;="&amp;'Settings'!$B$7))*1)</x:f>
      </x:c>
      <x:c r="J14" s="37" t="str">
        <x:f>IF(A14="","",(SUMIFS('Entries'!$S$6:$S$505,'Entries'!$H$6:$H$505,A14,'Entries'!$Q$6:$Q$505,"Trade payables",'Entries'!$B$6:$B$505,"&lt;="&amp;'Settings'!$B$7)-SUMIFS('Entries'!$S$6:$S$505,'Entries'!$H$6:$H$505,A14,'Entries'!$R$6:$R$505,"Trade payables",'Entries'!$B$6:$B$505,"&lt;="&amp;'Settings'!$B$7))*-1)</x:f>
      </x:c>
      <x:c r="K14" s="37" t="str">
        <x:f>IF(A14="","",(SUMIFS('Entries'!$S$6:$S$505,'Entries'!$H$6:$H$505,A14,'Entries'!$Q$6:$Q$505,"Supplier advances",'Entries'!$B$6:$B$505,"&lt;="&amp;'Settings'!$B$7)-SUMIFS('Entries'!$S$6:$S$505,'Entries'!$H$6:$H$505,A14,'Entries'!$R$6:$R$505,"Supplier advances",'Entries'!$B$6:$B$505,"&lt;="&amp;'Settings'!$B$7))*1)</x:f>
      </x:c>
    </x:row>
    <x:row r="15" ht="23" customHeight="1">
      <x:c r="A15" s="36"/>
      <x:c r="B15" s="36"/>
      <x:c r="C15" s="36"/>
      <x:c r="D15" s="36"/>
      <x:c r="E15" s="36"/>
      <x:c r="F15" s="36"/>
      <x:c r="G15" s="36"/>
      <x:c r="H15" s="36"/>
      <x:c r="I15" s="37" t="str">
        <x:f>IF(A15="","",(SUMIFS('Entries'!$S$6:$S$505,'Entries'!$H$6:$H$505,A15,'Entries'!$Q$6:$Q$505,"Customer receivables",'Entries'!$B$6:$B$505,"&lt;="&amp;'Settings'!$B$7)-SUMIFS('Entries'!$S$6:$S$505,'Entries'!$H$6:$H$505,A15,'Entries'!$R$6:$R$505,"Customer receivables",'Entries'!$B$6:$B$505,"&lt;="&amp;'Settings'!$B$7)+SUMIFS('Entries'!$S$6:$S$505,'Entries'!$H$6:$H$505,A15,'Entries'!$Q$6:$Q$505,"Courier receivables",'Entries'!$B$6:$B$505,"&lt;="&amp;'Settings'!$B$7)-SUMIFS('Entries'!$S$6:$S$505,'Entries'!$H$6:$H$505,A15,'Entries'!$R$6:$R$505,"Courier receivables",'Entries'!$B$6:$B$505,"&lt;="&amp;'Settings'!$B$7))*1)</x:f>
      </x:c>
      <x:c r="J15" s="37" t="str">
        <x:f>IF(A15="","",(SUMIFS('Entries'!$S$6:$S$505,'Entries'!$H$6:$H$505,A15,'Entries'!$Q$6:$Q$505,"Trade payables",'Entries'!$B$6:$B$505,"&lt;="&amp;'Settings'!$B$7)-SUMIFS('Entries'!$S$6:$S$505,'Entries'!$H$6:$H$505,A15,'Entries'!$R$6:$R$505,"Trade payables",'Entries'!$B$6:$B$505,"&lt;="&amp;'Settings'!$B$7))*-1)</x:f>
      </x:c>
      <x:c r="K15" s="37" t="str">
        <x:f>IF(A15="","",(SUMIFS('Entries'!$S$6:$S$505,'Entries'!$H$6:$H$505,A15,'Entries'!$Q$6:$Q$505,"Supplier advances",'Entries'!$B$6:$B$505,"&lt;="&amp;'Settings'!$B$7)-SUMIFS('Entries'!$S$6:$S$505,'Entries'!$H$6:$H$505,A15,'Entries'!$R$6:$R$505,"Supplier advances",'Entries'!$B$6:$B$505,"&lt;="&amp;'Settings'!$B$7))*1)</x:f>
      </x:c>
    </x:row>
    <x:row r="16" ht="23" customHeight="1">
      <x:c r="A16" s="36"/>
      <x:c r="B16" s="36"/>
      <x:c r="C16" s="36"/>
      <x:c r="D16" s="36"/>
      <x:c r="E16" s="36"/>
      <x:c r="F16" s="36"/>
      <x:c r="G16" s="36"/>
      <x:c r="H16" s="36"/>
      <x:c r="I16" s="37" t="str">
        <x:f>IF(A16="","",(SUMIFS('Entries'!$S$6:$S$505,'Entries'!$H$6:$H$505,A16,'Entries'!$Q$6:$Q$505,"Customer receivables",'Entries'!$B$6:$B$505,"&lt;="&amp;'Settings'!$B$7)-SUMIFS('Entries'!$S$6:$S$505,'Entries'!$H$6:$H$505,A16,'Entries'!$R$6:$R$505,"Customer receivables",'Entries'!$B$6:$B$505,"&lt;="&amp;'Settings'!$B$7)+SUMIFS('Entries'!$S$6:$S$505,'Entries'!$H$6:$H$505,A16,'Entries'!$Q$6:$Q$505,"Courier receivables",'Entries'!$B$6:$B$505,"&lt;="&amp;'Settings'!$B$7)-SUMIFS('Entries'!$S$6:$S$505,'Entries'!$H$6:$H$505,A16,'Entries'!$R$6:$R$505,"Courier receivables",'Entries'!$B$6:$B$505,"&lt;="&amp;'Settings'!$B$7))*1)</x:f>
      </x:c>
      <x:c r="J16" s="37" t="str">
        <x:f>IF(A16="","",(SUMIFS('Entries'!$S$6:$S$505,'Entries'!$H$6:$H$505,A16,'Entries'!$Q$6:$Q$505,"Trade payables",'Entries'!$B$6:$B$505,"&lt;="&amp;'Settings'!$B$7)-SUMIFS('Entries'!$S$6:$S$505,'Entries'!$H$6:$H$505,A16,'Entries'!$R$6:$R$505,"Trade payables",'Entries'!$B$6:$B$505,"&lt;="&amp;'Settings'!$B$7))*-1)</x:f>
      </x:c>
      <x:c r="K16" s="37" t="str">
        <x:f>IF(A16="","",(SUMIFS('Entries'!$S$6:$S$505,'Entries'!$H$6:$H$505,A16,'Entries'!$Q$6:$Q$505,"Supplier advances",'Entries'!$B$6:$B$505,"&lt;="&amp;'Settings'!$B$7)-SUMIFS('Entries'!$S$6:$S$505,'Entries'!$H$6:$H$505,A16,'Entries'!$R$6:$R$505,"Supplier advances",'Entries'!$B$6:$B$505,"&lt;="&amp;'Settings'!$B$7))*1)</x:f>
      </x:c>
    </x:row>
    <x:row r="17" ht="23" customHeight="1">
      <x:c r="A17" s="36"/>
      <x:c r="B17" s="36"/>
      <x:c r="C17" s="36"/>
      <x:c r="D17" s="36"/>
      <x:c r="E17" s="36"/>
      <x:c r="F17" s="36"/>
      <x:c r="G17" s="36"/>
      <x:c r="H17" s="36"/>
      <x:c r="I17" s="37" t="str">
        <x:f>IF(A17="","",(SUMIFS('Entries'!$S$6:$S$505,'Entries'!$H$6:$H$505,A17,'Entries'!$Q$6:$Q$505,"Customer receivables",'Entries'!$B$6:$B$505,"&lt;="&amp;'Settings'!$B$7)-SUMIFS('Entries'!$S$6:$S$505,'Entries'!$H$6:$H$505,A17,'Entries'!$R$6:$R$505,"Customer receivables",'Entries'!$B$6:$B$505,"&lt;="&amp;'Settings'!$B$7)+SUMIFS('Entries'!$S$6:$S$505,'Entries'!$H$6:$H$505,A17,'Entries'!$Q$6:$Q$505,"Courier receivables",'Entries'!$B$6:$B$505,"&lt;="&amp;'Settings'!$B$7)-SUMIFS('Entries'!$S$6:$S$505,'Entries'!$H$6:$H$505,A17,'Entries'!$R$6:$R$505,"Courier receivables",'Entries'!$B$6:$B$505,"&lt;="&amp;'Settings'!$B$7))*1)</x:f>
      </x:c>
      <x:c r="J17" s="37" t="str">
        <x:f>IF(A17="","",(SUMIFS('Entries'!$S$6:$S$505,'Entries'!$H$6:$H$505,A17,'Entries'!$Q$6:$Q$505,"Trade payables",'Entries'!$B$6:$B$505,"&lt;="&amp;'Settings'!$B$7)-SUMIFS('Entries'!$S$6:$S$505,'Entries'!$H$6:$H$505,A17,'Entries'!$R$6:$R$505,"Trade payables",'Entries'!$B$6:$B$505,"&lt;="&amp;'Settings'!$B$7))*-1)</x:f>
      </x:c>
      <x:c r="K17" s="37" t="str">
        <x:f>IF(A17="","",(SUMIFS('Entries'!$S$6:$S$505,'Entries'!$H$6:$H$505,A17,'Entries'!$Q$6:$Q$505,"Supplier advances",'Entries'!$B$6:$B$505,"&lt;="&amp;'Settings'!$B$7)-SUMIFS('Entries'!$S$6:$S$505,'Entries'!$H$6:$H$505,A17,'Entries'!$R$6:$R$505,"Supplier advances",'Entries'!$B$6:$B$505,"&lt;="&amp;'Settings'!$B$7))*1)</x:f>
      </x:c>
    </x:row>
    <x:row r="18" ht="23" customHeight="1">
      <x:c r="A18" s="36"/>
      <x:c r="B18" s="36"/>
      <x:c r="C18" s="36"/>
      <x:c r="D18" s="36"/>
      <x:c r="E18" s="36"/>
      <x:c r="F18" s="36"/>
      <x:c r="G18" s="36"/>
      <x:c r="H18" s="36"/>
      <x:c r="I18" s="37" t="str">
        <x:f>IF(A18="","",(SUMIFS('Entries'!$S$6:$S$505,'Entries'!$H$6:$H$505,A18,'Entries'!$Q$6:$Q$505,"Customer receivables",'Entries'!$B$6:$B$505,"&lt;="&amp;'Settings'!$B$7)-SUMIFS('Entries'!$S$6:$S$505,'Entries'!$H$6:$H$505,A18,'Entries'!$R$6:$R$505,"Customer receivables",'Entries'!$B$6:$B$505,"&lt;="&amp;'Settings'!$B$7)+SUMIFS('Entries'!$S$6:$S$505,'Entries'!$H$6:$H$505,A18,'Entries'!$Q$6:$Q$505,"Courier receivables",'Entries'!$B$6:$B$505,"&lt;="&amp;'Settings'!$B$7)-SUMIFS('Entries'!$S$6:$S$505,'Entries'!$H$6:$H$505,A18,'Entries'!$R$6:$R$505,"Courier receivables",'Entries'!$B$6:$B$505,"&lt;="&amp;'Settings'!$B$7))*1)</x:f>
      </x:c>
      <x:c r="J18" s="37" t="str">
        <x:f>IF(A18="","",(SUMIFS('Entries'!$S$6:$S$505,'Entries'!$H$6:$H$505,A18,'Entries'!$Q$6:$Q$505,"Trade payables",'Entries'!$B$6:$B$505,"&lt;="&amp;'Settings'!$B$7)-SUMIFS('Entries'!$S$6:$S$505,'Entries'!$H$6:$H$505,A18,'Entries'!$R$6:$R$505,"Trade payables",'Entries'!$B$6:$B$505,"&lt;="&amp;'Settings'!$B$7))*-1)</x:f>
      </x:c>
      <x:c r="K18" s="37" t="str">
        <x:f>IF(A18="","",(SUMIFS('Entries'!$S$6:$S$505,'Entries'!$H$6:$H$505,A18,'Entries'!$Q$6:$Q$505,"Supplier advances",'Entries'!$B$6:$B$505,"&lt;="&amp;'Settings'!$B$7)-SUMIFS('Entries'!$S$6:$S$505,'Entries'!$H$6:$H$505,A18,'Entries'!$R$6:$R$505,"Supplier advances",'Entries'!$B$6:$B$505,"&lt;="&amp;'Settings'!$B$7))*1)</x:f>
      </x:c>
    </x:row>
    <x:row r="19" ht="23" customHeight="1">
      <x:c r="A19" s="36"/>
      <x:c r="B19" s="36"/>
      <x:c r="C19" s="36"/>
      <x:c r="D19" s="36"/>
      <x:c r="E19" s="36"/>
      <x:c r="F19" s="36"/>
      <x:c r="G19" s="36"/>
      <x:c r="H19" s="36"/>
      <x:c r="I19" s="37" t="str">
        <x:f>IF(A19="","",(SUMIFS('Entries'!$S$6:$S$505,'Entries'!$H$6:$H$505,A19,'Entries'!$Q$6:$Q$505,"Customer receivables",'Entries'!$B$6:$B$505,"&lt;="&amp;'Settings'!$B$7)-SUMIFS('Entries'!$S$6:$S$505,'Entries'!$H$6:$H$505,A19,'Entries'!$R$6:$R$505,"Customer receivables",'Entries'!$B$6:$B$505,"&lt;="&amp;'Settings'!$B$7)+SUMIFS('Entries'!$S$6:$S$505,'Entries'!$H$6:$H$505,A19,'Entries'!$Q$6:$Q$505,"Courier receivables",'Entries'!$B$6:$B$505,"&lt;="&amp;'Settings'!$B$7)-SUMIFS('Entries'!$S$6:$S$505,'Entries'!$H$6:$H$505,A19,'Entries'!$R$6:$R$505,"Courier receivables",'Entries'!$B$6:$B$505,"&lt;="&amp;'Settings'!$B$7))*1)</x:f>
      </x:c>
      <x:c r="J19" s="37" t="str">
        <x:f>IF(A19="","",(SUMIFS('Entries'!$S$6:$S$505,'Entries'!$H$6:$H$505,A19,'Entries'!$Q$6:$Q$505,"Trade payables",'Entries'!$B$6:$B$505,"&lt;="&amp;'Settings'!$B$7)-SUMIFS('Entries'!$S$6:$S$505,'Entries'!$H$6:$H$505,A19,'Entries'!$R$6:$R$505,"Trade payables",'Entries'!$B$6:$B$505,"&lt;="&amp;'Settings'!$B$7))*-1)</x:f>
      </x:c>
      <x:c r="K19" s="37" t="str">
        <x:f>IF(A19="","",(SUMIFS('Entries'!$S$6:$S$505,'Entries'!$H$6:$H$505,A19,'Entries'!$Q$6:$Q$505,"Supplier advances",'Entries'!$B$6:$B$505,"&lt;="&amp;'Settings'!$B$7)-SUMIFS('Entries'!$S$6:$S$505,'Entries'!$H$6:$H$505,A19,'Entries'!$R$6:$R$505,"Supplier advances",'Entries'!$B$6:$B$505,"&lt;="&amp;'Settings'!$B$7))*1)</x:f>
      </x:c>
    </x:row>
    <x:row r="20" ht="23" customHeight="1">
      <x:c r="A20" s="36"/>
      <x:c r="B20" s="36"/>
      <x:c r="C20" s="36"/>
      <x:c r="D20" s="36"/>
      <x:c r="E20" s="36"/>
      <x:c r="F20" s="36"/>
      <x:c r="G20" s="36"/>
      <x:c r="H20" s="36"/>
      <x:c r="I20" s="37" t="str">
        <x:f>IF(A20="","",(SUMIFS('Entries'!$S$6:$S$505,'Entries'!$H$6:$H$505,A20,'Entries'!$Q$6:$Q$505,"Customer receivables",'Entries'!$B$6:$B$505,"&lt;="&amp;'Settings'!$B$7)-SUMIFS('Entries'!$S$6:$S$505,'Entries'!$H$6:$H$505,A20,'Entries'!$R$6:$R$505,"Customer receivables",'Entries'!$B$6:$B$505,"&lt;="&amp;'Settings'!$B$7)+SUMIFS('Entries'!$S$6:$S$505,'Entries'!$H$6:$H$505,A20,'Entries'!$Q$6:$Q$505,"Courier receivables",'Entries'!$B$6:$B$505,"&lt;="&amp;'Settings'!$B$7)-SUMIFS('Entries'!$S$6:$S$505,'Entries'!$H$6:$H$505,A20,'Entries'!$R$6:$R$505,"Courier receivables",'Entries'!$B$6:$B$505,"&lt;="&amp;'Settings'!$B$7))*1)</x:f>
      </x:c>
      <x:c r="J20" s="37" t="str">
        <x:f>IF(A20="","",(SUMIFS('Entries'!$S$6:$S$505,'Entries'!$H$6:$H$505,A20,'Entries'!$Q$6:$Q$505,"Trade payables",'Entries'!$B$6:$B$505,"&lt;="&amp;'Settings'!$B$7)-SUMIFS('Entries'!$S$6:$S$505,'Entries'!$H$6:$H$505,A20,'Entries'!$R$6:$R$505,"Trade payables",'Entries'!$B$6:$B$505,"&lt;="&amp;'Settings'!$B$7))*-1)</x:f>
      </x:c>
      <x:c r="K20" s="37" t="str">
        <x:f>IF(A20="","",(SUMIFS('Entries'!$S$6:$S$505,'Entries'!$H$6:$H$505,A20,'Entries'!$Q$6:$Q$505,"Supplier advances",'Entries'!$B$6:$B$505,"&lt;="&amp;'Settings'!$B$7)-SUMIFS('Entries'!$S$6:$S$505,'Entries'!$H$6:$H$505,A20,'Entries'!$R$6:$R$505,"Supplier advances",'Entries'!$B$6:$B$505,"&lt;="&amp;'Settings'!$B$7))*1)</x:f>
      </x:c>
    </x:row>
    <x:row r="21" ht="23" customHeight="1">
      <x:c r="A21" s="36"/>
      <x:c r="B21" s="36"/>
      <x:c r="C21" s="36"/>
      <x:c r="D21" s="36"/>
      <x:c r="E21" s="36"/>
      <x:c r="F21" s="36"/>
      <x:c r="G21" s="36"/>
      <x:c r="H21" s="36"/>
      <x:c r="I21" s="37" t="str">
        <x:f>IF(A21="","",(SUMIFS('Entries'!$S$6:$S$505,'Entries'!$H$6:$H$505,A21,'Entries'!$Q$6:$Q$505,"Customer receivables",'Entries'!$B$6:$B$505,"&lt;="&amp;'Settings'!$B$7)-SUMIFS('Entries'!$S$6:$S$505,'Entries'!$H$6:$H$505,A21,'Entries'!$R$6:$R$505,"Customer receivables",'Entries'!$B$6:$B$505,"&lt;="&amp;'Settings'!$B$7)+SUMIFS('Entries'!$S$6:$S$505,'Entries'!$H$6:$H$505,A21,'Entries'!$Q$6:$Q$505,"Courier receivables",'Entries'!$B$6:$B$505,"&lt;="&amp;'Settings'!$B$7)-SUMIFS('Entries'!$S$6:$S$505,'Entries'!$H$6:$H$505,A21,'Entries'!$R$6:$R$505,"Courier receivables",'Entries'!$B$6:$B$505,"&lt;="&amp;'Settings'!$B$7))*1)</x:f>
      </x:c>
      <x:c r="J21" s="37" t="str">
        <x:f>IF(A21="","",(SUMIFS('Entries'!$S$6:$S$505,'Entries'!$H$6:$H$505,A21,'Entries'!$Q$6:$Q$505,"Trade payables",'Entries'!$B$6:$B$505,"&lt;="&amp;'Settings'!$B$7)-SUMIFS('Entries'!$S$6:$S$505,'Entries'!$H$6:$H$505,A21,'Entries'!$R$6:$R$505,"Trade payables",'Entries'!$B$6:$B$505,"&lt;="&amp;'Settings'!$B$7))*-1)</x:f>
      </x:c>
      <x:c r="K21" s="37" t="str">
        <x:f>IF(A21="","",(SUMIFS('Entries'!$S$6:$S$505,'Entries'!$H$6:$H$505,A21,'Entries'!$Q$6:$Q$505,"Supplier advances",'Entries'!$B$6:$B$505,"&lt;="&amp;'Settings'!$B$7)-SUMIFS('Entries'!$S$6:$S$505,'Entries'!$H$6:$H$505,A21,'Entries'!$R$6:$R$505,"Supplier advances",'Entries'!$B$6:$B$505,"&lt;="&amp;'Settings'!$B$7))*1)</x:f>
      </x:c>
    </x:row>
    <x:row r="22" ht="23" customHeight="1">
      <x:c r="A22" s="36"/>
      <x:c r="B22" s="36"/>
      <x:c r="C22" s="36"/>
      <x:c r="D22" s="36"/>
      <x:c r="E22" s="36"/>
      <x:c r="F22" s="36"/>
      <x:c r="G22" s="36"/>
      <x:c r="H22" s="36"/>
      <x:c r="I22" s="37" t="str">
        <x:f>IF(A22="","",(SUMIFS('Entries'!$S$6:$S$505,'Entries'!$H$6:$H$505,A22,'Entries'!$Q$6:$Q$505,"Customer receivables",'Entries'!$B$6:$B$505,"&lt;="&amp;'Settings'!$B$7)-SUMIFS('Entries'!$S$6:$S$505,'Entries'!$H$6:$H$505,A22,'Entries'!$R$6:$R$505,"Customer receivables",'Entries'!$B$6:$B$505,"&lt;="&amp;'Settings'!$B$7)+SUMIFS('Entries'!$S$6:$S$505,'Entries'!$H$6:$H$505,A22,'Entries'!$Q$6:$Q$505,"Courier receivables",'Entries'!$B$6:$B$505,"&lt;="&amp;'Settings'!$B$7)-SUMIFS('Entries'!$S$6:$S$505,'Entries'!$H$6:$H$505,A22,'Entries'!$R$6:$R$505,"Courier receivables",'Entries'!$B$6:$B$505,"&lt;="&amp;'Settings'!$B$7))*1)</x:f>
      </x:c>
      <x:c r="J22" s="37" t="str">
        <x:f>IF(A22="","",(SUMIFS('Entries'!$S$6:$S$505,'Entries'!$H$6:$H$505,A22,'Entries'!$Q$6:$Q$505,"Trade payables",'Entries'!$B$6:$B$505,"&lt;="&amp;'Settings'!$B$7)-SUMIFS('Entries'!$S$6:$S$505,'Entries'!$H$6:$H$505,A22,'Entries'!$R$6:$R$505,"Trade payables",'Entries'!$B$6:$B$505,"&lt;="&amp;'Settings'!$B$7))*-1)</x:f>
      </x:c>
      <x:c r="K22" s="37" t="str">
        <x:f>IF(A22="","",(SUMIFS('Entries'!$S$6:$S$505,'Entries'!$H$6:$H$505,A22,'Entries'!$Q$6:$Q$505,"Supplier advances",'Entries'!$B$6:$B$505,"&lt;="&amp;'Settings'!$B$7)-SUMIFS('Entries'!$S$6:$S$505,'Entries'!$H$6:$H$505,A22,'Entries'!$R$6:$R$505,"Supplier advances",'Entries'!$B$6:$B$505,"&lt;="&amp;'Settings'!$B$7))*1)</x:f>
      </x:c>
    </x:row>
    <x:row r="23" ht="23" customHeight="1">
      <x:c r="A23" s="36"/>
      <x:c r="B23" s="36"/>
      <x:c r="C23" s="36"/>
      <x:c r="D23" s="36"/>
      <x:c r="E23" s="36"/>
      <x:c r="F23" s="36"/>
      <x:c r="G23" s="36"/>
      <x:c r="H23" s="36"/>
      <x:c r="I23" s="37" t="str">
        <x:f>IF(A23="","",(SUMIFS('Entries'!$S$6:$S$505,'Entries'!$H$6:$H$505,A23,'Entries'!$Q$6:$Q$505,"Customer receivables",'Entries'!$B$6:$B$505,"&lt;="&amp;'Settings'!$B$7)-SUMIFS('Entries'!$S$6:$S$505,'Entries'!$H$6:$H$505,A23,'Entries'!$R$6:$R$505,"Customer receivables",'Entries'!$B$6:$B$505,"&lt;="&amp;'Settings'!$B$7)+SUMIFS('Entries'!$S$6:$S$505,'Entries'!$H$6:$H$505,A23,'Entries'!$Q$6:$Q$505,"Courier receivables",'Entries'!$B$6:$B$505,"&lt;="&amp;'Settings'!$B$7)-SUMIFS('Entries'!$S$6:$S$505,'Entries'!$H$6:$H$505,A23,'Entries'!$R$6:$R$505,"Courier receivables",'Entries'!$B$6:$B$505,"&lt;="&amp;'Settings'!$B$7))*1)</x:f>
      </x:c>
      <x:c r="J23" s="37" t="str">
        <x:f>IF(A23="","",(SUMIFS('Entries'!$S$6:$S$505,'Entries'!$H$6:$H$505,A23,'Entries'!$Q$6:$Q$505,"Trade payables",'Entries'!$B$6:$B$505,"&lt;="&amp;'Settings'!$B$7)-SUMIFS('Entries'!$S$6:$S$505,'Entries'!$H$6:$H$505,A23,'Entries'!$R$6:$R$505,"Trade payables",'Entries'!$B$6:$B$505,"&lt;="&amp;'Settings'!$B$7))*-1)</x:f>
      </x:c>
      <x:c r="K23" s="37" t="str">
        <x:f>IF(A23="","",(SUMIFS('Entries'!$S$6:$S$505,'Entries'!$H$6:$H$505,A23,'Entries'!$Q$6:$Q$505,"Supplier advances",'Entries'!$B$6:$B$505,"&lt;="&amp;'Settings'!$B$7)-SUMIFS('Entries'!$S$6:$S$505,'Entries'!$H$6:$H$505,A23,'Entries'!$R$6:$R$505,"Supplier advances",'Entries'!$B$6:$B$505,"&lt;="&amp;'Settings'!$B$7))*1)</x:f>
      </x:c>
    </x:row>
    <x:row r="24" ht="23" customHeight="1">
      <x:c r="A24" s="36"/>
      <x:c r="B24" s="36"/>
      <x:c r="C24" s="36"/>
      <x:c r="D24" s="36"/>
      <x:c r="E24" s="36"/>
      <x:c r="F24" s="36"/>
      <x:c r="G24" s="36"/>
      <x:c r="H24" s="36"/>
      <x:c r="I24" s="37" t="str">
        <x:f>IF(A24="","",(SUMIFS('Entries'!$S$6:$S$505,'Entries'!$H$6:$H$505,A24,'Entries'!$Q$6:$Q$505,"Customer receivables",'Entries'!$B$6:$B$505,"&lt;="&amp;'Settings'!$B$7)-SUMIFS('Entries'!$S$6:$S$505,'Entries'!$H$6:$H$505,A24,'Entries'!$R$6:$R$505,"Customer receivables",'Entries'!$B$6:$B$505,"&lt;="&amp;'Settings'!$B$7)+SUMIFS('Entries'!$S$6:$S$505,'Entries'!$H$6:$H$505,A24,'Entries'!$Q$6:$Q$505,"Courier receivables",'Entries'!$B$6:$B$505,"&lt;="&amp;'Settings'!$B$7)-SUMIFS('Entries'!$S$6:$S$505,'Entries'!$H$6:$H$505,A24,'Entries'!$R$6:$R$505,"Courier receivables",'Entries'!$B$6:$B$505,"&lt;="&amp;'Settings'!$B$7))*1)</x:f>
      </x:c>
      <x:c r="J24" s="37" t="str">
        <x:f>IF(A24="","",(SUMIFS('Entries'!$S$6:$S$505,'Entries'!$H$6:$H$505,A24,'Entries'!$Q$6:$Q$505,"Trade payables",'Entries'!$B$6:$B$505,"&lt;="&amp;'Settings'!$B$7)-SUMIFS('Entries'!$S$6:$S$505,'Entries'!$H$6:$H$505,A24,'Entries'!$R$6:$R$505,"Trade payables",'Entries'!$B$6:$B$505,"&lt;="&amp;'Settings'!$B$7))*-1)</x:f>
      </x:c>
      <x:c r="K24" s="37" t="str">
        <x:f>IF(A24="","",(SUMIFS('Entries'!$S$6:$S$505,'Entries'!$H$6:$H$505,A24,'Entries'!$Q$6:$Q$505,"Supplier advances",'Entries'!$B$6:$B$505,"&lt;="&amp;'Settings'!$B$7)-SUMIFS('Entries'!$S$6:$S$505,'Entries'!$H$6:$H$505,A24,'Entries'!$R$6:$R$505,"Supplier advances",'Entries'!$B$6:$B$505,"&lt;="&amp;'Settings'!$B$7))*1)</x:f>
      </x:c>
    </x:row>
    <x:row r="25" ht="23" customHeight="1">
      <x:c r="A25" s="36"/>
      <x:c r="B25" s="36"/>
      <x:c r="C25" s="36"/>
      <x:c r="D25" s="36"/>
      <x:c r="E25" s="36"/>
      <x:c r="F25" s="36"/>
      <x:c r="G25" s="36"/>
      <x:c r="H25" s="36"/>
      <x:c r="I25" s="37" t="str">
        <x:f>IF(A25="","",(SUMIFS('Entries'!$S$6:$S$505,'Entries'!$H$6:$H$505,A25,'Entries'!$Q$6:$Q$505,"Customer receivables",'Entries'!$B$6:$B$505,"&lt;="&amp;'Settings'!$B$7)-SUMIFS('Entries'!$S$6:$S$505,'Entries'!$H$6:$H$505,A25,'Entries'!$R$6:$R$505,"Customer receivables",'Entries'!$B$6:$B$505,"&lt;="&amp;'Settings'!$B$7)+SUMIFS('Entries'!$S$6:$S$505,'Entries'!$H$6:$H$505,A25,'Entries'!$Q$6:$Q$505,"Courier receivables",'Entries'!$B$6:$B$505,"&lt;="&amp;'Settings'!$B$7)-SUMIFS('Entries'!$S$6:$S$505,'Entries'!$H$6:$H$505,A25,'Entries'!$R$6:$R$505,"Courier receivables",'Entries'!$B$6:$B$505,"&lt;="&amp;'Settings'!$B$7))*1)</x:f>
      </x:c>
      <x:c r="J25" s="37" t="str">
        <x:f>IF(A25="","",(SUMIFS('Entries'!$S$6:$S$505,'Entries'!$H$6:$H$505,A25,'Entries'!$Q$6:$Q$505,"Trade payables",'Entries'!$B$6:$B$505,"&lt;="&amp;'Settings'!$B$7)-SUMIFS('Entries'!$S$6:$S$505,'Entries'!$H$6:$H$505,A25,'Entries'!$R$6:$R$505,"Trade payables",'Entries'!$B$6:$B$505,"&lt;="&amp;'Settings'!$B$7))*-1)</x:f>
      </x:c>
      <x:c r="K25" s="37" t="str">
        <x:f>IF(A25="","",(SUMIFS('Entries'!$S$6:$S$505,'Entries'!$H$6:$H$505,A25,'Entries'!$Q$6:$Q$505,"Supplier advances",'Entries'!$B$6:$B$505,"&lt;="&amp;'Settings'!$B$7)-SUMIFS('Entries'!$S$6:$S$505,'Entries'!$H$6:$H$505,A25,'Entries'!$R$6:$R$505,"Supplier advances",'Entries'!$B$6:$B$505,"&lt;="&amp;'Settings'!$B$7))*1)</x:f>
      </x:c>
    </x:row>
    <x:row r="26" ht="23" customHeight="1">
      <x:c r="A26" s="36"/>
      <x:c r="B26" s="36"/>
      <x:c r="C26" s="36"/>
      <x:c r="D26" s="36"/>
      <x:c r="E26" s="36"/>
      <x:c r="F26" s="36"/>
      <x:c r="G26" s="36"/>
      <x:c r="H26" s="36"/>
      <x:c r="I26" s="37" t="str">
        <x:f>IF(A26="","",(SUMIFS('Entries'!$S$6:$S$505,'Entries'!$H$6:$H$505,A26,'Entries'!$Q$6:$Q$505,"Customer receivables",'Entries'!$B$6:$B$505,"&lt;="&amp;'Settings'!$B$7)-SUMIFS('Entries'!$S$6:$S$505,'Entries'!$H$6:$H$505,A26,'Entries'!$R$6:$R$505,"Customer receivables",'Entries'!$B$6:$B$505,"&lt;="&amp;'Settings'!$B$7)+SUMIFS('Entries'!$S$6:$S$505,'Entries'!$H$6:$H$505,A26,'Entries'!$Q$6:$Q$505,"Courier receivables",'Entries'!$B$6:$B$505,"&lt;="&amp;'Settings'!$B$7)-SUMIFS('Entries'!$S$6:$S$505,'Entries'!$H$6:$H$505,A26,'Entries'!$R$6:$R$505,"Courier receivables",'Entries'!$B$6:$B$505,"&lt;="&amp;'Settings'!$B$7))*1)</x:f>
      </x:c>
      <x:c r="J26" s="37" t="str">
        <x:f>IF(A26="","",(SUMIFS('Entries'!$S$6:$S$505,'Entries'!$H$6:$H$505,A26,'Entries'!$Q$6:$Q$505,"Trade payables",'Entries'!$B$6:$B$505,"&lt;="&amp;'Settings'!$B$7)-SUMIFS('Entries'!$S$6:$S$505,'Entries'!$H$6:$H$505,A26,'Entries'!$R$6:$R$505,"Trade payables",'Entries'!$B$6:$B$505,"&lt;="&amp;'Settings'!$B$7))*-1)</x:f>
      </x:c>
      <x:c r="K26" s="37" t="str">
        <x:f>IF(A26="","",(SUMIFS('Entries'!$S$6:$S$505,'Entries'!$H$6:$H$505,A26,'Entries'!$Q$6:$Q$505,"Supplier advances",'Entries'!$B$6:$B$505,"&lt;="&amp;'Settings'!$B$7)-SUMIFS('Entries'!$S$6:$S$505,'Entries'!$H$6:$H$505,A26,'Entries'!$R$6:$R$505,"Supplier advances",'Entries'!$B$6:$B$505,"&lt;="&amp;'Settings'!$B$7))*1)</x:f>
      </x:c>
    </x:row>
    <x:row r="27" ht="23" customHeight="1">
      <x:c r="A27" s="36"/>
      <x:c r="B27" s="36"/>
      <x:c r="C27" s="36"/>
      <x:c r="D27" s="36"/>
      <x:c r="E27" s="36"/>
      <x:c r="F27" s="36"/>
      <x:c r="G27" s="36"/>
      <x:c r="H27" s="36"/>
      <x:c r="I27" s="37" t="str">
        <x:f>IF(A27="","",(SUMIFS('Entries'!$S$6:$S$505,'Entries'!$H$6:$H$505,A27,'Entries'!$Q$6:$Q$505,"Customer receivables",'Entries'!$B$6:$B$505,"&lt;="&amp;'Settings'!$B$7)-SUMIFS('Entries'!$S$6:$S$505,'Entries'!$H$6:$H$505,A27,'Entries'!$R$6:$R$505,"Customer receivables",'Entries'!$B$6:$B$505,"&lt;="&amp;'Settings'!$B$7)+SUMIFS('Entries'!$S$6:$S$505,'Entries'!$H$6:$H$505,A27,'Entries'!$Q$6:$Q$505,"Courier receivables",'Entries'!$B$6:$B$505,"&lt;="&amp;'Settings'!$B$7)-SUMIFS('Entries'!$S$6:$S$505,'Entries'!$H$6:$H$505,A27,'Entries'!$R$6:$R$505,"Courier receivables",'Entries'!$B$6:$B$505,"&lt;="&amp;'Settings'!$B$7))*1)</x:f>
      </x:c>
      <x:c r="J27" s="37" t="str">
        <x:f>IF(A27="","",(SUMIFS('Entries'!$S$6:$S$505,'Entries'!$H$6:$H$505,A27,'Entries'!$Q$6:$Q$505,"Trade payables",'Entries'!$B$6:$B$505,"&lt;="&amp;'Settings'!$B$7)-SUMIFS('Entries'!$S$6:$S$505,'Entries'!$H$6:$H$505,A27,'Entries'!$R$6:$R$505,"Trade payables",'Entries'!$B$6:$B$505,"&lt;="&amp;'Settings'!$B$7))*-1)</x:f>
      </x:c>
      <x:c r="K27" s="37" t="str">
        <x:f>IF(A27="","",(SUMIFS('Entries'!$S$6:$S$505,'Entries'!$H$6:$H$505,A27,'Entries'!$Q$6:$Q$505,"Supplier advances",'Entries'!$B$6:$B$505,"&lt;="&amp;'Settings'!$B$7)-SUMIFS('Entries'!$S$6:$S$505,'Entries'!$H$6:$H$505,A27,'Entries'!$R$6:$R$505,"Supplier advances",'Entries'!$B$6:$B$505,"&lt;="&amp;'Settings'!$B$7))*1)</x:f>
      </x:c>
    </x:row>
    <x:row r="28" ht="23" customHeight="1">
      <x:c r="A28" s="36"/>
      <x:c r="B28" s="36"/>
      <x:c r="C28" s="36"/>
      <x:c r="D28" s="36"/>
      <x:c r="E28" s="36"/>
      <x:c r="F28" s="36"/>
      <x:c r="G28" s="36"/>
      <x:c r="H28" s="36"/>
      <x:c r="I28" s="37" t="str">
        <x:f>IF(A28="","",(SUMIFS('Entries'!$S$6:$S$505,'Entries'!$H$6:$H$505,A28,'Entries'!$Q$6:$Q$505,"Customer receivables",'Entries'!$B$6:$B$505,"&lt;="&amp;'Settings'!$B$7)-SUMIFS('Entries'!$S$6:$S$505,'Entries'!$H$6:$H$505,A28,'Entries'!$R$6:$R$505,"Customer receivables",'Entries'!$B$6:$B$505,"&lt;="&amp;'Settings'!$B$7)+SUMIFS('Entries'!$S$6:$S$505,'Entries'!$H$6:$H$505,A28,'Entries'!$Q$6:$Q$505,"Courier receivables",'Entries'!$B$6:$B$505,"&lt;="&amp;'Settings'!$B$7)-SUMIFS('Entries'!$S$6:$S$505,'Entries'!$H$6:$H$505,A28,'Entries'!$R$6:$R$505,"Courier receivables",'Entries'!$B$6:$B$505,"&lt;="&amp;'Settings'!$B$7))*1)</x:f>
      </x:c>
      <x:c r="J28" s="37" t="str">
        <x:f>IF(A28="","",(SUMIFS('Entries'!$S$6:$S$505,'Entries'!$H$6:$H$505,A28,'Entries'!$Q$6:$Q$505,"Trade payables",'Entries'!$B$6:$B$505,"&lt;="&amp;'Settings'!$B$7)-SUMIFS('Entries'!$S$6:$S$505,'Entries'!$H$6:$H$505,A28,'Entries'!$R$6:$R$505,"Trade payables",'Entries'!$B$6:$B$505,"&lt;="&amp;'Settings'!$B$7))*-1)</x:f>
      </x:c>
      <x:c r="K28" s="37" t="str">
        <x:f>IF(A28="","",(SUMIFS('Entries'!$S$6:$S$505,'Entries'!$H$6:$H$505,A28,'Entries'!$Q$6:$Q$505,"Supplier advances",'Entries'!$B$6:$B$505,"&lt;="&amp;'Settings'!$B$7)-SUMIFS('Entries'!$S$6:$S$505,'Entries'!$H$6:$H$505,A28,'Entries'!$R$6:$R$505,"Supplier advances",'Entries'!$B$6:$B$505,"&lt;="&amp;'Settings'!$B$7))*1)</x:f>
      </x:c>
    </x:row>
    <x:row r="29" ht="23" customHeight="1">
      <x:c r="A29" s="36"/>
      <x:c r="B29" s="36"/>
      <x:c r="C29" s="36"/>
      <x:c r="D29" s="36"/>
      <x:c r="E29" s="36"/>
      <x:c r="F29" s="36"/>
      <x:c r="G29" s="36"/>
      <x:c r="H29" s="36"/>
      <x:c r="I29" s="37" t="str">
        <x:f>IF(A29="","",(SUMIFS('Entries'!$S$6:$S$505,'Entries'!$H$6:$H$505,A29,'Entries'!$Q$6:$Q$505,"Customer receivables",'Entries'!$B$6:$B$505,"&lt;="&amp;'Settings'!$B$7)-SUMIFS('Entries'!$S$6:$S$505,'Entries'!$H$6:$H$505,A29,'Entries'!$R$6:$R$505,"Customer receivables",'Entries'!$B$6:$B$505,"&lt;="&amp;'Settings'!$B$7)+SUMIFS('Entries'!$S$6:$S$505,'Entries'!$H$6:$H$505,A29,'Entries'!$Q$6:$Q$505,"Courier receivables",'Entries'!$B$6:$B$505,"&lt;="&amp;'Settings'!$B$7)-SUMIFS('Entries'!$S$6:$S$505,'Entries'!$H$6:$H$505,A29,'Entries'!$R$6:$R$505,"Courier receivables",'Entries'!$B$6:$B$505,"&lt;="&amp;'Settings'!$B$7))*1)</x:f>
      </x:c>
      <x:c r="J29" s="37" t="str">
        <x:f>IF(A29="","",(SUMIFS('Entries'!$S$6:$S$505,'Entries'!$H$6:$H$505,A29,'Entries'!$Q$6:$Q$505,"Trade payables",'Entries'!$B$6:$B$505,"&lt;="&amp;'Settings'!$B$7)-SUMIFS('Entries'!$S$6:$S$505,'Entries'!$H$6:$H$505,A29,'Entries'!$R$6:$R$505,"Trade payables",'Entries'!$B$6:$B$505,"&lt;="&amp;'Settings'!$B$7))*-1)</x:f>
      </x:c>
      <x:c r="K29" s="37" t="str">
        <x:f>IF(A29="","",(SUMIFS('Entries'!$S$6:$S$505,'Entries'!$H$6:$H$505,A29,'Entries'!$Q$6:$Q$505,"Supplier advances",'Entries'!$B$6:$B$505,"&lt;="&amp;'Settings'!$B$7)-SUMIFS('Entries'!$S$6:$S$505,'Entries'!$H$6:$H$505,A29,'Entries'!$R$6:$R$505,"Supplier advances",'Entries'!$B$6:$B$505,"&lt;="&amp;'Settings'!$B$7))*1)</x:f>
      </x:c>
    </x:row>
    <x:row r="30" ht="23" customHeight="1">
      <x:c r="A30" s="36"/>
      <x:c r="B30" s="36"/>
      <x:c r="C30" s="36"/>
      <x:c r="D30" s="36"/>
      <x:c r="E30" s="36"/>
      <x:c r="F30" s="36"/>
      <x:c r="G30" s="36"/>
      <x:c r="H30" s="36"/>
      <x:c r="I30" s="37" t="str">
        <x:f>IF(A30="","",(SUMIFS('Entries'!$S$6:$S$505,'Entries'!$H$6:$H$505,A30,'Entries'!$Q$6:$Q$505,"Customer receivables",'Entries'!$B$6:$B$505,"&lt;="&amp;'Settings'!$B$7)-SUMIFS('Entries'!$S$6:$S$505,'Entries'!$H$6:$H$505,A30,'Entries'!$R$6:$R$505,"Customer receivables",'Entries'!$B$6:$B$505,"&lt;="&amp;'Settings'!$B$7)+SUMIFS('Entries'!$S$6:$S$505,'Entries'!$H$6:$H$505,A30,'Entries'!$Q$6:$Q$505,"Courier receivables",'Entries'!$B$6:$B$505,"&lt;="&amp;'Settings'!$B$7)-SUMIFS('Entries'!$S$6:$S$505,'Entries'!$H$6:$H$505,A30,'Entries'!$R$6:$R$505,"Courier receivables",'Entries'!$B$6:$B$505,"&lt;="&amp;'Settings'!$B$7))*1)</x:f>
      </x:c>
      <x:c r="J30" s="37" t="str">
        <x:f>IF(A30="","",(SUMIFS('Entries'!$S$6:$S$505,'Entries'!$H$6:$H$505,A30,'Entries'!$Q$6:$Q$505,"Trade payables",'Entries'!$B$6:$B$505,"&lt;="&amp;'Settings'!$B$7)-SUMIFS('Entries'!$S$6:$S$505,'Entries'!$H$6:$H$505,A30,'Entries'!$R$6:$R$505,"Trade payables",'Entries'!$B$6:$B$505,"&lt;="&amp;'Settings'!$B$7))*-1)</x:f>
      </x:c>
      <x:c r="K30" s="37" t="str">
        <x:f>IF(A30="","",(SUMIFS('Entries'!$S$6:$S$505,'Entries'!$H$6:$H$505,A30,'Entries'!$Q$6:$Q$505,"Supplier advances",'Entries'!$B$6:$B$505,"&lt;="&amp;'Settings'!$B$7)-SUMIFS('Entries'!$S$6:$S$505,'Entries'!$H$6:$H$505,A30,'Entries'!$R$6:$R$505,"Supplier advances",'Entries'!$B$6:$B$505,"&lt;="&amp;'Settings'!$B$7))*1)</x:f>
      </x:c>
    </x:row>
    <x:row r="31" ht="23" customHeight="1">
      <x:c r="A31" s="36"/>
      <x:c r="B31" s="36"/>
      <x:c r="C31" s="36"/>
      <x:c r="D31" s="36"/>
      <x:c r="E31" s="36"/>
      <x:c r="F31" s="36"/>
      <x:c r="G31" s="36"/>
      <x:c r="H31" s="36"/>
      <x:c r="I31" s="37" t="str">
        <x:f>IF(A31="","",(SUMIFS('Entries'!$S$6:$S$505,'Entries'!$H$6:$H$505,A31,'Entries'!$Q$6:$Q$505,"Customer receivables",'Entries'!$B$6:$B$505,"&lt;="&amp;'Settings'!$B$7)-SUMIFS('Entries'!$S$6:$S$505,'Entries'!$H$6:$H$505,A31,'Entries'!$R$6:$R$505,"Customer receivables",'Entries'!$B$6:$B$505,"&lt;="&amp;'Settings'!$B$7)+SUMIFS('Entries'!$S$6:$S$505,'Entries'!$H$6:$H$505,A31,'Entries'!$Q$6:$Q$505,"Courier receivables",'Entries'!$B$6:$B$505,"&lt;="&amp;'Settings'!$B$7)-SUMIFS('Entries'!$S$6:$S$505,'Entries'!$H$6:$H$505,A31,'Entries'!$R$6:$R$505,"Courier receivables",'Entries'!$B$6:$B$505,"&lt;="&amp;'Settings'!$B$7))*1)</x:f>
      </x:c>
      <x:c r="J31" s="37" t="str">
        <x:f>IF(A31="","",(SUMIFS('Entries'!$S$6:$S$505,'Entries'!$H$6:$H$505,A31,'Entries'!$Q$6:$Q$505,"Trade payables",'Entries'!$B$6:$B$505,"&lt;="&amp;'Settings'!$B$7)-SUMIFS('Entries'!$S$6:$S$505,'Entries'!$H$6:$H$505,A31,'Entries'!$R$6:$R$505,"Trade payables",'Entries'!$B$6:$B$505,"&lt;="&amp;'Settings'!$B$7))*-1)</x:f>
      </x:c>
      <x:c r="K31" s="37" t="str">
        <x:f>IF(A31="","",(SUMIFS('Entries'!$S$6:$S$505,'Entries'!$H$6:$H$505,A31,'Entries'!$Q$6:$Q$505,"Supplier advances",'Entries'!$B$6:$B$505,"&lt;="&amp;'Settings'!$B$7)-SUMIFS('Entries'!$S$6:$S$505,'Entries'!$H$6:$H$505,A31,'Entries'!$R$6:$R$505,"Supplier advances",'Entries'!$B$6:$B$505,"&lt;="&amp;'Settings'!$B$7))*1)</x:f>
      </x:c>
    </x:row>
    <x:row r="32" ht="23" customHeight="1">
      <x:c r="A32" s="36"/>
      <x:c r="B32" s="36"/>
      <x:c r="C32" s="36"/>
      <x:c r="D32" s="36"/>
      <x:c r="E32" s="36"/>
      <x:c r="F32" s="36"/>
      <x:c r="G32" s="36"/>
      <x:c r="H32" s="36"/>
      <x:c r="I32" s="37" t="str">
        <x:f>IF(A32="","",(SUMIFS('Entries'!$S$6:$S$505,'Entries'!$H$6:$H$505,A32,'Entries'!$Q$6:$Q$505,"Customer receivables",'Entries'!$B$6:$B$505,"&lt;="&amp;'Settings'!$B$7)-SUMIFS('Entries'!$S$6:$S$505,'Entries'!$H$6:$H$505,A32,'Entries'!$R$6:$R$505,"Customer receivables",'Entries'!$B$6:$B$505,"&lt;="&amp;'Settings'!$B$7)+SUMIFS('Entries'!$S$6:$S$505,'Entries'!$H$6:$H$505,A32,'Entries'!$Q$6:$Q$505,"Courier receivables",'Entries'!$B$6:$B$505,"&lt;="&amp;'Settings'!$B$7)-SUMIFS('Entries'!$S$6:$S$505,'Entries'!$H$6:$H$505,A32,'Entries'!$R$6:$R$505,"Courier receivables",'Entries'!$B$6:$B$505,"&lt;="&amp;'Settings'!$B$7))*1)</x:f>
      </x:c>
      <x:c r="J32" s="37" t="str">
        <x:f>IF(A32="","",(SUMIFS('Entries'!$S$6:$S$505,'Entries'!$H$6:$H$505,A32,'Entries'!$Q$6:$Q$505,"Trade payables",'Entries'!$B$6:$B$505,"&lt;="&amp;'Settings'!$B$7)-SUMIFS('Entries'!$S$6:$S$505,'Entries'!$H$6:$H$505,A32,'Entries'!$R$6:$R$505,"Trade payables",'Entries'!$B$6:$B$505,"&lt;="&amp;'Settings'!$B$7))*-1)</x:f>
      </x:c>
      <x:c r="K32" s="37" t="str">
        <x:f>IF(A32="","",(SUMIFS('Entries'!$S$6:$S$505,'Entries'!$H$6:$H$505,A32,'Entries'!$Q$6:$Q$505,"Supplier advances",'Entries'!$B$6:$B$505,"&lt;="&amp;'Settings'!$B$7)-SUMIFS('Entries'!$S$6:$S$505,'Entries'!$H$6:$H$505,A32,'Entries'!$R$6:$R$505,"Supplier advances",'Entries'!$B$6:$B$505,"&lt;="&amp;'Settings'!$B$7))*1)</x:f>
      </x:c>
    </x:row>
    <x:row r="33" ht="23" customHeight="1">
      <x:c r="A33" s="36"/>
      <x:c r="B33" s="36"/>
      <x:c r="C33" s="36"/>
      <x:c r="D33" s="36"/>
      <x:c r="E33" s="36"/>
      <x:c r="F33" s="36"/>
      <x:c r="G33" s="36"/>
      <x:c r="H33" s="36"/>
      <x:c r="I33" s="37" t="str">
        <x:f>IF(A33="","",(SUMIFS('Entries'!$S$6:$S$505,'Entries'!$H$6:$H$505,A33,'Entries'!$Q$6:$Q$505,"Customer receivables",'Entries'!$B$6:$B$505,"&lt;="&amp;'Settings'!$B$7)-SUMIFS('Entries'!$S$6:$S$505,'Entries'!$H$6:$H$505,A33,'Entries'!$R$6:$R$505,"Customer receivables",'Entries'!$B$6:$B$505,"&lt;="&amp;'Settings'!$B$7)+SUMIFS('Entries'!$S$6:$S$505,'Entries'!$H$6:$H$505,A33,'Entries'!$Q$6:$Q$505,"Courier receivables",'Entries'!$B$6:$B$505,"&lt;="&amp;'Settings'!$B$7)-SUMIFS('Entries'!$S$6:$S$505,'Entries'!$H$6:$H$505,A33,'Entries'!$R$6:$R$505,"Courier receivables",'Entries'!$B$6:$B$505,"&lt;="&amp;'Settings'!$B$7))*1)</x:f>
      </x:c>
      <x:c r="J33" s="37" t="str">
        <x:f>IF(A33="","",(SUMIFS('Entries'!$S$6:$S$505,'Entries'!$H$6:$H$505,A33,'Entries'!$Q$6:$Q$505,"Trade payables",'Entries'!$B$6:$B$505,"&lt;="&amp;'Settings'!$B$7)-SUMIFS('Entries'!$S$6:$S$505,'Entries'!$H$6:$H$505,A33,'Entries'!$R$6:$R$505,"Trade payables",'Entries'!$B$6:$B$505,"&lt;="&amp;'Settings'!$B$7))*-1)</x:f>
      </x:c>
      <x:c r="K33" s="37" t="str">
        <x:f>IF(A33="","",(SUMIFS('Entries'!$S$6:$S$505,'Entries'!$H$6:$H$505,A33,'Entries'!$Q$6:$Q$505,"Supplier advances",'Entries'!$B$6:$B$505,"&lt;="&amp;'Settings'!$B$7)-SUMIFS('Entries'!$S$6:$S$505,'Entries'!$H$6:$H$505,A33,'Entries'!$R$6:$R$505,"Supplier advances",'Entries'!$B$6:$B$505,"&lt;="&amp;'Settings'!$B$7))*1)</x:f>
      </x:c>
    </x:row>
    <x:row r="34" ht="23" customHeight="1">
      <x:c r="A34" s="36"/>
      <x:c r="B34" s="36"/>
      <x:c r="C34" s="36"/>
      <x:c r="D34" s="36"/>
      <x:c r="E34" s="36"/>
      <x:c r="F34" s="36"/>
      <x:c r="G34" s="36"/>
      <x:c r="H34" s="36"/>
      <x:c r="I34" s="37" t="str">
        <x:f>IF(A34="","",(SUMIFS('Entries'!$S$6:$S$505,'Entries'!$H$6:$H$505,A34,'Entries'!$Q$6:$Q$505,"Customer receivables",'Entries'!$B$6:$B$505,"&lt;="&amp;'Settings'!$B$7)-SUMIFS('Entries'!$S$6:$S$505,'Entries'!$H$6:$H$505,A34,'Entries'!$R$6:$R$505,"Customer receivables",'Entries'!$B$6:$B$505,"&lt;="&amp;'Settings'!$B$7)+SUMIFS('Entries'!$S$6:$S$505,'Entries'!$H$6:$H$505,A34,'Entries'!$Q$6:$Q$505,"Courier receivables",'Entries'!$B$6:$B$505,"&lt;="&amp;'Settings'!$B$7)-SUMIFS('Entries'!$S$6:$S$505,'Entries'!$H$6:$H$505,A34,'Entries'!$R$6:$R$505,"Courier receivables",'Entries'!$B$6:$B$505,"&lt;="&amp;'Settings'!$B$7))*1)</x:f>
      </x:c>
      <x:c r="J34" s="37" t="str">
        <x:f>IF(A34="","",(SUMIFS('Entries'!$S$6:$S$505,'Entries'!$H$6:$H$505,A34,'Entries'!$Q$6:$Q$505,"Trade payables",'Entries'!$B$6:$B$505,"&lt;="&amp;'Settings'!$B$7)-SUMIFS('Entries'!$S$6:$S$505,'Entries'!$H$6:$H$505,A34,'Entries'!$R$6:$R$505,"Trade payables",'Entries'!$B$6:$B$505,"&lt;="&amp;'Settings'!$B$7))*-1)</x:f>
      </x:c>
      <x:c r="K34" s="37" t="str">
        <x:f>IF(A34="","",(SUMIFS('Entries'!$S$6:$S$505,'Entries'!$H$6:$H$505,A34,'Entries'!$Q$6:$Q$505,"Supplier advances",'Entries'!$B$6:$B$505,"&lt;="&amp;'Settings'!$B$7)-SUMIFS('Entries'!$S$6:$S$505,'Entries'!$H$6:$H$505,A34,'Entries'!$R$6:$R$505,"Supplier advances",'Entries'!$B$6:$B$505,"&lt;="&amp;'Settings'!$B$7))*1)</x:f>
      </x:c>
    </x:row>
    <x:row r="35" ht="23" customHeight="1">
      <x:c r="A35" s="36"/>
      <x:c r="B35" s="36"/>
      <x:c r="C35" s="36"/>
      <x:c r="D35" s="36"/>
      <x:c r="E35" s="36"/>
      <x:c r="F35" s="36"/>
      <x:c r="G35" s="36"/>
      <x:c r="H35" s="36"/>
      <x:c r="I35" s="37" t="str">
        <x:f>IF(A35="","",(SUMIFS('Entries'!$S$6:$S$505,'Entries'!$H$6:$H$505,A35,'Entries'!$Q$6:$Q$505,"Customer receivables",'Entries'!$B$6:$B$505,"&lt;="&amp;'Settings'!$B$7)-SUMIFS('Entries'!$S$6:$S$505,'Entries'!$H$6:$H$505,A35,'Entries'!$R$6:$R$505,"Customer receivables",'Entries'!$B$6:$B$505,"&lt;="&amp;'Settings'!$B$7)+SUMIFS('Entries'!$S$6:$S$505,'Entries'!$H$6:$H$505,A35,'Entries'!$Q$6:$Q$505,"Courier receivables",'Entries'!$B$6:$B$505,"&lt;="&amp;'Settings'!$B$7)-SUMIFS('Entries'!$S$6:$S$505,'Entries'!$H$6:$H$505,A35,'Entries'!$R$6:$R$505,"Courier receivables",'Entries'!$B$6:$B$505,"&lt;="&amp;'Settings'!$B$7))*1)</x:f>
      </x:c>
      <x:c r="J35" s="37" t="str">
        <x:f>IF(A35="","",(SUMIFS('Entries'!$S$6:$S$505,'Entries'!$H$6:$H$505,A35,'Entries'!$Q$6:$Q$505,"Trade payables",'Entries'!$B$6:$B$505,"&lt;="&amp;'Settings'!$B$7)-SUMIFS('Entries'!$S$6:$S$505,'Entries'!$H$6:$H$505,A35,'Entries'!$R$6:$R$505,"Trade payables",'Entries'!$B$6:$B$505,"&lt;="&amp;'Settings'!$B$7))*-1)</x:f>
      </x:c>
      <x:c r="K35" s="37" t="str">
        <x:f>IF(A35="","",(SUMIFS('Entries'!$S$6:$S$505,'Entries'!$H$6:$H$505,A35,'Entries'!$Q$6:$Q$505,"Supplier advances",'Entries'!$B$6:$B$505,"&lt;="&amp;'Settings'!$B$7)-SUMIFS('Entries'!$S$6:$S$505,'Entries'!$H$6:$H$505,A35,'Entries'!$R$6:$R$505,"Supplier advances",'Entries'!$B$6:$B$505,"&lt;="&amp;'Settings'!$B$7))*1)</x:f>
      </x:c>
    </x:row>
    <x:row r="36" ht="23" customHeight="1">
      <x:c r="A36" s="36"/>
      <x:c r="B36" s="36"/>
      <x:c r="C36" s="36"/>
      <x:c r="D36" s="36"/>
      <x:c r="E36" s="36"/>
      <x:c r="F36" s="36"/>
      <x:c r="G36" s="36"/>
      <x:c r="H36" s="36"/>
      <x:c r="I36" s="37" t="str">
        <x:f>IF(A36="","",(SUMIFS('Entries'!$S$6:$S$505,'Entries'!$H$6:$H$505,A36,'Entries'!$Q$6:$Q$505,"Customer receivables",'Entries'!$B$6:$B$505,"&lt;="&amp;'Settings'!$B$7)-SUMIFS('Entries'!$S$6:$S$505,'Entries'!$H$6:$H$505,A36,'Entries'!$R$6:$R$505,"Customer receivables",'Entries'!$B$6:$B$505,"&lt;="&amp;'Settings'!$B$7)+SUMIFS('Entries'!$S$6:$S$505,'Entries'!$H$6:$H$505,A36,'Entries'!$Q$6:$Q$505,"Courier receivables",'Entries'!$B$6:$B$505,"&lt;="&amp;'Settings'!$B$7)-SUMIFS('Entries'!$S$6:$S$505,'Entries'!$H$6:$H$505,A36,'Entries'!$R$6:$R$505,"Courier receivables",'Entries'!$B$6:$B$505,"&lt;="&amp;'Settings'!$B$7))*1)</x:f>
      </x:c>
      <x:c r="J36" s="37" t="str">
        <x:f>IF(A36="","",(SUMIFS('Entries'!$S$6:$S$505,'Entries'!$H$6:$H$505,A36,'Entries'!$Q$6:$Q$505,"Trade payables",'Entries'!$B$6:$B$505,"&lt;="&amp;'Settings'!$B$7)-SUMIFS('Entries'!$S$6:$S$505,'Entries'!$H$6:$H$505,A36,'Entries'!$R$6:$R$505,"Trade payables",'Entries'!$B$6:$B$505,"&lt;="&amp;'Settings'!$B$7))*-1)</x:f>
      </x:c>
      <x:c r="K36" s="37" t="str">
        <x:f>IF(A36="","",(SUMIFS('Entries'!$S$6:$S$505,'Entries'!$H$6:$H$505,A36,'Entries'!$Q$6:$Q$505,"Supplier advances",'Entries'!$B$6:$B$505,"&lt;="&amp;'Settings'!$B$7)-SUMIFS('Entries'!$S$6:$S$505,'Entries'!$H$6:$H$505,A36,'Entries'!$R$6:$R$505,"Supplier advances",'Entries'!$B$6:$B$505,"&lt;="&amp;'Settings'!$B$7))*1)</x:f>
      </x:c>
    </x:row>
    <x:row r="37" ht="23" customHeight="1">
      <x:c r="A37" s="36"/>
      <x:c r="B37" s="36"/>
      <x:c r="C37" s="36"/>
      <x:c r="D37" s="36"/>
      <x:c r="E37" s="36"/>
      <x:c r="F37" s="36"/>
      <x:c r="G37" s="36"/>
      <x:c r="H37" s="36"/>
      <x:c r="I37" s="37" t="str">
        <x:f>IF(A37="","",(SUMIFS('Entries'!$S$6:$S$505,'Entries'!$H$6:$H$505,A37,'Entries'!$Q$6:$Q$505,"Customer receivables",'Entries'!$B$6:$B$505,"&lt;="&amp;'Settings'!$B$7)-SUMIFS('Entries'!$S$6:$S$505,'Entries'!$H$6:$H$505,A37,'Entries'!$R$6:$R$505,"Customer receivables",'Entries'!$B$6:$B$505,"&lt;="&amp;'Settings'!$B$7)+SUMIFS('Entries'!$S$6:$S$505,'Entries'!$H$6:$H$505,A37,'Entries'!$Q$6:$Q$505,"Courier receivables",'Entries'!$B$6:$B$505,"&lt;="&amp;'Settings'!$B$7)-SUMIFS('Entries'!$S$6:$S$505,'Entries'!$H$6:$H$505,A37,'Entries'!$R$6:$R$505,"Courier receivables",'Entries'!$B$6:$B$505,"&lt;="&amp;'Settings'!$B$7))*1)</x:f>
      </x:c>
      <x:c r="J37" s="37" t="str">
        <x:f>IF(A37="","",(SUMIFS('Entries'!$S$6:$S$505,'Entries'!$H$6:$H$505,A37,'Entries'!$Q$6:$Q$505,"Trade payables",'Entries'!$B$6:$B$505,"&lt;="&amp;'Settings'!$B$7)-SUMIFS('Entries'!$S$6:$S$505,'Entries'!$H$6:$H$505,A37,'Entries'!$R$6:$R$505,"Trade payables",'Entries'!$B$6:$B$505,"&lt;="&amp;'Settings'!$B$7))*-1)</x:f>
      </x:c>
      <x:c r="K37" s="37" t="str">
        <x:f>IF(A37="","",(SUMIFS('Entries'!$S$6:$S$505,'Entries'!$H$6:$H$505,A37,'Entries'!$Q$6:$Q$505,"Supplier advances",'Entries'!$B$6:$B$505,"&lt;="&amp;'Settings'!$B$7)-SUMIFS('Entries'!$S$6:$S$505,'Entries'!$H$6:$H$505,A37,'Entries'!$R$6:$R$505,"Supplier advances",'Entries'!$B$6:$B$505,"&lt;="&amp;'Settings'!$B$7))*1)</x:f>
      </x:c>
    </x:row>
    <x:row r="38" ht="23" customHeight="1">
      <x:c r="A38" s="36"/>
      <x:c r="B38" s="36"/>
      <x:c r="C38" s="36"/>
      <x:c r="D38" s="36"/>
      <x:c r="E38" s="36"/>
      <x:c r="F38" s="36"/>
      <x:c r="G38" s="36"/>
      <x:c r="H38" s="36"/>
      <x:c r="I38" s="37" t="str">
        <x:f>IF(A38="","",(SUMIFS('Entries'!$S$6:$S$505,'Entries'!$H$6:$H$505,A38,'Entries'!$Q$6:$Q$505,"Customer receivables",'Entries'!$B$6:$B$505,"&lt;="&amp;'Settings'!$B$7)-SUMIFS('Entries'!$S$6:$S$505,'Entries'!$H$6:$H$505,A38,'Entries'!$R$6:$R$505,"Customer receivables",'Entries'!$B$6:$B$505,"&lt;="&amp;'Settings'!$B$7)+SUMIFS('Entries'!$S$6:$S$505,'Entries'!$H$6:$H$505,A38,'Entries'!$Q$6:$Q$505,"Courier receivables",'Entries'!$B$6:$B$505,"&lt;="&amp;'Settings'!$B$7)-SUMIFS('Entries'!$S$6:$S$505,'Entries'!$H$6:$H$505,A38,'Entries'!$R$6:$R$505,"Courier receivables",'Entries'!$B$6:$B$505,"&lt;="&amp;'Settings'!$B$7))*1)</x:f>
      </x:c>
      <x:c r="J38" s="37" t="str">
        <x:f>IF(A38="","",(SUMIFS('Entries'!$S$6:$S$505,'Entries'!$H$6:$H$505,A38,'Entries'!$Q$6:$Q$505,"Trade payables",'Entries'!$B$6:$B$505,"&lt;="&amp;'Settings'!$B$7)-SUMIFS('Entries'!$S$6:$S$505,'Entries'!$H$6:$H$505,A38,'Entries'!$R$6:$R$505,"Trade payables",'Entries'!$B$6:$B$505,"&lt;="&amp;'Settings'!$B$7))*-1)</x:f>
      </x:c>
      <x:c r="K38" s="37" t="str">
        <x:f>IF(A38="","",(SUMIFS('Entries'!$S$6:$S$505,'Entries'!$H$6:$H$505,A38,'Entries'!$Q$6:$Q$505,"Supplier advances",'Entries'!$B$6:$B$505,"&lt;="&amp;'Settings'!$B$7)-SUMIFS('Entries'!$S$6:$S$505,'Entries'!$H$6:$H$505,A38,'Entries'!$R$6:$R$505,"Supplier advances",'Entries'!$B$6:$B$505,"&lt;="&amp;'Settings'!$B$7))*1)</x:f>
      </x:c>
    </x:row>
    <x:row r="39" ht="23" customHeight="1">
      <x:c r="A39" s="36"/>
      <x:c r="B39" s="36"/>
      <x:c r="C39" s="36"/>
      <x:c r="D39" s="36"/>
      <x:c r="E39" s="36"/>
      <x:c r="F39" s="36"/>
      <x:c r="G39" s="36"/>
      <x:c r="H39" s="36"/>
      <x:c r="I39" s="37" t="str">
        <x:f>IF(A39="","",(SUMIFS('Entries'!$S$6:$S$505,'Entries'!$H$6:$H$505,A39,'Entries'!$Q$6:$Q$505,"Customer receivables",'Entries'!$B$6:$B$505,"&lt;="&amp;'Settings'!$B$7)-SUMIFS('Entries'!$S$6:$S$505,'Entries'!$H$6:$H$505,A39,'Entries'!$R$6:$R$505,"Customer receivables",'Entries'!$B$6:$B$505,"&lt;="&amp;'Settings'!$B$7)+SUMIFS('Entries'!$S$6:$S$505,'Entries'!$H$6:$H$505,A39,'Entries'!$Q$6:$Q$505,"Courier receivables",'Entries'!$B$6:$B$505,"&lt;="&amp;'Settings'!$B$7)-SUMIFS('Entries'!$S$6:$S$505,'Entries'!$H$6:$H$505,A39,'Entries'!$R$6:$R$505,"Courier receivables",'Entries'!$B$6:$B$505,"&lt;="&amp;'Settings'!$B$7))*1)</x:f>
      </x:c>
      <x:c r="J39" s="37" t="str">
        <x:f>IF(A39="","",(SUMIFS('Entries'!$S$6:$S$505,'Entries'!$H$6:$H$505,A39,'Entries'!$Q$6:$Q$505,"Trade payables",'Entries'!$B$6:$B$505,"&lt;="&amp;'Settings'!$B$7)-SUMIFS('Entries'!$S$6:$S$505,'Entries'!$H$6:$H$505,A39,'Entries'!$R$6:$R$505,"Trade payables",'Entries'!$B$6:$B$505,"&lt;="&amp;'Settings'!$B$7))*-1)</x:f>
      </x:c>
      <x:c r="K39" s="37" t="str">
        <x:f>IF(A39="","",(SUMIFS('Entries'!$S$6:$S$505,'Entries'!$H$6:$H$505,A39,'Entries'!$Q$6:$Q$505,"Supplier advances",'Entries'!$B$6:$B$505,"&lt;="&amp;'Settings'!$B$7)-SUMIFS('Entries'!$S$6:$S$505,'Entries'!$H$6:$H$505,A39,'Entries'!$R$6:$R$505,"Supplier advances",'Entries'!$B$6:$B$505,"&lt;="&amp;'Settings'!$B$7))*1)</x:f>
      </x:c>
    </x:row>
    <x:row r="40" ht="23" customHeight="1">
      <x:c r="A40" s="36"/>
      <x:c r="B40" s="36"/>
      <x:c r="C40" s="36"/>
      <x:c r="D40" s="36"/>
      <x:c r="E40" s="36"/>
      <x:c r="F40" s="36"/>
      <x:c r="G40" s="36"/>
      <x:c r="H40" s="36"/>
      <x:c r="I40" s="37" t="str">
        <x:f>IF(A40="","",(SUMIFS('Entries'!$S$6:$S$505,'Entries'!$H$6:$H$505,A40,'Entries'!$Q$6:$Q$505,"Customer receivables",'Entries'!$B$6:$B$505,"&lt;="&amp;'Settings'!$B$7)-SUMIFS('Entries'!$S$6:$S$505,'Entries'!$H$6:$H$505,A40,'Entries'!$R$6:$R$505,"Customer receivables",'Entries'!$B$6:$B$505,"&lt;="&amp;'Settings'!$B$7)+SUMIFS('Entries'!$S$6:$S$505,'Entries'!$H$6:$H$505,A40,'Entries'!$Q$6:$Q$505,"Courier receivables",'Entries'!$B$6:$B$505,"&lt;="&amp;'Settings'!$B$7)-SUMIFS('Entries'!$S$6:$S$505,'Entries'!$H$6:$H$505,A40,'Entries'!$R$6:$R$505,"Courier receivables",'Entries'!$B$6:$B$505,"&lt;="&amp;'Settings'!$B$7))*1)</x:f>
      </x:c>
      <x:c r="J40" s="37" t="str">
        <x:f>IF(A40="","",(SUMIFS('Entries'!$S$6:$S$505,'Entries'!$H$6:$H$505,A40,'Entries'!$Q$6:$Q$505,"Trade payables",'Entries'!$B$6:$B$505,"&lt;="&amp;'Settings'!$B$7)-SUMIFS('Entries'!$S$6:$S$505,'Entries'!$H$6:$H$505,A40,'Entries'!$R$6:$R$505,"Trade payables",'Entries'!$B$6:$B$505,"&lt;="&amp;'Settings'!$B$7))*-1)</x:f>
      </x:c>
      <x:c r="K40" s="37" t="str">
        <x:f>IF(A40="","",(SUMIFS('Entries'!$S$6:$S$505,'Entries'!$H$6:$H$505,A40,'Entries'!$Q$6:$Q$505,"Supplier advances",'Entries'!$B$6:$B$505,"&lt;="&amp;'Settings'!$B$7)-SUMIFS('Entries'!$S$6:$S$505,'Entries'!$H$6:$H$505,A40,'Entries'!$R$6:$R$505,"Supplier advances",'Entries'!$B$6:$B$505,"&lt;="&amp;'Settings'!$B$7))*1)</x:f>
      </x:c>
    </x:row>
    <x:row r="41" ht="23" customHeight="1">
      <x:c r="A41" s="36"/>
      <x:c r="B41" s="36"/>
      <x:c r="C41" s="36"/>
      <x:c r="D41" s="36"/>
      <x:c r="E41" s="36"/>
      <x:c r="F41" s="36"/>
      <x:c r="G41" s="36"/>
      <x:c r="H41" s="36"/>
      <x:c r="I41" s="37" t="str">
        <x:f>IF(A41="","",(SUMIFS('Entries'!$S$6:$S$505,'Entries'!$H$6:$H$505,A41,'Entries'!$Q$6:$Q$505,"Customer receivables",'Entries'!$B$6:$B$505,"&lt;="&amp;'Settings'!$B$7)-SUMIFS('Entries'!$S$6:$S$505,'Entries'!$H$6:$H$505,A41,'Entries'!$R$6:$R$505,"Customer receivables",'Entries'!$B$6:$B$505,"&lt;="&amp;'Settings'!$B$7)+SUMIFS('Entries'!$S$6:$S$505,'Entries'!$H$6:$H$505,A41,'Entries'!$Q$6:$Q$505,"Courier receivables",'Entries'!$B$6:$B$505,"&lt;="&amp;'Settings'!$B$7)-SUMIFS('Entries'!$S$6:$S$505,'Entries'!$H$6:$H$505,A41,'Entries'!$R$6:$R$505,"Courier receivables",'Entries'!$B$6:$B$505,"&lt;="&amp;'Settings'!$B$7))*1)</x:f>
      </x:c>
      <x:c r="J41" s="37" t="str">
        <x:f>IF(A41="","",(SUMIFS('Entries'!$S$6:$S$505,'Entries'!$H$6:$H$505,A41,'Entries'!$Q$6:$Q$505,"Trade payables",'Entries'!$B$6:$B$505,"&lt;="&amp;'Settings'!$B$7)-SUMIFS('Entries'!$S$6:$S$505,'Entries'!$H$6:$H$505,A41,'Entries'!$R$6:$R$505,"Trade payables",'Entries'!$B$6:$B$505,"&lt;="&amp;'Settings'!$B$7))*-1)</x:f>
      </x:c>
      <x:c r="K41" s="37" t="str">
        <x:f>IF(A41="","",(SUMIFS('Entries'!$S$6:$S$505,'Entries'!$H$6:$H$505,A41,'Entries'!$Q$6:$Q$505,"Supplier advances",'Entries'!$B$6:$B$505,"&lt;="&amp;'Settings'!$B$7)-SUMIFS('Entries'!$S$6:$S$505,'Entries'!$H$6:$H$505,A41,'Entries'!$R$6:$R$505,"Supplier advances",'Entries'!$B$6:$B$505,"&lt;="&amp;'Settings'!$B$7))*1)</x:f>
      </x:c>
    </x:row>
    <x:row r="42" ht="23" customHeight="1">
      <x:c r="A42" s="36"/>
      <x:c r="B42" s="36"/>
      <x:c r="C42" s="36"/>
      <x:c r="D42" s="36"/>
      <x:c r="E42" s="36"/>
      <x:c r="F42" s="36"/>
      <x:c r="G42" s="36"/>
      <x:c r="H42" s="36"/>
      <x:c r="I42" s="37" t="str">
        <x:f>IF(A42="","",(SUMIFS('Entries'!$S$6:$S$505,'Entries'!$H$6:$H$505,A42,'Entries'!$Q$6:$Q$505,"Customer receivables",'Entries'!$B$6:$B$505,"&lt;="&amp;'Settings'!$B$7)-SUMIFS('Entries'!$S$6:$S$505,'Entries'!$H$6:$H$505,A42,'Entries'!$R$6:$R$505,"Customer receivables",'Entries'!$B$6:$B$505,"&lt;="&amp;'Settings'!$B$7)+SUMIFS('Entries'!$S$6:$S$505,'Entries'!$H$6:$H$505,A42,'Entries'!$Q$6:$Q$505,"Courier receivables",'Entries'!$B$6:$B$505,"&lt;="&amp;'Settings'!$B$7)-SUMIFS('Entries'!$S$6:$S$505,'Entries'!$H$6:$H$505,A42,'Entries'!$R$6:$R$505,"Courier receivables",'Entries'!$B$6:$B$505,"&lt;="&amp;'Settings'!$B$7))*1)</x:f>
      </x:c>
      <x:c r="J42" s="37" t="str">
        <x:f>IF(A42="","",(SUMIFS('Entries'!$S$6:$S$505,'Entries'!$H$6:$H$505,A42,'Entries'!$Q$6:$Q$505,"Trade payables",'Entries'!$B$6:$B$505,"&lt;="&amp;'Settings'!$B$7)-SUMIFS('Entries'!$S$6:$S$505,'Entries'!$H$6:$H$505,A42,'Entries'!$R$6:$R$505,"Trade payables",'Entries'!$B$6:$B$505,"&lt;="&amp;'Settings'!$B$7))*-1)</x:f>
      </x:c>
      <x:c r="K42" s="37" t="str">
        <x:f>IF(A42="","",(SUMIFS('Entries'!$S$6:$S$505,'Entries'!$H$6:$H$505,A42,'Entries'!$Q$6:$Q$505,"Supplier advances",'Entries'!$B$6:$B$505,"&lt;="&amp;'Settings'!$B$7)-SUMIFS('Entries'!$S$6:$S$505,'Entries'!$H$6:$H$505,A42,'Entries'!$R$6:$R$505,"Supplier advances",'Entries'!$B$6:$B$505,"&lt;="&amp;'Settings'!$B$7))*1)</x:f>
      </x:c>
    </x:row>
    <x:row r="43" ht="23" customHeight="1">
      <x:c r="A43" s="36"/>
      <x:c r="B43" s="36"/>
      <x:c r="C43" s="36"/>
      <x:c r="D43" s="36"/>
      <x:c r="E43" s="36"/>
      <x:c r="F43" s="36"/>
      <x:c r="G43" s="36"/>
      <x:c r="H43" s="36"/>
      <x:c r="I43" s="37" t="str">
        <x:f>IF(A43="","",(SUMIFS('Entries'!$S$6:$S$505,'Entries'!$H$6:$H$505,A43,'Entries'!$Q$6:$Q$505,"Customer receivables",'Entries'!$B$6:$B$505,"&lt;="&amp;'Settings'!$B$7)-SUMIFS('Entries'!$S$6:$S$505,'Entries'!$H$6:$H$505,A43,'Entries'!$R$6:$R$505,"Customer receivables",'Entries'!$B$6:$B$505,"&lt;="&amp;'Settings'!$B$7)+SUMIFS('Entries'!$S$6:$S$505,'Entries'!$H$6:$H$505,A43,'Entries'!$Q$6:$Q$505,"Courier receivables",'Entries'!$B$6:$B$505,"&lt;="&amp;'Settings'!$B$7)-SUMIFS('Entries'!$S$6:$S$505,'Entries'!$H$6:$H$505,A43,'Entries'!$R$6:$R$505,"Courier receivables",'Entries'!$B$6:$B$505,"&lt;="&amp;'Settings'!$B$7))*1)</x:f>
      </x:c>
      <x:c r="J43" s="37" t="str">
        <x:f>IF(A43="","",(SUMIFS('Entries'!$S$6:$S$505,'Entries'!$H$6:$H$505,A43,'Entries'!$Q$6:$Q$505,"Trade payables",'Entries'!$B$6:$B$505,"&lt;="&amp;'Settings'!$B$7)-SUMIFS('Entries'!$S$6:$S$505,'Entries'!$H$6:$H$505,A43,'Entries'!$R$6:$R$505,"Trade payables",'Entries'!$B$6:$B$505,"&lt;="&amp;'Settings'!$B$7))*-1)</x:f>
      </x:c>
      <x:c r="K43" s="37" t="str">
        <x:f>IF(A43="","",(SUMIFS('Entries'!$S$6:$S$505,'Entries'!$H$6:$H$505,A43,'Entries'!$Q$6:$Q$505,"Supplier advances",'Entries'!$B$6:$B$505,"&lt;="&amp;'Settings'!$B$7)-SUMIFS('Entries'!$S$6:$S$505,'Entries'!$H$6:$H$505,A43,'Entries'!$R$6:$R$505,"Supplier advances",'Entries'!$B$6:$B$505,"&lt;="&amp;'Settings'!$B$7))*1)</x:f>
      </x:c>
    </x:row>
    <x:row r="44" ht="23" customHeight="1">
      <x:c r="A44" s="36"/>
      <x:c r="B44" s="36"/>
      <x:c r="C44" s="36"/>
      <x:c r="D44" s="36"/>
      <x:c r="E44" s="36"/>
      <x:c r="F44" s="36"/>
      <x:c r="G44" s="36"/>
      <x:c r="H44" s="36"/>
      <x:c r="I44" s="37" t="str">
        <x:f>IF(A44="","",(SUMIFS('Entries'!$S$6:$S$505,'Entries'!$H$6:$H$505,A44,'Entries'!$Q$6:$Q$505,"Customer receivables",'Entries'!$B$6:$B$505,"&lt;="&amp;'Settings'!$B$7)-SUMIFS('Entries'!$S$6:$S$505,'Entries'!$H$6:$H$505,A44,'Entries'!$R$6:$R$505,"Customer receivables",'Entries'!$B$6:$B$505,"&lt;="&amp;'Settings'!$B$7)+SUMIFS('Entries'!$S$6:$S$505,'Entries'!$H$6:$H$505,A44,'Entries'!$Q$6:$Q$505,"Courier receivables",'Entries'!$B$6:$B$505,"&lt;="&amp;'Settings'!$B$7)-SUMIFS('Entries'!$S$6:$S$505,'Entries'!$H$6:$H$505,A44,'Entries'!$R$6:$R$505,"Courier receivables",'Entries'!$B$6:$B$505,"&lt;="&amp;'Settings'!$B$7))*1)</x:f>
      </x:c>
      <x:c r="J44" s="37" t="str">
        <x:f>IF(A44="","",(SUMIFS('Entries'!$S$6:$S$505,'Entries'!$H$6:$H$505,A44,'Entries'!$Q$6:$Q$505,"Trade payables",'Entries'!$B$6:$B$505,"&lt;="&amp;'Settings'!$B$7)-SUMIFS('Entries'!$S$6:$S$505,'Entries'!$H$6:$H$505,A44,'Entries'!$R$6:$R$505,"Trade payables",'Entries'!$B$6:$B$505,"&lt;="&amp;'Settings'!$B$7))*-1)</x:f>
      </x:c>
      <x:c r="K44" s="37" t="str">
        <x:f>IF(A44="","",(SUMIFS('Entries'!$S$6:$S$505,'Entries'!$H$6:$H$505,A44,'Entries'!$Q$6:$Q$505,"Supplier advances",'Entries'!$B$6:$B$505,"&lt;="&amp;'Settings'!$B$7)-SUMIFS('Entries'!$S$6:$S$505,'Entries'!$H$6:$H$505,A44,'Entries'!$R$6:$R$505,"Supplier advances",'Entries'!$B$6:$B$505,"&lt;="&amp;'Settings'!$B$7))*1)</x:f>
      </x:c>
    </x:row>
    <x:row r="45" ht="23" customHeight="1">
      <x:c r="A45" s="36"/>
      <x:c r="B45" s="36"/>
      <x:c r="C45" s="36"/>
      <x:c r="D45" s="36"/>
      <x:c r="E45" s="36"/>
      <x:c r="F45" s="36"/>
      <x:c r="G45" s="36"/>
      <x:c r="H45" s="36"/>
      <x:c r="I45" s="37" t="str">
        <x:f>IF(A45="","",(SUMIFS('Entries'!$S$6:$S$505,'Entries'!$H$6:$H$505,A45,'Entries'!$Q$6:$Q$505,"Customer receivables",'Entries'!$B$6:$B$505,"&lt;="&amp;'Settings'!$B$7)-SUMIFS('Entries'!$S$6:$S$505,'Entries'!$H$6:$H$505,A45,'Entries'!$R$6:$R$505,"Customer receivables",'Entries'!$B$6:$B$505,"&lt;="&amp;'Settings'!$B$7)+SUMIFS('Entries'!$S$6:$S$505,'Entries'!$H$6:$H$505,A45,'Entries'!$Q$6:$Q$505,"Courier receivables",'Entries'!$B$6:$B$505,"&lt;="&amp;'Settings'!$B$7)-SUMIFS('Entries'!$S$6:$S$505,'Entries'!$H$6:$H$505,A45,'Entries'!$R$6:$R$505,"Courier receivables",'Entries'!$B$6:$B$505,"&lt;="&amp;'Settings'!$B$7))*1)</x:f>
      </x:c>
      <x:c r="J45" s="37" t="str">
        <x:f>IF(A45="","",(SUMIFS('Entries'!$S$6:$S$505,'Entries'!$H$6:$H$505,A45,'Entries'!$Q$6:$Q$505,"Trade payables",'Entries'!$B$6:$B$505,"&lt;="&amp;'Settings'!$B$7)-SUMIFS('Entries'!$S$6:$S$505,'Entries'!$H$6:$H$505,A45,'Entries'!$R$6:$R$505,"Trade payables",'Entries'!$B$6:$B$505,"&lt;="&amp;'Settings'!$B$7))*-1)</x:f>
      </x:c>
      <x:c r="K45" s="37" t="str">
        <x:f>IF(A45="","",(SUMIFS('Entries'!$S$6:$S$505,'Entries'!$H$6:$H$505,A45,'Entries'!$Q$6:$Q$505,"Supplier advances",'Entries'!$B$6:$B$505,"&lt;="&amp;'Settings'!$B$7)-SUMIFS('Entries'!$S$6:$S$505,'Entries'!$H$6:$H$505,A45,'Entries'!$R$6:$R$505,"Supplier advances",'Entries'!$B$6:$B$505,"&lt;="&amp;'Settings'!$B$7))*1)</x:f>
      </x:c>
    </x:row>
    <x:row r="46" ht="23" customHeight="1">
      <x:c r="A46" s="36"/>
      <x:c r="B46" s="36"/>
      <x:c r="C46" s="36"/>
      <x:c r="D46" s="36"/>
      <x:c r="E46" s="36"/>
      <x:c r="F46" s="36"/>
      <x:c r="G46" s="36"/>
      <x:c r="H46" s="36"/>
      <x:c r="I46" s="37" t="str">
        <x:f>IF(A46="","",(SUMIFS('Entries'!$S$6:$S$505,'Entries'!$H$6:$H$505,A46,'Entries'!$Q$6:$Q$505,"Customer receivables",'Entries'!$B$6:$B$505,"&lt;="&amp;'Settings'!$B$7)-SUMIFS('Entries'!$S$6:$S$505,'Entries'!$H$6:$H$505,A46,'Entries'!$R$6:$R$505,"Customer receivables",'Entries'!$B$6:$B$505,"&lt;="&amp;'Settings'!$B$7)+SUMIFS('Entries'!$S$6:$S$505,'Entries'!$H$6:$H$505,A46,'Entries'!$Q$6:$Q$505,"Courier receivables",'Entries'!$B$6:$B$505,"&lt;="&amp;'Settings'!$B$7)-SUMIFS('Entries'!$S$6:$S$505,'Entries'!$H$6:$H$505,A46,'Entries'!$R$6:$R$505,"Courier receivables",'Entries'!$B$6:$B$505,"&lt;="&amp;'Settings'!$B$7))*1)</x:f>
      </x:c>
      <x:c r="J46" s="37" t="str">
        <x:f>IF(A46="","",(SUMIFS('Entries'!$S$6:$S$505,'Entries'!$H$6:$H$505,A46,'Entries'!$Q$6:$Q$505,"Trade payables",'Entries'!$B$6:$B$505,"&lt;="&amp;'Settings'!$B$7)-SUMIFS('Entries'!$S$6:$S$505,'Entries'!$H$6:$H$505,A46,'Entries'!$R$6:$R$505,"Trade payables",'Entries'!$B$6:$B$505,"&lt;="&amp;'Settings'!$B$7))*-1)</x:f>
      </x:c>
      <x:c r="K46" s="37" t="str">
        <x:f>IF(A46="","",(SUMIFS('Entries'!$S$6:$S$505,'Entries'!$H$6:$H$505,A46,'Entries'!$Q$6:$Q$505,"Supplier advances",'Entries'!$B$6:$B$505,"&lt;="&amp;'Settings'!$B$7)-SUMIFS('Entries'!$S$6:$S$505,'Entries'!$H$6:$H$505,A46,'Entries'!$R$6:$R$505,"Supplier advances",'Entries'!$B$6:$B$505,"&lt;="&amp;'Settings'!$B$7))*1)</x:f>
      </x:c>
    </x:row>
    <x:row r="47" ht="23" customHeight="1">
      <x:c r="A47" s="36"/>
      <x:c r="B47" s="36"/>
      <x:c r="C47" s="36"/>
      <x:c r="D47" s="36"/>
      <x:c r="E47" s="36"/>
      <x:c r="F47" s="36"/>
      <x:c r="G47" s="36"/>
      <x:c r="H47" s="36"/>
      <x:c r="I47" s="37" t="str">
        <x:f>IF(A47="","",(SUMIFS('Entries'!$S$6:$S$505,'Entries'!$H$6:$H$505,A47,'Entries'!$Q$6:$Q$505,"Customer receivables",'Entries'!$B$6:$B$505,"&lt;="&amp;'Settings'!$B$7)-SUMIFS('Entries'!$S$6:$S$505,'Entries'!$H$6:$H$505,A47,'Entries'!$R$6:$R$505,"Customer receivables",'Entries'!$B$6:$B$505,"&lt;="&amp;'Settings'!$B$7)+SUMIFS('Entries'!$S$6:$S$505,'Entries'!$H$6:$H$505,A47,'Entries'!$Q$6:$Q$505,"Courier receivables",'Entries'!$B$6:$B$505,"&lt;="&amp;'Settings'!$B$7)-SUMIFS('Entries'!$S$6:$S$505,'Entries'!$H$6:$H$505,A47,'Entries'!$R$6:$R$505,"Courier receivables",'Entries'!$B$6:$B$505,"&lt;="&amp;'Settings'!$B$7))*1)</x:f>
      </x:c>
      <x:c r="J47" s="37" t="str">
        <x:f>IF(A47="","",(SUMIFS('Entries'!$S$6:$S$505,'Entries'!$H$6:$H$505,A47,'Entries'!$Q$6:$Q$505,"Trade payables",'Entries'!$B$6:$B$505,"&lt;="&amp;'Settings'!$B$7)-SUMIFS('Entries'!$S$6:$S$505,'Entries'!$H$6:$H$505,A47,'Entries'!$R$6:$R$505,"Trade payables",'Entries'!$B$6:$B$505,"&lt;="&amp;'Settings'!$B$7))*-1)</x:f>
      </x:c>
      <x:c r="K47" s="37" t="str">
        <x:f>IF(A47="","",(SUMIFS('Entries'!$S$6:$S$505,'Entries'!$H$6:$H$505,A47,'Entries'!$Q$6:$Q$505,"Supplier advances",'Entries'!$B$6:$B$505,"&lt;="&amp;'Settings'!$B$7)-SUMIFS('Entries'!$S$6:$S$505,'Entries'!$H$6:$H$505,A47,'Entries'!$R$6:$R$505,"Supplier advances",'Entries'!$B$6:$B$505,"&lt;="&amp;'Settings'!$B$7))*1)</x:f>
      </x:c>
    </x:row>
    <x:row r="48" ht="23" customHeight="1">
      <x:c r="A48" s="36"/>
      <x:c r="B48" s="36"/>
      <x:c r="C48" s="36"/>
      <x:c r="D48" s="36"/>
      <x:c r="E48" s="36"/>
      <x:c r="F48" s="36"/>
      <x:c r="G48" s="36"/>
      <x:c r="H48" s="36"/>
      <x:c r="I48" s="37" t="str">
        <x:f>IF(A48="","",(SUMIFS('Entries'!$S$6:$S$505,'Entries'!$H$6:$H$505,A48,'Entries'!$Q$6:$Q$505,"Customer receivables",'Entries'!$B$6:$B$505,"&lt;="&amp;'Settings'!$B$7)-SUMIFS('Entries'!$S$6:$S$505,'Entries'!$H$6:$H$505,A48,'Entries'!$R$6:$R$505,"Customer receivables",'Entries'!$B$6:$B$505,"&lt;="&amp;'Settings'!$B$7)+SUMIFS('Entries'!$S$6:$S$505,'Entries'!$H$6:$H$505,A48,'Entries'!$Q$6:$Q$505,"Courier receivables",'Entries'!$B$6:$B$505,"&lt;="&amp;'Settings'!$B$7)-SUMIFS('Entries'!$S$6:$S$505,'Entries'!$H$6:$H$505,A48,'Entries'!$R$6:$R$505,"Courier receivables",'Entries'!$B$6:$B$505,"&lt;="&amp;'Settings'!$B$7))*1)</x:f>
      </x:c>
      <x:c r="J48" s="37" t="str">
        <x:f>IF(A48="","",(SUMIFS('Entries'!$S$6:$S$505,'Entries'!$H$6:$H$505,A48,'Entries'!$Q$6:$Q$505,"Trade payables",'Entries'!$B$6:$B$505,"&lt;="&amp;'Settings'!$B$7)-SUMIFS('Entries'!$S$6:$S$505,'Entries'!$H$6:$H$505,A48,'Entries'!$R$6:$R$505,"Trade payables",'Entries'!$B$6:$B$505,"&lt;="&amp;'Settings'!$B$7))*-1)</x:f>
      </x:c>
      <x:c r="K48" s="37" t="str">
        <x:f>IF(A48="","",(SUMIFS('Entries'!$S$6:$S$505,'Entries'!$H$6:$H$505,A48,'Entries'!$Q$6:$Q$505,"Supplier advances",'Entries'!$B$6:$B$505,"&lt;="&amp;'Settings'!$B$7)-SUMIFS('Entries'!$S$6:$S$505,'Entries'!$H$6:$H$505,A48,'Entries'!$R$6:$R$505,"Supplier advances",'Entries'!$B$6:$B$505,"&lt;="&amp;'Settings'!$B$7))*1)</x:f>
      </x:c>
    </x:row>
    <x:row r="49" ht="23" customHeight="1">
      <x:c r="A49" s="36"/>
      <x:c r="B49" s="36"/>
      <x:c r="C49" s="36"/>
      <x:c r="D49" s="36"/>
      <x:c r="E49" s="36"/>
      <x:c r="F49" s="36"/>
      <x:c r="G49" s="36"/>
      <x:c r="H49" s="36"/>
      <x:c r="I49" s="37" t="str">
        <x:f>IF(A49="","",(SUMIFS('Entries'!$S$6:$S$505,'Entries'!$H$6:$H$505,A49,'Entries'!$Q$6:$Q$505,"Customer receivables",'Entries'!$B$6:$B$505,"&lt;="&amp;'Settings'!$B$7)-SUMIFS('Entries'!$S$6:$S$505,'Entries'!$H$6:$H$505,A49,'Entries'!$R$6:$R$505,"Customer receivables",'Entries'!$B$6:$B$505,"&lt;="&amp;'Settings'!$B$7)+SUMIFS('Entries'!$S$6:$S$505,'Entries'!$H$6:$H$505,A49,'Entries'!$Q$6:$Q$505,"Courier receivables",'Entries'!$B$6:$B$505,"&lt;="&amp;'Settings'!$B$7)-SUMIFS('Entries'!$S$6:$S$505,'Entries'!$H$6:$H$505,A49,'Entries'!$R$6:$R$505,"Courier receivables",'Entries'!$B$6:$B$505,"&lt;="&amp;'Settings'!$B$7))*1)</x:f>
      </x:c>
      <x:c r="J49" s="37" t="str">
        <x:f>IF(A49="","",(SUMIFS('Entries'!$S$6:$S$505,'Entries'!$H$6:$H$505,A49,'Entries'!$Q$6:$Q$505,"Trade payables",'Entries'!$B$6:$B$505,"&lt;="&amp;'Settings'!$B$7)-SUMIFS('Entries'!$S$6:$S$505,'Entries'!$H$6:$H$505,A49,'Entries'!$R$6:$R$505,"Trade payables",'Entries'!$B$6:$B$505,"&lt;="&amp;'Settings'!$B$7))*-1)</x:f>
      </x:c>
      <x:c r="K49" s="37" t="str">
        <x:f>IF(A49="","",(SUMIFS('Entries'!$S$6:$S$505,'Entries'!$H$6:$H$505,A49,'Entries'!$Q$6:$Q$505,"Supplier advances",'Entries'!$B$6:$B$505,"&lt;="&amp;'Settings'!$B$7)-SUMIFS('Entries'!$S$6:$S$505,'Entries'!$H$6:$H$505,A49,'Entries'!$R$6:$R$505,"Supplier advances",'Entries'!$B$6:$B$505,"&lt;="&amp;'Settings'!$B$7))*1)</x:f>
      </x:c>
    </x:row>
    <x:row r="50" ht="23" customHeight="1">
      <x:c r="A50" s="36"/>
      <x:c r="B50" s="36"/>
      <x:c r="C50" s="36"/>
      <x:c r="D50" s="36"/>
      <x:c r="E50" s="36"/>
      <x:c r="F50" s="36"/>
      <x:c r="G50" s="36"/>
      <x:c r="H50" s="36"/>
      <x:c r="I50" s="37" t="str">
        <x:f>IF(A50="","",(SUMIFS('Entries'!$S$6:$S$505,'Entries'!$H$6:$H$505,A50,'Entries'!$Q$6:$Q$505,"Customer receivables",'Entries'!$B$6:$B$505,"&lt;="&amp;'Settings'!$B$7)-SUMIFS('Entries'!$S$6:$S$505,'Entries'!$H$6:$H$505,A50,'Entries'!$R$6:$R$505,"Customer receivables",'Entries'!$B$6:$B$505,"&lt;="&amp;'Settings'!$B$7)+SUMIFS('Entries'!$S$6:$S$505,'Entries'!$H$6:$H$505,A50,'Entries'!$Q$6:$Q$505,"Courier receivables",'Entries'!$B$6:$B$505,"&lt;="&amp;'Settings'!$B$7)-SUMIFS('Entries'!$S$6:$S$505,'Entries'!$H$6:$H$505,A50,'Entries'!$R$6:$R$505,"Courier receivables",'Entries'!$B$6:$B$505,"&lt;="&amp;'Settings'!$B$7))*1)</x:f>
      </x:c>
      <x:c r="J50" s="37" t="str">
        <x:f>IF(A50="","",(SUMIFS('Entries'!$S$6:$S$505,'Entries'!$H$6:$H$505,A50,'Entries'!$Q$6:$Q$505,"Trade payables",'Entries'!$B$6:$B$505,"&lt;="&amp;'Settings'!$B$7)-SUMIFS('Entries'!$S$6:$S$505,'Entries'!$H$6:$H$505,A50,'Entries'!$R$6:$R$505,"Trade payables",'Entries'!$B$6:$B$505,"&lt;="&amp;'Settings'!$B$7))*-1)</x:f>
      </x:c>
      <x:c r="K50" s="37" t="str">
        <x:f>IF(A50="","",(SUMIFS('Entries'!$S$6:$S$505,'Entries'!$H$6:$H$505,A50,'Entries'!$Q$6:$Q$505,"Supplier advances",'Entries'!$B$6:$B$505,"&lt;="&amp;'Settings'!$B$7)-SUMIFS('Entries'!$S$6:$S$505,'Entries'!$H$6:$H$505,A50,'Entries'!$R$6:$R$505,"Supplier advances",'Entries'!$B$6:$B$505,"&lt;="&amp;'Settings'!$B$7))*1)</x:f>
      </x:c>
    </x:row>
    <x:row r="51" ht="23" customHeight="1">
      <x:c r="A51" s="36"/>
      <x:c r="B51" s="36"/>
      <x:c r="C51" s="36"/>
      <x:c r="D51" s="36"/>
      <x:c r="E51" s="36"/>
      <x:c r="F51" s="36"/>
      <x:c r="G51" s="36"/>
      <x:c r="H51" s="36"/>
      <x:c r="I51" s="37" t="str">
        <x:f>IF(A51="","",(SUMIFS('Entries'!$S$6:$S$505,'Entries'!$H$6:$H$505,A51,'Entries'!$Q$6:$Q$505,"Customer receivables",'Entries'!$B$6:$B$505,"&lt;="&amp;'Settings'!$B$7)-SUMIFS('Entries'!$S$6:$S$505,'Entries'!$H$6:$H$505,A51,'Entries'!$R$6:$R$505,"Customer receivables",'Entries'!$B$6:$B$505,"&lt;="&amp;'Settings'!$B$7)+SUMIFS('Entries'!$S$6:$S$505,'Entries'!$H$6:$H$505,A51,'Entries'!$Q$6:$Q$505,"Courier receivables",'Entries'!$B$6:$B$505,"&lt;="&amp;'Settings'!$B$7)-SUMIFS('Entries'!$S$6:$S$505,'Entries'!$H$6:$H$505,A51,'Entries'!$R$6:$R$505,"Courier receivables",'Entries'!$B$6:$B$505,"&lt;="&amp;'Settings'!$B$7))*1)</x:f>
      </x:c>
      <x:c r="J51" s="37" t="str">
        <x:f>IF(A51="","",(SUMIFS('Entries'!$S$6:$S$505,'Entries'!$H$6:$H$505,A51,'Entries'!$Q$6:$Q$505,"Trade payables",'Entries'!$B$6:$B$505,"&lt;="&amp;'Settings'!$B$7)-SUMIFS('Entries'!$S$6:$S$505,'Entries'!$H$6:$H$505,A51,'Entries'!$R$6:$R$505,"Trade payables",'Entries'!$B$6:$B$505,"&lt;="&amp;'Settings'!$B$7))*-1)</x:f>
      </x:c>
      <x:c r="K51" s="37" t="str">
        <x:f>IF(A51="","",(SUMIFS('Entries'!$S$6:$S$505,'Entries'!$H$6:$H$505,A51,'Entries'!$Q$6:$Q$505,"Supplier advances",'Entries'!$B$6:$B$505,"&lt;="&amp;'Settings'!$B$7)-SUMIFS('Entries'!$S$6:$S$505,'Entries'!$H$6:$H$505,A51,'Entries'!$R$6:$R$505,"Supplier advances",'Entries'!$B$6:$B$505,"&lt;="&amp;'Settings'!$B$7))*1)</x:f>
      </x:c>
    </x:row>
    <x:row r="52" ht="23" customHeight="1">
      <x:c r="A52" s="36"/>
      <x:c r="B52" s="36"/>
      <x:c r="C52" s="36"/>
      <x:c r="D52" s="36"/>
      <x:c r="E52" s="36"/>
      <x:c r="F52" s="36"/>
      <x:c r="G52" s="36"/>
      <x:c r="H52" s="36"/>
      <x:c r="I52" s="37" t="str">
        <x:f>IF(A52="","",(SUMIFS('Entries'!$S$6:$S$505,'Entries'!$H$6:$H$505,A52,'Entries'!$Q$6:$Q$505,"Customer receivables",'Entries'!$B$6:$B$505,"&lt;="&amp;'Settings'!$B$7)-SUMIFS('Entries'!$S$6:$S$505,'Entries'!$H$6:$H$505,A52,'Entries'!$R$6:$R$505,"Customer receivables",'Entries'!$B$6:$B$505,"&lt;="&amp;'Settings'!$B$7)+SUMIFS('Entries'!$S$6:$S$505,'Entries'!$H$6:$H$505,A52,'Entries'!$Q$6:$Q$505,"Courier receivables",'Entries'!$B$6:$B$505,"&lt;="&amp;'Settings'!$B$7)-SUMIFS('Entries'!$S$6:$S$505,'Entries'!$H$6:$H$505,A52,'Entries'!$R$6:$R$505,"Courier receivables",'Entries'!$B$6:$B$505,"&lt;="&amp;'Settings'!$B$7))*1)</x:f>
      </x:c>
      <x:c r="J52" s="37" t="str">
        <x:f>IF(A52="","",(SUMIFS('Entries'!$S$6:$S$505,'Entries'!$H$6:$H$505,A52,'Entries'!$Q$6:$Q$505,"Trade payables",'Entries'!$B$6:$B$505,"&lt;="&amp;'Settings'!$B$7)-SUMIFS('Entries'!$S$6:$S$505,'Entries'!$H$6:$H$505,A52,'Entries'!$R$6:$R$505,"Trade payables",'Entries'!$B$6:$B$505,"&lt;="&amp;'Settings'!$B$7))*-1)</x:f>
      </x:c>
      <x:c r="K52" s="37" t="str">
        <x:f>IF(A52="","",(SUMIFS('Entries'!$S$6:$S$505,'Entries'!$H$6:$H$505,A52,'Entries'!$Q$6:$Q$505,"Supplier advances",'Entries'!$B$6:$B$505,"&lt;="&amp;'Settings'!$B$7)-SUMIFS('Entries'!$S$6:$S$505,'Entries'!$H$6:$H$505,A52,'Entries'!$R$6:$R$505,"Supplier advances",'Entries'!$B$6:$B$505,"&lt;="&amp;'Settings'!$B$7))*1)</x:f>
      </x:c>
    </x:row>
    <x:row r="53" ht="23" customHeight="1">
      <x:c r="A53" s="36"/>
      <x:c r="B53" s="36"/>
      <x:c r="C53" s="36"/>
      <x:c r="D53" s="36"/>
      <x:c r="E53" s="36"/>
      <x:c r="F53" s="36"/>
      <x:c r="G53" s="36"/>
      <x:c r="H53" s="36"/>
      <x:c r="I53" s="37" t="str">
        <x:f>IF(A53="","",(SUMIFS('Entries'!$S$6:$S$505,'Entries'!$H$6:$H$505,A53,'Entries'!$Q$6:$Q$505,"Customer receivables",'Entries'!$B$6:$B$505,"&lt;="&amp;'Settings'!$B$7)-SUMIFS('Entries'!$S$6:$S$505,'Entries'!$H$6:$H$505,A53,'Entries'!$R$6:$R$505,"Customer receivables",'Entries'!$B$6:$B$505,"&lt;="&amp;'Settings'!$B$7)+SUMIFS('Entries'!$S$6:$S$505,'Entries'!$H$6:$H$505,A53,'Entries'!$Q$6:$Q$505,"Courier receivables",'Entries'!$B$6:$B$505,"&lt;="&amp;'Settings'!$B$7)-SUMIFS('Entries'!$S$6:$S$505,'Entries'!$H$6:$H$505,A53,'Entries'!$R$6:$R$505,"Courier receivables",'Entries'!$B$6:$B$505,"&lt;="&amp;'Settings'!$B$7))*1)</x:f>
      </x:c>
      <x:c r="J53" s="37" t="str">
        <x:f>IF(A53="","",(SUMIFS('Entries'!$S$6:$S$505,'Entries'!$H$6:$H$505,A53,'Entries'!$Q$6:$Q$505,"Trade payables",'Entries'!$B$6:$B$505,"&lt;="&amp;'Settings'!$B$7)-SUMIFS('Entries'!$S$6:$S$505,'Entries'!$H$6:$H$505,A53,'Entries'!$R$6:$R$505,"Trade payables",'Entries'!$B$6:$B$505,"&lt;="&amp;'Settings'!$B$7))*-1)</x:f>
      </x:c>
      <x:c r="K53" s="37" t="str">
        <x:f>IF(A53="","",(SUMIFS('Entries'!$S$6:$S$505,'Entries'!$H$6:$H$505,A53,'Entries'!$Q$6:$Q$505,"Supplier advances",'Entries'!$B$6:$B$505,"&lt;="&amp;'Settings'!$B$7)-SUMIFS('Entries'!$S$6:$S$505,'Entries'!$H$6:$H$505,A53,'Entries'!$R$6:$R$505,"Supplier advances",'Entries'!$B$6:$B$505,"&lt;="&amp;'Settings'!$B$7))*1)</x:f>
      </x:c>
    </x:row>
    <x:row r="54" ht="23" customHeight="1">
      <x:c r="A54" s="36"/>
      <x:c r="B54" s="36"/>
      <x:c r="C54" s="36"/>
      <x:c r="D54" s="36"/>
      <x:c r="E54" s="36"/>
      <x:c r="F54" s="36"/>
      <x:c r="G54" s="36"/>
      <x:c r="H54" s="36"/>
      <x:c r="I54" s="37" t="str">
        <x:f>IF(A54="","",(SUMIFS('Entries'!$S$6:$S$505,'Entries'!$H$6:$H$505,A54,'Entries'!$Q$6:$Q$505,"Customer receivables",'Entries'!$B$6:$B$505,"&lt;="&amp;'Settings'!$B$7)-SUMIFS('Entries'!$S$6:$S$505,'Entries'!$H$6:$H$505,A54,'Entries'!$R$6:$R$505,"Customer receivables",'Entries'!$B$6:$B$505,"&lt;="&amp;'Settings'!$B$7)+SUMIFS('Entries'!$S$6:$S$505,'Entries'!$H$6:$H$505,A54,'Entries'!$Q$6:$Q$505,"Courier receivables",'Entries'!$B$6:$B$505,"&lt;="&amp;'Settings'!$B$7)-SUMIFS('Entries'!$S$6:$S$505,'Entries'!$H$6:$H$505,A54,'Entries'!$R$6:$R$505,"Courier receivables",'Entries'!$B$6:$B$505,"&lt;="&amp;'Settings'!$B$7))*1)</x:f>
      </x:c>
      <x:c r="J54" s="37" t="str">
        <x:f>IF(A54="","",(SUMIFS('Entries'!$S$6:$S$505,'Entries'!$H$6:$H$505,A54,'Entries'!$Q$6:$Q$505,"Trade payables",'Entries'!$B$6:$B$505,"&lt;="&amp;'Settings'!$B$7)-SUMIFS('Entries'!$S$6:$S$505,'Entries'!$H$6:$H$505,A54,'Entries'!$R$6:$R$505,"Trade payables",'Entries'!$B$6:$B$505,"&lt;="&amp;'Settings'!$B$7))*-1)</x:f>
      </x:c>
      <x:c r="K54" s="37" t="str">
        <x:f>IF(A54="","",(SUMIFS('Entries'!$S$6:$S$505,'Entries'!$H$6:$H$505,A54,'Entries'!$Q$6:$Q$505,"Supplier advances",'Entries'!$B$6:$B$505,"&lt;="&amp;'Settings'!$B$7)-SUMIFS('Entries'!$S$6:$S$505,'Entries'!$H$6:$H$505,A54,'Entries'!$R$6:$R$505,"Supplier advances",'Entries'!$B$6:$B$505,"&lt;="&amp;'Settings'!$B$7))*1)</x:f>
      </x:c>
    </x:row>
    <x:row r="55" ht="23" customHeight="1">
      <x:c r="A55" s="36"/>
      <x:c r="B55" s="36"/>
      <x:c r="C55" s="36"/>
      <x:c r="D55" s="36"/>
      <x:c r="E55" s="36"/>
      <x:c r="F55" s="36"/>
      <x:c r="G55" s="36"/>
      <x:c r="H55" s="36"/>
      <x:c r="I55" s="37" t="str">
        <x:f>IF(A55="","",(SUMIFS('Entries'!$S$6:$S$505,'Entries'!$H$6:$H$505,A55,'Entries'!$Q$6:$Q$505,"Customer receivables",'Entries'!$B$6:$B$505,"&lt;="&amp;'Settings'!$B$7)-SUMIFS('Entries'!$S$6:$S$505,'Entries'!$H$6:$H$505,A55,'Entries'!$R$6:$R$505,"Customer receivables",'Entries'!$B$6:$B$505,"&lt;="&amp;'Settings'!$B$7)+SUMIFS('Entries'!$S$6:$S$505,'Entries'!$H$6:$H$505,A55,'Entries'!$Q$6:$Q$505,"Courier receivables",'Entries'!$B$6:$B$505,"&lt;="&amp;'Settings'!$B$7)-SUMIFS('Entries'!$S$6:$S$505,'Entries'!$H$6:$H$505,A55,'Entries'!$R$6:$R$505,"Courier receivables",'Entries'!$B$6:$B$505,"&lt;="&amp;'Settings'!$B$7))*1)</x:f>
      </x:c>
      <x:c r="J55" s="37" t="str">
        <x:f>IF(A55="","",(SUMIFS('Entries'!$S$6:$S$505,'Entries'!$H$6:$H$505,A55,'Entries'!$Q$6:$Q$505,"Trade payables",'Entries'!$B$6:$B$505,"&lt;="&amp;'Settings'!$B$7)-SUMIFS('Entries'!$S$6:$S$505,'Entries'!$H$6:$H$505,A55,'Entries'!$R$6:$R$505,"Trade payables",'Entries'!$B$6:$B$505,"&lt;="&amp;'Settings'!$B$7))*-1)</x:f>
      </x:c>
      <x:c r="K55" s="37" t="str">
        <x:f>IF(A55="","",(SUMIFS('Entries'!$S$6:$S$505,'Entries'!$H$6:$H$505,A55,'Entries'!$Q$6:$Q$505,"Supplier advances",'Entries'!$B$6:$B$505,"&lt;="&amp;'Settings'!$B$7)-SUMIFS('Entries'!$S$6:$S$505,'Entries'!$H$6:$H$505,A55,'Entries'!$R$6:$R$505,"Supplier advances",'Entries'!$B$6:$B$505,"&lt;="&amp;'Settings'!$B$7))*1)</x:f>
      </x:c>
    </x:row>
    <x:row r="56" ht="23" customHeight="1">
      <x:c r="A56" s="36"/>
      <x:c r="B56" s="36"/>
      <x:c r="C56" s="36"/>
      <x:c r="D56" s="36"/>
      <x:c r="E56" s="36"/>
      <x:c r="F56" s="36"/>
      <x:c r="G56" s="36"/>
      <x:c r="H56" s="36"/>
      <x:c r="I56" s="37" t="str">
        <x:f>IF(A56="","",(SUMIFS('Entries'!$S$6:$S$505,'Entries'!$H$6:$H$505,A56,'Entries'!$Q$6:$Q$505,"Customer receivables",'Entries'!$B$6:$B$505,"&lt;="&amp;'Settings'!$B$7)-SUMIFS('Entries'!$S$6:$S$505,'Entries'!$H$6:$H$505,A56,'Entries'!$R$6:$R$505,"Customer receivables",'Entries'!$B$6:$B$505,"&lt;="&amp;'Settings'!$B$7)+SUMIFS('Entries'!$S$6:$S$505,'Entries'!$H$6:$H$505,A56,'Entries'!$Q$6:$Q$505,"Courier receivables",'Entries'!$B$6:$B$505,"&lt;="&amp;'Settings'!$B$7)-SUMIFS('Entries'!$S$6:$S$505,'Entries'!$H$6:$H$505,A56,'Entries'!$R$6:$R$505,"Courier receivables",'Entries'!$B$6:$B$505,"&lt;="&amp;'Settings'!$B$7))*1)</x:f>
      </x:c>
      <x:c r="J56" s="37" t="str">
        <x:f>IF(A56="","",(SUMIFS('Entries'!$S$6:$S$505,'Entries'!$H$6:$H$505,A56,'Entries'!$Q$6:$Q$505,"Trade payables",'Entries'!$B$6:$B$505,"&lt;="&amp;'Settings'!$B$7)-SUMIFS('Entries'!$S$6:$S$505,'Entries'!$H$6:$H$505,A56,'Entries'!$R$6:$R$505,"Trade payables",'Entries'!$B$6:$B$505,"&lt;="&amp;'Settings'!$B$7))*-1)</x:f>
      </x:c>
      <x:c r="K56" s="37" t="str">
        <x:f>IF(A56="","",(SUMIFS('Entries'!$S$6:$S$505,'Entries'!$H$6:$H$505,A56,'Entries'!$Q$6:$Q$505,"Supplier advances",'Entries'!$B$6:$B$505,"&lt;="&amp;'Settings'!$B$7)-SUMIFS('Entries'!$S$6:$S$505,'Entries'!$H$6:$H$505,A56,'Entries'!$R$6:$R$505,"Supplier advances",'Entries'!$B$6:$B$505,"&lt;="&amp;'Settings'!$B$7))*1)</x:f>
      </x:c>
    </x:row>
    <x:row r="57" ht="23" customHeight="1">
      <x:c r="A57" s="36"/>
      <x:c r="B57" s="36"/>
      <x:c r="C57" s="36"/>
      <x:c r="D57" s="36"/>
      <x:c r="E57" s="36"/>
      <x:c r="F57" s="36"/>
      <x:c r="G57" s="36"/>
      <x:c r="H57" s="36"/>
      <x:c r="I57" s="37" t="str">
        <x:f>IF(A57="","",(SUMIFS('Entries'!$S$6:$S$505,'Entries'!$H$6:$H$505,A57,'Entries'!$Q$6:$Q$505,"Customer receivables",'Entries'!$B$6:$B$505,"&lt;="&amp;'Settings'!$B$7)-SUMIFS('Entries'!$S$6:$S$505,'Entries'!$H$6:$H$505,A57,'Entries'!$R$6:$R$505,"Customer receivables",'Entries'!$B$6:$B$505,"&lt;="&amp;'Settings'!$B$7)+SUMIFS('Entries'!$S$6:$S$505,'Entries'!$H$6:$H$505,A57,'Entries'!$Q$6:$Q$505,"Courier receivables",'Entries'!$B$6:$B$505,"&lt;="&amp;'Settings'!$B$7)-SUMIFS('Entries'!$S$6:$S$505,'Entries'!$H$6:$H$505,A57,'Entries'!$R$6:$R$505,"Courier receivables",'Entries'!$B$6:$B$505,"&lt;="&amp;'Settings'!$B$7))*1)</x:f>
      </x:c>
      <x:c r="J57" s="37" t="str">
        <x:f>IF(A57="","",(SUMIFS('Entries'!$S$6:$S$505,'Entries'!$H$6:$H$505,A57,'Entries'!$Q$6:$Q$505,"Trade payables",'Entries'!$B$6:$B$505,"&lt;="&amp;'Settings'!$B$7)-SUMIFS('Entries'!$S$6:$S$505,'Entries'!$H$6:$H$505,A57,'Entries'!$R$6:$R$505,"Trade payables",'Entries'!$B$6:$B$505,"&lt;="&amp;'Settings'!$B$7))*-1)</x:f>
      </x:c>
      <x:c r="K57" s="37" t="str">
        <x:f>IF(A57="","",(SUMIFS('Entries'!$S$6:$S$505,'Entries'!$H$6:$H$505,A57,'Entries'!$Q$6:$Q$505,"Supplier advances",'Entries'!$B$6:$B$505,"&lt;="&amp;'Settings'!$B$7)-SUMIFS('Entries'!$S$6:$S$505,'Entries'!$H$6:$H$505,A57,'Entries'!$R$6:$R$505,"Supplier advances",'Entries'!$B$6:$B$505,"&lt;="&amp;'Settings'!$B$7))*1)</x:f>
      </x:c>
    </x:row>
    <x:row r="58" ht="23" customHeight="1">
      <x:c r="A58" s="36"/>
      <x:c r="B58" s="36"/>
      <x:c r="C58" s="36"/>
      <x:c r="D58" s="36"/>
      <x:c r="E58" s="36"/>
      <x:c r="F58" s="36"/>
      <x:c r="G58" s="36"/>
      <x:c r="H58" s="36"/>
      <x:c r="I58" s="37" t="str">
        <x:f>IF(A58="","",(SUMIFS('Entries'!$S$6:$S$505,'Entries'!$H$6:$H$505,A58,'Entries'!$Q$6:$Q$505,"Customer receivables",'Entries'!$B$6:$B$505,"&lt;="&amp;'Settings'!$B$7)-SUMIFS('Entries'!$S$6:$S$505,'Entries'!$H$6:$H$505,A58,'Entries'!$R$6:$R$505,"Customer receivables",'Entries'!$B$6:$B$505,"&lt;="&amp;'Settings'!$B$7)+SUMIFS('Entries'!$S$6:$S$505,'Entries'!$H$6:$H$505,A58,'Entries'!$Q$6:$Q$505,"Courier receivables",'Entries'!$B$6:$B$505,"&lt;="&amp;'Settings'!$B$7)-SUMIFS('Entries'!$S$6:$S$505,'Entries'!$H$6:$H$505,A58,'Entries'!$R$6:$R$505,"Courier receivables",'Entries'!$B$6:$B$505,"&lt;="&amp;'Settings'!$B$7))*1)</x:f>
      </x:c>
      <x:c r="J58" s="37" t="str">
        <x:f>IF(A58="","",(SUMIFS('Entries'!$S$6:$S$505,'Entries'!$H$6:$H$505,A58,'Entries'!$Q$6:$Q$505,"Trade payables",'Entries'!$B$6:$B$505,"&lt;="&amp;'Settings'!$B$7)-SUMIFS('Entries'!$S$6:$S$505,'Entries'!$H$6:$H$505,A58,'Entries'!$R$6:$R$505,"Trade payables",'Entries'!$B$6:$B$505,"&lt;="&amp;'Settings'!$B$7))*-1)</x:f>
      </x:c>
      <x:c r="K58" s="37" t="str">
        <x:f>IF(A58="","",(SUMIFS('Entries'!$S$6:$S$505,'Entries'!$H$6:$H$505,A58,'Entries'!$Q$6:$Q$505,"Supplier advances",'Entries'!$B$6:$B$505,"&lt;="&amp;'Settings'!$B$7)-SUMIFS('Entries'!$S$6:$S$505,'Entries'!$H$6:$H$505,A58,'Entries'!$R$6:$R$505,"Supplier advances",'Entries'!$B$6:$B$505,"&lt;="&amp;'Settings'!$B$7))*1)</x:f>
      </x:c>
    </x:row>
    <x:row r="59" ht="23" customHeight="1">
      <x:c r="A59" s="36"/>
      <x:c r="B59" s="36"/>
      <x:c r="C59" s="36"/>
      <x:c r="D59" s="36"/>
      <x:c r="E59" s="36"/>
      <x:c r="F59" s="36"/>
      <x:c r="G59" s="36"/>
      <x:c r="H59" s="36"/>
      <x:c r="I59" s="37" t="str">
        <x:f>IF(A59="","",(SUMIFS('Entries'!$S$6:$S$505,'Entries'!$H$6:$H$505,A59,'Entries'!$Q$6:$Q$505,"Customer receivables",'Entries'!$B$6:$B$505,"&lt;="&amp;'Settings'!$B$7)-SUMIFS('Entries'!$S$6:$S$505,'Entries'!$H$6:$H$505,A59,'Entries'!$R$6:$R$505,"Customer receivables",'Entries'!$B$6:$B$505,"&lt;="&amp;'Settings'!$B$7)+SUMIFS('Entries'!$S$6:$S$505,'Entries'!$H$6:$H$505,A59,'Entries'!$Q$6:$Q$505,"Courier receivables",'Entries'!$B$6:$B$505,"&lt;="&amp;'Settings'!$B$7)-SUMIFS('Entries'!$S$6:$S$505,'Entries'!$H$6:$H$505,A59,'Entries'!$R$6:$R$505,"Courier receivables",'Entries'!$B$6:$B$505,"&lt;="&amp;'Settings'!$B$7))*1)</x:f>
      </x:c>
      <x:c r="J59" s="37" t="str">
        <x:f>IF(A59="","",(SUMIFS('Entries'!$S$6:$S$505,'Entries'!$H$6:$H$505,A59,'Entries'!$Q$6:$Q$505,"Trade payables",'Entries'!$B$6:$B$505,"&lt;="&amp;'Settings'!$B$7)-SUMIFS('Entries'!$S$6:$S$505,'Entries'!$H$6:$H$505,A59,'Entries'!$R$6:$R$505,"Trade payables",'Entries'!$B$6:$B$505,"&lt;="&amp;'Settings'!$B$7))*-1)</x:f>
      </x:c>
      <x:c r="K59" s="37" t="str">
        <x:f>IF(A59="","",(SUMIFS('Entries'!$S$6:$S$505,'Entries'!$H$6:$H$505,A59,'Entries'!$Q$6:$Q$505,"Supplier advances",'Entries'!$B$6:$B$505,"&lt;="&amp;'Settings'!$B$7)-SUMIFS('Entries'!$S$6:$S$505,'Entries'!$H$6:$H$505,A59,'Entries'!$R$6:$R$505,"Supplier advances",'Entries'!$B$6:$B$505,"&lt;="&amp;'Settings'!$B$7))*1)</x:f>
      </x:c>
    </x:row>
    <x:row r="60" ht="23" customHeight="1">
      <x:c r="A60" s="36"/>
      <x:c r="B60" s="36"/>
      <x:c r="C60" s="36"/>
      <x:c r="D60" s="36"/>
      <x:c r="E60" s="36"/>
      <x:c r="F60" s="36"/>
      <x:c r="G60" s="36"/>
      <x:c r="H60" s="36"/>
      <x:c r="I60" s="37" t="str">
        <x:f>IF(A60="","",(SUMIFS('Entries'!$S$6:$S$505,'Entries'!$H$6:$H$505,A60,'Entries'!$Q$6:$Q$505,"Customer receivables",'Entries'!$B$6:$B$505,"&lt;="&amp;'Settings'!$B$7)-SUMIFS('Entries'!$S$6:$S$505,'Entries'!$H$6:$H$505,A60,'Entries'!$R$6:$R$505,"Customer receivables",'Entries'!$B$6:$B$505,"&lt;="&amp;'Settings'!$B$7)+SUMIFS('Entries'!$S$6:$S$505,'Entries'!$H$6:$H$505,A60,'Entries'!$Q$6:$Q$505,"Courier receivables",'Entries'!$B$6:$B$505,"&lt;="&amp;'Settings'!$B$7)-SUMIFS('Entries'!$S$6:$S$505,'Entries'!$H$6:$H$505,A60,'Entries'!$R$6:$R$505,"Courier receivables",'Entries'!$B$6:$B$505,"&lt;="&amp;'Settings'!$B$7))*1)</x:f>
      </x:c>
      <x:c r="J60" s="37" t="str">
        <x:f>IF(A60="","",(SUMIFS('Entries'!$S$6:$S$505,'Entries'!$H$6:$H$505,A60,'Entries'!$Q$6:$Q$505,"Trade payables",'Entries'!$B$6:$B$505,"&lt;="&amp;'Settings'!$B$7)-SUMIFS('Entries'!$S$6:$S$505,'Entries'!$H$6:$H$505,A60,'Entries'!$R$6:$R$505,"Trade payables",'Entries'!$B$6:$B$505,"&lt;="&amp;'Settings'!$B$7))*-1)</x:f>
      </x:c>
      <x:c r="K60" s="37" t="str">
        <x:f>IF(A60="","",(SUMIFS('Entries'!$S$6:$S$505,'Entries'!$H$6:$H$505,A60,'Entries'!$Q$6:$Q$505,"Supplier advances",'Entries'!$B$6:$B$505,"&lt;="&amp;'Settings'!$B$7)-SUMIFS('Entries'!$S$6:$S$505,'Entries'!$H$6:$H$505,A60,'Entries'!$R$6:$R$505,"Supplier advances",'Entries'!$B$6:$B$505,"&lt;="&amp;'Settings'!$B$7))*1)</x:f>
      </x:c>
    </x:row>
    <x:row r="61" ht="23" customHeight="1">
      <x:c r="A61" s="36"/>
      <x:c r="B61" s="36"/>
      <x:c r="C61" s="36"/>
      <x:c r="D61" s="36"/>
      <x:c r="E61" s="36"/>
      <x:c r="F61" s="36"/>
      <x:c r="G61" s="36"/>
      <x:c r="H61" s="36"/>
      <x:c r="I61" s="37" t="str">
        <x:f>IF(A61="","",(SUMIFS('Entries'!$S$6:$S$505,'Entries'!$H$6:$H$505,A61,'Entries'!$Q$6:$Q$505,"Customer receivables",'Entries'!$B$6:$B$505,"&lt;="&amp;'Settings'!$B$7)-SUMIFS('Entries'!$S$6:$S$505,'Entries'!$H$6:$H$505,A61,'Entries'!$R$6:$R$505,"Customer receivables",'Entries'!$B$6:$B$505,"&lt;="&amp;'Settings'!$B$7)+SUMIFS('Entries'!$S$6:$S$505,'Entries'!$H$6:$H$505,A61,'Entries'!$Q$6:$Q$505,"Courier receivables",'Entries'!$B$6:$B$505,"&lt;="&amp;'Settings'!$B$7)-SUMIFS('Entries'!$S$6:$S$505,'Entries'!$H$6:$H$505,A61,'Entries'!$R$6:$R$505,"Courier receivables",'Entries'!$B$6:$B$505,"&lt;="&amp;'Settings'!$B$7))*1)</x:f>
      </x:c>
      <x:c r="J61" s="37" t="str">
        <x:f>IF(A61="","",(SUMIFS('Entries'!$S$6:$S$505,'Entries'!$H$6:$H$505,A61,'Entries'!$Q$6:$Q$505,"Trade payables",'Entries'!$B$6:$B$505,"&lt;="&amp;'Settings'!$B$7)-SUMIFS('Entries'!$S$6:$S$505,'Entries'!$H$6:$H$505,A61,'Entries'!$R$6:$R$505,"Trade payables",'Entries'!$B$6:$B$505,"&lt;="&amp;'Settings'!$B$7))*-1)</x:f>
      </x:c>
      <x:c r="K61" s="37" t="str">
        <x:f>IF(A61="","",(SUMIFS('Entries'!$S$6:$S$505,'Entries'!$H$6:$H$505,A61,'Entries'!$Q$6:$Q$505,"Supplier advances",'Entries'!$B$6:$B$505,"&lt;="&amp;'Settings'!$B$7)-SUMIFS('Entries'!$S$6:$S$505,'Entries'!$H$6:$H$505,A61,'Entries'!$R$6:$R$505,"Supplier advances",'Entries'!$B$6:$B$505,"&lt;="&amp;'Settings'!$B$7))*1)</x:f>
      </x:c>
    </x:row>
    <x:row r="62" ht="23" customHeight="1">
      <x:c r="A62" s="36"/>
      <x:c r="B62" s="36"/>
      <x:c r="C62" s="36"/>
      <x:c r="D62" s="36"/>
      <x:c r="E62" s="36"/>
      <x:c r="F62" s="36"/>
      <x:c r="G62" s="36"/>
      <x:c r="H62" s="36"/>
      <x:c r="I62" s="37" t="str">
        <x:f>IF(A62="","",(SUMIFS('Entries'!$S$6:$S$505,'Entries'!$H$6:$H$505,A62,'Entries'!$Q$6:$Q$505,"Customer receivables",'Entries'!$B$6:$B$505,"&lt;="&amp;'Settings'!$B$7)-SUMIFS('Entries'!$S$6:$S$505,'Entries'!$H$6:$H$505,A62,'Entries'!$R$6:$R$505,"Customer receivables",'Entries'!$B$6:$B$505,"&lt;="&amp;'Settings'!$B$7)+SUMIFS('Entries'!$S$6:$S$505,'Entries'!$H$6:$H$505,A62,'Entries'!$Q$6:$Q$505,"Courier receivables",'Entries'!$B$6:$B$505,"&lt;="&amp;'Settings'!$B$7)-SUMIFS('Entries'!$S$6:$S$505,'Entries'!$H$6:$H$505,A62,'Entries'!$R$6:$R$505,"Courier receivables",'Entries'!$B$6:$B$505,"&lt;="&amp;'Settings'!$B$7))*1)</x:f>
      </x:c>
      <x:c r="J62" s="37" t="str">
        <x:f>IF(A62="","",(SUMIFS('Entries'!$S$6:$S$505,'Entries'!$H$6:$H$505,A62,'Entries'!$Q$6:$Q$505,"Trade payables",'Entries'!$B$6:$B$505,"&lt;="&amp;'Settings'!$B$7)-SUMIFS('Entries'!$S$6:$S$505,'Entries'!$H$6:$H$505,A62,'Entries'!$R$6:$R$505,"Trade payables",'Entries'!$B$6:$B$505,"&lt;="&amp;'Settings'!$B$7))*-1)</x:f>
      </x:c>
      <x:c r="K62" s="37" t="str">
        <x:f>IF(A62="","",(SUMIFS('Entries'!$S$6:$S$505,'Entries'!$H$6:$H$505,A62,'Entries'!$Q$6:$Q$505,"Supplier advances",'Entries'!$B$6:$B$505,"&lt;="&amp;'Settings'!$B$7)-SUMIFS('Entries'!$S$6:$S$505,'Entries'!$H$6:$H$505,A62,'Entries'!$R$6:$R$505,"Supplier advances",'Entries'!$B$6:$B$505,"&lt;="&amp;'Settings'!$B$7))*1)</x:f>
      </x:c>
    </x:row>
    <x:row r="63" ht="23" customHeight="1">
      <x:c r="A63" s="36"/>
      <x:c r="B63" s="36"/>
      <x:c r="C63" s="36"/>
      <x:c r="D63" s="36"/>
      <x:c r="E63" s="36"/>
      <x:c r="F63" s="36"/>
      <x:c r="G63" s="36"/>
      <x:c r="H63" s="36"/>
      <x:c r="I63" s="37" t="str">
        <x:f>IF(A63="","",(SUMIFS('Entries'!$S$6:$S$505,'Entries'!$H$6:$H$505,A63,'Entries'!$Q$6:$Q$505,"Customer receivables",'Entries'!$B$6:$B$505,"&lt;="&amp;'Settings'!$B$7)-SUMIFS('Entries'!$S$6:$S$505,'Entries'!$H$6:$H$505,A63,'Entries'!$R$6:$R$505,"Customer receivables",'Entries'!$B$6:$B$505,"&lt;="&amp;'Settings'!$B$7)+SUMIFS('Entries'!$S$6:$S$505,'Entries'!$H$6:$H$505,A63,'Entries'!$Q$6:$Q$505,"Courier receivables",'Entries'!$B$6:$B$505,"&lt;="&amp;'Settings'!$B$7)-SUMIFS('Entries'!$S$6:$S$505,'Entries'!$H$6:$H$505,A63,'Entries'!$R$6:$R$505,"Courier receivables",'Entries'!$B$6:$B$505,"&lt;="&amp;'Settings'!$B$7))*1)</x:f>
      </x:c>
      <x:c r="J63" s="37" t="str">
        <x:f>IF(A63="","",(SUMIFS('Entries'!$S$6:$S$505,'Entries'!$H$6:$H$505,A63,'Entries'!$Q$6:$Q$505,"Trade payables",'Entries'!$B$6:$B$505,"&lt;="&amp;'Settings'!$B$7)-SUMIFS('Entries'!$S$6:$S$505,'Entries'!$H$6:$H$505,A63,'Entries'!$R$6:$R$505,"Trade payables",'Entries'!$B$6:$B$505,"&lt;="&amp;'Settings'!$B$7))*-1)</x:f>
      </x:c>
      <x:c r="K63" s="37" t="str">
        <x:f>IF(A63="","",(SUMIFS('Entries'!$S$6:$S$505,'Entries'!$H$6:$H$505,A63,'Entries'!$Q$6:$Q$505,"Supplier advances",'Entries'!$B$6:$B$505,"&lt;="&amp;'Settings'!$B$7)-SUMIFS('Entries'!$S$6:$S$505,'Entries'!$H$6:$H$505,A63,'Entries'!$R$6:$R$505,"Supplier advances",'Entries'!$B$6:$B$505,"&lt;="&amp;'Settings'!$B$7))*1)</x:f>
      </x:c>
    </x:row>
    <x:row r="64" ht="23" customHeight="1">
      <x:c r="A64" s="36"/>
      <x:c r="B64" s="36"/>
      <x:c r="C64" s="36"/>
      <x:c r="D64" s="36"/>
      <x:c r="E64" s="36"/>
      <x:c r="F64" s="36"/>
      <x:c r="G64" s="36"/>
      <x:c r="H64" s="36"/>
      <x:c r="I64" s="37" t="str">
        <x:f>IF(A64="","",(SUMIFS('Entries'!$S$6:$S$505,'Entries'!$H$6:$H$505,A64,'Entries'!$Q$6:$Q$505,"Customer receivables",'Entries'!$B$6:$B$505,"&lt;="&amp;'Settings'!$B$7)-SUMIFS('Entries'!$S$6:$S$505,'Entries'!$H$6:$H$505,A64,'Entries'!$R$6:$R$505,"Customer receivables",'Entries'!$B$6:$B$505,"&lt;="&amp;'Settings'!$B$7)+SUMIFS('Entries'!$S$6:$S$505,'Entries'!$H$6:$H$505,A64,'Entries'!$Q$6:$Q$505,"Courier receivables",'Entries'!$B$6:$B$505,"&lt;="&amp;'Settings'!$B$7)-SUMIFS('Entries'!$S$6:$S$505,'Entries'!$H$6:$H$505,A64,'Entries'!$R$6:$R$505,"Courier receivables",'Entries'!$B$6:$B$505,"&lt;="&amp;'Settings'!$B$7))*1)</x:f>
      </x:c>
      <x:c r="J64" s="37" t="str">
        <x:f>IF(A64="","",(SUMIFS('Entries'!$S$6:$S$505,'Entries'!$H$6:$H$505,A64,'Entries'!$Q$6:$Q$505,"Trade payables",'Entries'!$B$6:$B$505,"&lt;="&amp;'Settings'!$B$7)-SUMIFS('Entries'!$S$6:$S$505,'Entries'!$H$6:$H$505,A64,'Entries'!$R$6:$R$505,"Trade payables",'Entries'!$B$6:$B$505,"&lt;="&amp;'Settings'!$B$7))*-1)</x:f>
      </x:c>
      <x:c r="K64" s="37" t="str">
        <x:f>IF(A64="","",(SUMIFS('Entries'!$S$6:$S$505,'Entries'!$H$6:$H$505,A64,'Entries'!$Q$6:$Q$505,"Supplier advances",'Entries'!$B$6:$B$505,"&lt;="&amp;'Settings'!$B$7)-SUMIFS('Entries'!$S$6:$S$505,'Entries'!$H$6:$H$505,A64,'Entries'!$R$6:$R$505,"Supplier advances",'Entries'!$B$6:$B$505,"&lt;="&amp;'Settings'!$B$7))*1)</x:f>
      </x:c>
    </x:row>
    <x:row r="65" ht="23" customHeight="1">
      <x:c r="A65" s="36"/>
      <x:c r="B65" s="36"/>
      <x:c r="C65" s="36"/>
      <x:c r="D65" s="36"/>
      <x:c r="E65" s="36"/>
      <x:c r="F65" s="36"/>
      <x:c r="G65" s="36"/>
      <x:c r="H65" s="36"/>
      <x:c r="I65" s="37" t="str">
        <x:f>IF(A65="","",(SUMIFS('Entries'!$S$6:$S$505,'Entries'!$H$6:$H$505,A65,'Entries'!$Q$6:$Q$505,"Customer receivables",'Entries'!$B$6:$B$505,"&lt;="&amp;'Settings'!$B$7)-SUMIFS('Entries'!$S$6:$S$505,'Entries'!$H$6:$H$505,A65,'Entries'!$R$6:$R$505,"Customer receivables",'Entries'!$B$6:$B$505,"&lt;="&amp;'Settings'!$B$7)+SUMIFS('Entries'!$S$6:$S$505,'Entries'!$H$6:$H$505,A65,'Entries'!$Q$6:$Q$505,"Courier receivables",'Entries'!$B$6:$B$505,"&lt;="&amp;'Settings'!$B$7)-SUMIFS('Entries'!$S$6:$S$505,'Entries'!$H$6:$H$505,A65,'Entries'!$R$6:$R$505,"Courier receivables",'Entries'!$B$6:$B$505,"&lt;="&amp;'Settings'!$B$7))*1)</x:f>
      </x:c>
      <x:c r="J65" s="37" t="str">
        <x:f>IF(A65="","",(SUMIFS('Entries'!$S$6:$S$505,'Entries'!$H$6:$H$505,A65,'Entries'!$Q$6:$Q$505,"Trade payables",'Entries'!$B$6:$B$505,"&lt;="&amp;'Settings'!$B$7)-SUMIFS('Entries'!$S$6:$S$505,'Entries'!$H$6:$H$505,A65,'Entries'!$R$6:$R$505,"Trade payables",'Entries'!$B$6:$B$505,"&lt;="&amp;'Settings'!$B$7))*-1)</x:f>
      </x:c>
      <x:c r="K65" s="37" t="str">
        <x:f>IF(A65="","",(SUMIFS('Entries'!$S$6:$S$505,'Entries'!$H$6:$H$505,A65,'Entries'!$Q$6:$Q$505,"Supplier advances",'Entries'!$B$6:$B$505,"&lt;="&amp;'Settings'!$B$7)-SUMIFS('Entries'!$S$6:$S$505,'Entries'!$H$6:$H$505,A65,'Entries'!$R$6:$R$505,"Supplier advances",'Entries'!$B$6:$B$505,"&lt;="&amp;'Settings'!$B$7))*1)</x:f>
      </x:c>
    </x:row>
    <x:row r="66" ht="23" customHeight="1">
      <x:c r="A66" s="36"/>
      <x:c r="B66" s="36"/>
      <x:c r="C66" s="36"/>
      <x:c r="D66" s="36"/>
      <x:c r="E66" s="36"/>
      <x:c r="F66" s="36"/>
      <x:c r="G66" s="36"/>
      <x:c r="H66" s="36"/>
      <x:c r="I66" s="37" t="str">
        <x:f>IF(A66="","",(SUMIFS('Entries'!$S$6:$S$505,'Entries'!$H$6:$H$505,A66,'Entries'!$Q$6:$Q$505,"Customer receivables",'Entries'!$B$6:$B$505,"&lt;="&amp;'Settings'!$B$7)-SUMIFS('Entries'!$S$6:$S$505,'Entries'!$H$6:$H$505,A66,'Entries'!$R$6:$R$505,"Customer receivables",'Entries'!$B$6:$B$505,"&lt;="&amp;'Settings'!$B$7)+SUMIFS('Entries'!$S$6:$S$505,'Entries'!$H$6:$H$505,A66,'Entries'!$Q$6:$Q$505,"Courier receivables",'Entries'!$B$6:$B$505,"&lt;="&amp;'Settings'!$B$7)-SUMIFS('Entries'!$S$6:$S$505,'Entries'!$H$6:$H$505,A66,'Entries'!$R$6:$R$505,"Courier receivables",'Entries'!$B$6:$B$505,"&lt;="&amp;'Settings'!$B$7))*1)</x:f>
      </x:c>
      <x:c r="J66" s="37" t="str">
        <x:f>IF(A66="","",(SUMIFS('Entries'!$S$6:$S$505,'Entries'!$H$6:$H$505,A66,'Entries'!$Q$6:$Q$505,"Trade payables",'Entries'!$B$6:$B$505,"&lt;="&amp;'Settings'!$B$7)-SUMIFS('Entries'!$S$6:$S$505,'Entries'!$H$6:$H$505,A66,'Entries'!$R$6:$R$505,"Trade payables",'Entries'!$B$6:$B$505,"&lt;="&amp;'Settings'!$B$7))*-1)</x:f>
      </x:c>
      <x:c r="K66" s="37" t="str">
        <x:f>IF(A66="","",(SUMIFS('Entries'!$S$6:$S$505,'Entries'!$H$6:$H$505,A66,'Entries'!$Q$6:$Q$505,"Supplier advances",'Entries'!$B$6:$B$505,"&lt;="&amp;'Settings'!$B$7)-SUMIFS('Entries'!$S$6:$S$505,'Entries'!$H$6:$H$505,A66,'Entries'!$R$6:$R$505,"Supplier advances",'Entries'!$B$6:$B$505,"&lt;="&amp;'Settings'!$B$7))*1)</x:f>
      </x:c>
    </x:row>
    <x:row r="67" ht="23" customHeight="1">
      <x:c r="A67" s="36"/>
      <x:c r="B67" s="36"/>
      <x:c r="C67" s="36"/>
      <x:c r="D67" s="36"/>
      <x:c r="E67" s="36"/>
      <x:c r="F67" s="36"/>
      <x:c r="G67" s="36"/>
      <x:c r="H67" s="36"/>
      <x:c r="I67" s="37" t="str">
        <x:f>IF(A67="","",(SUMIFS('Entries'!$S$6:$S$505,'Entries'!$H$6:$H$505,A67,'Entries'!$Q$6:$Q$505,"Customer receivables",'Entries'!$B$6:$B$505,"&lt;="&amp;'Settings'!$B$7)-SUMIFS('Entries'!$S$6:$S$505,'Entries'!$H$6:$H$505,A67,'Entries'!$R$6:$R$505,"Customer receivables",'Entries'!$B$6:$B$505,"&lt;="&amp;'Settings'!$B$7)+SUMIFS('Entries'!$S$6:$S$505,'Entries'!$H$6:$H$505,A67,'Entries'!$Q$6:$Q$505,"Courier receivables",'Entries'!$B$6:$B$505,"&lt;="&amp;'Settings'!$B$7)-SUMIFS('Entries'!$S$6:$S$505,'Entries'!$H$6:$H$505,A67,'Entries'!$R$6:$R$505,"Courier receivables",'Entries'!$B$6:$B$505,"&lt;="&amp;'Settings'!$B$7))*1)</x:f>
      </x:c>
      <x:c r="J67" s="37" t="str">
        <x:f>IF(A67="","",(SUMIFS('Entries'!$S$6:$S$505,'Entries'!$H$6:$H$505,A67,'Entries'!$Q$6:$Q$505,"Trade payables",'Entries'!$B$6:$B$505,"&lt;="&amp;'Settings'!$B$7)-SUMIFS('Entries'!$S$6:$S$505,'Entries'!$H$6:$H$505,A67,'Entries'!$R$6:$R$505,"Trade payables",'Entries'!$B$6:$B$505,"&lt;="&amp;'Settings'!$B$7))*-1)</x:f>
      </x:c>
      <x:c r="K67" s="37" t="str">
        <x:f>IF(A67="","",(SUMIFS('Entries'!$S$6:$S$505,'Entries'!$H$6:$H$505,A67,'Entries'!$Q$6:$Q$505,"Supplier advances",'Entries'!$B$6:$B$505,"&lt;="&amp;'Settings'!$B$7)-SUMIFS('Entries'!$S$6:$S$505,'Entries'!$H$6:$H$505,A67,'Entries'!$R$6:$R$505,"Supplier advances",'Entries'!$B$6:$B$505,"&lt;="&amp;'Settings'!$B$7))*1)</x:f>
      </x:c>
    </x:row>
    <x:row r="68" ht="23" customHeight="1">
      <x:c r="A68" s="36"/>
      <x:c r="B68" s="36"/>
      <x:c r="C68" s="36"/>
      <x:c r="D68" s="36"/>
      <x:c r="E68" s="36"/>
      <x:c r="F68" s="36"/>
      <x:c r="G68" s="36"/>
      <x:c r="H68" s="36"/>
      <x:c r="I68" s="37" t="str">
        <x:f>IF(A68="","",(SUMIFS('Entries'!$S$6:$S$505,'Entries'!$H$6:$H$505,A68,'Entries'!$Q$6:$Q$505,"Customer receivables",'Entries'!$B$6:$B$505,"&lt;="&amp;'Settings'!$B$7)-SUMIFS('Entries'!$S$6:$S$505,'Entries'!$H$6:$H$505,A68,'Entries'!$R$6:$R$505,"Customer receivables",'Entries'!$B$6:$B$505,"&lt;="&amp;'Settings'!$B$7)+SUMIFS('Entries'!$S$6:$S$505,'Entries'!$H$6:$H$505,A68,'Entries'!$Q$6:$Q$505,"Courier receivables",'Entries'!$B$6:$B$505,"&lt;="&amp;'Settings'!$B$7)-SUMIFS('Entries'!$S$6:$S$505,'Entries'!$H$6:$H$505,A68,'Entries'!$R$6:$R$505,"Courier receivables",'Entries'!$B$6:$B$505,"&lt;="&amp;'Settings'!$B$7))*1)</x:f>
      </x:c>
      <x:c r="J68" s="37" t="str">
        <x:f>IF(A68="","",(SUMIFS('Entries'!$S$6:$S$505,'Entries'!$H$6:$H$505,A68,'Entries'!$Q$6:$Q$505,"Trade payables",'Entries'!$B$6:$B$505,"&lt;="&amp;'Settings'!$B$7)-SUMIFS('Entries'!$S$6:$S$505,'Entries'!$H$6:$H$505,A68,'Entries'!$R$6:$R$505,"Trade payables",'Entries'!$B$6:$B$505,"&lt;="&amp;'Settings'!$B$7))*-1)</x:f>
      </x:c>
      <x:c r="K68" s="37" t="str">
        <x:f>IF(A68="","",(SUMIFS('Entries'!$S$6:$S$505,'Entries'!$H$6:$H$505,A68,'Entries'!$Q$6:$Q$505,"Supplier advances",'Entries'!$B$6:$B$505,"&lt;="&amp;'Settings'!$B$7)-SUMIFS('Entries'!$S$6:$S$505,'Entries'!$H$6:$H$505,A68,'Entries'!$R$6:$R$505,"Supplier advances",'Entries'!$B$6:$B$505,"&lt;="&amp;'Settings'!$B$7))*1)</x:f>
      </x:c>
    </x:row>
    <x:row r="69" ht="23" customHeight="1">
      <x:c r="A69" s="36"/>
      <x:c r="B69" s="36"/>
      <x:c r="C69" s="36"/>
      <x:c r="D69" s="36"/>
      <x:c r="E69" s="36"/>
      <x:c r="F69" s="36"/>
      <x:c r="G69" s="36"/>
      <x:c r="H69" s="36"/>
      <x:c r="I69" s="37" t="str">
        <x:f>IF(A69="","",(SUMIFS('Entries'!$S$6:$S$505,'Entries'!$H$6:$H$505,A69,'Entries'!$Q$6:$Q$505,"Customer receivables",'Entries'!$B$6:$B$505,"&lt;="&amp;'Settings'!$B$7)-SUMIFS('Entries'!$S$6:$S$505,'Entries'!$H$6:$H$505,A69,'Entries'!$R$6:$R$505,"Customer receivables",'Entries'!$B$6:$B$505,"&lt;="&amp;'Settings'!$B$7)+SUMIFS('Entries'!$S$6:$S$505,'Entries'!$H$6:$H$505,A69,'Entries'!$Q$6:$Q$505,"Courier receivables",'Entries'!$B$6:$B$505,"&lt;="&amp;'Settings'!$B$7)-SUMIFS('Entries'!$S$6:$S$505,'Entries'!$H$6:$H$505,A69,'Entries'!$R$6:$R$505,"Courier receivables",'Entries'!$B$6:$B$505,"&lt;="&amp;'Settings'!$B$7))*1)</x:f>
      </x:c>
      <x:c r="J69" s="37" t="str">
        <x:f>IF(A69="","",(SUMIFS('Entries'!$S$6:$S$505,'Entries'!$H$6:$H$505,A69,'Entries'!$Q$6:$Q$505,"Trade payables",'Entries'!$B$6:$B$505,"&lt;="&amp;'Settings'!$B$7)-SUMIFS('Entries'!$S$6:$S$505,'Entries'!$H$6:$H$505,A69,'Entries'!$R$6:$R$505,"Trade payables",'Entries'!$B$6:$B$505,"&lt;="&amp;'Settings'!$B$7))*-1)</x:f>
      </x:c>
      <x:c r="K69" s="37" t="str">
        <x:f>IF(A69="","",(SUMIFS('Entries'!$S$6:$S$505,'Entries'!$H$6:$H$505,A69,'Entries'!$Q$6:$Q$505,"Supplier advances",'Entries'!$B$6:$B$505,"&lt;="&amp;'Settings'!$B$7)-SUMIFS('Entries'!$S$6:$S$505,'Entries'!$H$6:$H$505,A69,'Entries'!$R$6:$R$505,"Supplier advances",'Entries'!$B$6:$B$505,"&lt;="&amp;'Settings'!$B$7))*1)</x:f>
      </x:c>
    </x:row>
    <x:row r="70" ht="23" customHeight="1">
      <x:c r="A70" s="36"/>
      <x:c r="B70" s="36"/>
      <x:c r="C70" s="36"/>
      <x:c r="D70" s="36"/>
      <x:c r="E70" s="36"/>
      <x:c r="F70" s="36"/>
      <x:c r="G70" s="36"/>
      <x:c r="H70" s="36"/>
      <x:c r="I70" s="37" t="str">
        <x:f>IF(A70="","",(SUMIFS('Entries'!$S$6:$S$505,'Entries'!$H$6:$H$505,A70,'Entries'!$Q$6:$Q$505,"Customer receivables",'Entries'!$B$6:$B$505,"&lt;="&amp;'Settings'!$B$7)-SUMIFS('Entries'!$S$6:$S$505,'Entries'!$H$6:$H$505,A70,'Entries'!$R$6:$R$505,"Customer receivables",'Entries'!$B$6:$B$505,"&lt;="&amp;'Settings'!$B$7)+SUMIFS('Entries'!$S$6:$S$505,'Entries'!$H$6:$H$505,A70,'Entries'!$Q$6:$Q$505,"Courier receivables",'Entries'!$B$6:$B$505,"&lt;="&amp;'Settings'!$B$7)-SUMIFS('Entries'!$S$6:$S$505,'Entries'!$H$6:$H$505,A70,'Entries'!$R$6:$R$505,"Courier receivables",'Entries'!$B$6:$B$505,"&lt;="&amp;'Settings'!$B$7))*1)</x:f>
      </x:c>
      <x:c r="J70" s="37" t="str">
        <x:f>IF(A70="","",(SUMIFS('Entries'!$S$6:$S$505,'Entries'!$H$6:$H$505,A70,'Entries'!$Q$6:$Q$505,"Trade payables",'Entries'!$B$6:$B$505,"&lt;="&amp;'Settings'!$B$7)-SUMIFS('Entries'!$S$6:$S$505,'Entries'!$H$6:$H$505,A70,'Entries'!$R$6:$R$505,"Trade payables",'Entries'!$B$6:$B$505,"&lt;="&amp;'Settings'!$B$7))*-1)</x:f>
      </x:c>
      <x:c r="K70" s="37" t="str">
        <x:f>IF(A70="","",(SUMIFS('Entries'!$S$6:$S$505,'Entries'!$H$6:$H$505,A70,'Entries'!$Q$6:$Q$505,"Supplier advances",'Entries'!$B$6:$B$505,"&lt;="&amp;'Settings'!$B$7)-SUMIFS('Entries'!$S$6:$S$505,'Entries'!$H$6:$H$505,A70,'Entries'!$R$6:$R$505,"Supplier advances",'Entries'!$B$6:$B$505,"&lt;="&amp;'Settings'!$B$7))*1)</x:f>
      </x:c>
    </x:row>
    <x:row r="71" ht="23" customHeight="1">
      <x:c r="A71" s="36"/>
      <x:c r="B71" s="36"/>
      <x:c r="C71" s="36"/>
      <x:c r="D71" s="36"/>
      <x:c r="E71" s="36"/>
      <x:c r="F71" s="36"/>
      <x:c r="G71" s="36"/>
      <x:c r="H71" s="36"/>
      <x:c r="I71" s="37" t="str">
        <x:f>IF(A71="","",(SUMIFS('Entries'!$S$6:$S$505,'Entries'!$H$6:$H$505,A71,'Entries'!$Q$6:$Q$505,"Customer receivables",'Entries'!$B$6:$B$505,"&lt;="&amp;'Settings'!$B$7)-SUMIFS('Entries'!$S$6:$S$505,'Entries'!$H$6:$H$505,A71,'Entries'!$R$6:$R$505,"Customer receivables",'Entries'!$B$6:$B$505,"&lt;="&amp;'Settings'!$B$7)+SUMIFS('Entries'!$S$6:$S$505,'Entries'!$H$6:$H$505,A71,'Entries'!$Q$6:$Q$505,"Courier receivables",'Entries'!$B$6:$B$505,"&lt;="&amp;'Settings'!$B$7)-SUMIFS('Entries'!$S$6:$S$505,'Entries'!$H$6:$H$505,A71,'Entries'!$R$6:$R$505,"Courier receivables",'Entries'!$B$6:$B$505,"&lt;="&amp;'Settings'!$B$7))*1)</x:f>
      </x:c>
      <x:c r="J71" s="37" t="str">
        <x:f>IF(A71="","",(SUMIFS('Entries'!$S$6:$S$505,'Entries'!$H$6:$H$505,A71,'Entries'!$Q$6:$Q$505,"Trade payables",'Entries'!$B$6:$B$505,"&lt;="&amp;'Settings'!$B$7)-SUMIFS('Entries'!$S$6:$S$505,'Entries'!$H$6:$H$505,A71,'Entries'!$R$6:$R$505,"Trade payables",'Entries'!$B$6:$B$505,"&lt;="&amp;'Settings'!$B$7))*-1)</x:f>
      </x:c>
      <x:c r="K71" s="37" t="str">
        <x:f>IF(A71="","",(SUMIFS('Entries'!$S$6:$S$505,'Entries'!$H$6:$H$505,A71,'Entries'!$Q$6:$Q$505,"Supplier advances",'Entries'!$B$6:$B$505,"&lt;="&amp;'Settings'!$B$7)-SUMIFS('Entries'!$S$6:$S$505,'Entries'!$H$6:$H$505,A71,'Entries'!$R$6:$R$505,"Supplier advances",'Entries'!$B$6:$B$505,"&lt;="&amp;'Settings'!$B$7))*1)</x:f>
      </x:c>
    </x:row>
    <x:row r="72" ht="23" customHeight="1">
      <x:c r="A72" s="36"/>
      <x:c r="B72" s="36"/>
      <x:c r="C72" s="36"/>
      <x:c r="D72" s="36"/>
      <x:c r="E72" s="36"/>
      <x:c r="F72" s="36"/>
      <x:c r="G72" s="36"/>
      <x:c r="H72" s="36"/>
      <x:c r="I72" s="37" t="str">
        <x:f>IF(A72="","",(SUMIFS('Entries'!$S$6:$S$505,'Entries'!$H$6:$H$505,A72,'Entries'!$Q$6:$Q$505,"Customer receivables",'Entries'!$B$6:$B$505,"&lt;="&amp;'Settings'!$B$7)-SUMIFS('Entries'!$S$6:$S$505,'Entries'!$H$6:$H$505,A72,'Entries'!$R$6:$R$505,"Customer receivables",'Entries'!$B$6:$B$505,"&lt;="&amp;'Settings'!$B$7)+SUMIFS('Entries'!$S$6:$S$505,'Entries'!$H$6:$H$505,A72,'Entries'!$Q$6:$Q$505,"Courier receivables",'Entries'!$B$6:$B$505,"&lt;="&amp;'Settings'!$B$7)-SUMIFS('Entries'!$S$6:$S$505,'Entries'!$H$6:$H$505,A72,'Entries'!$R$6:$R$505,"Courier receivables",'Entries'!$B$6:$B$505,"&lt;="&amp;'Settings'!$B$7))*1)</x:f>
      </x:c>
      <x:c r="J72" s="37" t="str">
        <x:f>IF(A72="","",(SUMIFS('Entries'!$S$6:$S$505,'Entries'!$H$6:$H$505,A72,'Entries'!$Q$6:$Q$505,"Trade payables",'Entries'!$B$6:$B$505,"&lt;="&amp;'Settings'!$B$7)-SUMIFS('Entries'!$S$6:$S$505,'Entries'!$H$6:$H$505,A72,'Entries'!$R$6:$R$505,"Trade payables",'Entries'!$B$6:$B$505,"&lt;="&amp;'Settings'!$B$7))*-1)</x:f>
      </x:c>
      <x:c r="K72" s="37" t="str">
        <x:f>IF(A72="","",(SUMIFS('Entries'!$S$6:$S$505,'Entries'!$H$6:$H$505,A72,'Entries'!$Q$6:$Q$505,"Supplier advances",'Entries'!$B$6:$B$505,"&lt;="&amp;'Settings'!$B$7)-SUMIFS('Entries'!$S$6:$S$505,'Entries'!$H$6:$H$505,A72,'Entries'!$R$6:$R$505,"Supplier advances",'Entries'!$B$6:$B$505,"&lt;="&amp;'Settings'!$B$7))*1)</x:f>
      </x:c>
    </x:row>
    <x:row r="73" ht="23" customHeight="1">
      <x:c r="A73" s="36"/>
      <x:c r="B73" s="36"/>
      <x:c r="C73" s="36"/>
      <x:c r="D73" s="36"/>
      <x:c r="E73" s="36"/>
      <x:c r="F73" s="36"/>
      <x:c r="G73" s="36"/>
      <x:c r="H73" s="36"/>
      <x:c r="I73" s="37" t="str">
        <x:f>IF(A73="","",(SUMIFS('Entries'!$S$6:$S$505,'Entries'!$H$6:$H$505,A73,'Entries'!$Q$6:$Q$505,"Customer receivables",'Entries'!$B$6:$B$505,"&lt;="&amp;'Settings'!$B$7)-SUMIFS('Entries'!$S$6:$S$505,'Entries'!$H$6:$H$505,A73,'Entries'!$R$6:$R$505,"Customer receivables",'Entries'!$B$6:$B$505,"&lt;="&amp;'Settings'!$B$7)+SUMIFS('Entries'!$S$6:$S$505,'Entries'!$H$6:$H$505,A73,'Entries'!$Q$6:$Q$505,"Courier receivables",'Entries'!$B$6:$B$505,"&lt;="&amp;'Settings'!$B$7)-SUMIFS('Entries'!$S$6:$S$505,'Entries'!$H$6:$H$505,A73,'Entries'!$R$6:$R$505,"Courier receivables",'Entries'!$B$6:$B$505,"&lt;="&amp;'Settings'!$B$7))*1)</x:f>
      </x:c>
      <x:c r="J73" s="37" t="str">
        <x:f>IF(A73="","",(SUMIFS('Entries'!$S$6:$S$505,'Entries'!$H$6:$H$505,A73,'Entries'!$Q$6:$Q$505,"Trade payables",'Entries'!$B$6:$B$505,"&lt;="&amp;'Settings'!$B$7)-SUMIFS('Entries'!$S$6:$S$505,'Entries'!$H$6:$H$505,A73,'Entries'!$R$6:$R$505,"Trade payables",'Entries'!$B$6:$B$505,"&lt;="&amp;'Settings'!$B$7))*-1)</x:f>
      </x:c>
      <x:c r="K73" s="37" t="str">
        <x:f>IF(A73="","",(SUMIFS('Entries'!$S$6:$S$505,'Entries'!$H$6:$H$505,A73,'Entries'!$Q$6:$Q$505,"Supplier advances",'Entries'!$B$6:$B$505,"&lt;="&amp;'Settings'!$B$7)-SUMIFS('Entries'!$S$6:$S$505,'Entries'!$H$6:$H$505,A73,'Entries'!$R$6:$R$505,"Supplier advances",'Entries'!$B$6:$B$505,"&lt;="&amp;'Settings'!$B$7))*1)</x:f>
      </x:c>
    </x:row>
    <x:row r="74" ht="23" customHeight="1">
      <x:c r="A74" s="36"/>
      <x:c r="B74" s="36"/>
      <x:c r="C74" s="36"/>
      <x:c r="D74" s="36"/>
      <x:c r="E74" s="36"/>
      <x:c r="F74" s="36"/>
      <x:c r="G74" s="36"/>
      <x:c r="H74" s="36"/>
      <x:c r="I74" s="37" t="str">
        <x:f>IF(A74="","",(SUMIFS('Entries'!$S$6:$S$505,'Entries'!$H$6:$H$505,A74,'Entries'!$Q$6:$Q$505,"Customer receivables",'Entries'!$B$6:$B$505,"&lt;="&amp;'Settings'!$B$7)-SUMIFS('Entries'!$S$6:$S$505,'Entries'!$H$6:$H$505,A74,'Entries'!$R$6:$R$505,"Customer receivables",'Entries'!$B$6:$B$505,"&lt;="&amp;'Settings'!$B$7)+SUMIFS('Entries'!$S$6:$S$505,'Entries'!$H$6:$H$505,A74,'Entries'!$Q$6:$Q$505,"Courier receivables",'Entries'!$B$6:$B$505,"&lt;="&amp;'Settings'!$B$7)-SUMIFS('Entries'!$S$6:$S$505,'Entries'!$H$6:$H$505,A74,'Entries'!$R$6:$R$505,"Courier receivables",'Entries'!$B$6:$B$505,"&lt;="&amp;'Settings'!$B$7))*1)</x:f>
      </x:c>
      <x:c r="J74" s="37" t="str">
        <x:f>IF(A74="","",(SUMIFS('Entries'!$S$6:$S$505,'Entries'!$H$6:$H$505,A74,'Entries'!$Q$6:$Q$505,"Trade payables",'Entries'!$B$6:$B$505,"&lt;="&amp;'Settings'!$B$7)-SUMIFS('Entries'!$S$6:$S$505,'Entries'!$H$6:$H$505,A74,'Entries'!$R$6:$R$505,"Trade payables",'Entries'!$B$6:$B$505,"&lt;="&amp;'Settings'!$B$7))*-1)</x:f>
      </x:c>
      <x:c r="K74" s="37" t="str">
        <x:f>IF(A74="","",(SUMIFS('Entries'!$S$6:$S$505,'Entries'!$H$6:$H$505,A74,'Entries'!$Q$6:$Q$505,"Supplier advances",'Entries'!$B$6:$B$505,"&lt;="&amp;'Settings'!$B$7)-SUMIFS('Entries'!$S$6:$S$505,'Entries'!$H$6:$H$505,A74,'Entries'!$R$6:$R$505,"Supplier advances",'Entries'!$B$6:$B$505,"&lt;="&amp;'Settings'!$B$7))*1)</x:f>
      </x:c>
    </x:row>
    <x:row r="75" ht="23" customHeight="1">
      <x:c r="A75" s="36"/>
      <x:c r="B75" s="36"/>
      <x:c r="C75" s="36"/>
      <x:c r="D75" s="36"/>
      <x:c r="E75" s="36"/>
      <x:c r="F75" s="36"/>
      <x:c r="G75" s="36"/>
      <x:c r="H75" s="36"/>
      <x:c r="I75" s="37" t="str">
        <x:f>IF(A75="","",(SUMIFS('Entries'!$S$6:$S$505,'Entries'!$H$6:$H$505,A75,'Entries'!$Q$6:$Q$505,"Customer receivables",'Entries'!$B$6:$B$505,"&lt;="&amp;'Settings'!$B$7)-SUMIFS('Entries'!$S$6:$S$505,'Entries'!$H$6:$H$505,A75,'Entries'!$R$6:$R$505,"Customer receivables",'Entries'!$B$6:$B$505,"&lt;="&amp;'Settings'!$B$7)+SUMIFS('Entries'!$S$6:$S$505,'Entries'!$H$6:$H$505,A75,'Entries'!$Q$6:$Q$505,"Courier receivables",'Entries'!$B$6:$B$505,"&lt;="&amp;'Settings'!$B$7)-SUMIFS('Entries'!$S$6:$S$505,'Entries'!$H$6:$H$505,A75,'Entries'!$R$6:$R$505,"Courier receivables",'Entries'!$B$6:$B$505,"&lt;="&amp;'Settings'!$B$7))*1)</x:f>
      </x:c>
      <x:c r="J75" s="37" t="str">
        <x:f>IF(A75="","",(SUMIFS('Entries'!$S$6:$S$505,'Entries'!$H$6:$H$505,A75,'Entries'!$Q$6:$Q$505,"Trade payables",'Entries'!$B$6:$B$505,"&lt;="&amp;'Settings'!$B$7)-SUMIFS('Entries'!$S$6:$S$505,'Entries'!$H$6:$H$505,A75,'Entries'!$R$6:$R$505,"Trade payables",'Entries'!$B$6:$B$505,"&lt;="&amp;'Settings'!$B$7))*-1)</x:f>
      </x:c>
      <x:c r="K75" s="37" t="str">
        <x:f>IF(A75="","",(SUMIFS('Entries'!$S$6:$S$505,'Entries'!$H$6:$H$505,A75,'Entries'!$Q$6:$Q$505,"Supplier advances",'Entries'!$B$6:$B$505,"&lt;="&amp;'Settings'!$B$7)-SUMIFS('Entries'!$S$6:$S$505,'Entries'!$H$6:$H$505,A75,'Entries'!$R$6:$R$505,"Supplier advances",'Entries'!$B$6:$B$505,"&lt;="&amp;'Settings'!$B$7))*1)</x:f>
      </x:c>
    </x:row>
    <x:row r="76" ht="23" customHeight="1">
      <x:c r="A76" s="36"/>
      <x:c r="B76" s="36"/>
      <x:c r="C76" s="36"/>
      <x:c r="D76" s="36"/>
      <x:c r="E76" s="36"/>
      <x:c r="F76" s="36"/>
      <x:c r="G76" s="36"/>
      <x:c r="H76" s="36"/>
      <x:c r="I76" s="37" t="str">
        <x:f>IF(A76="","",(SUMIFS('Entries'!$S$6:$S$505,'Entries'!$H$6:$H$505,A76,'Entries'!$Q$6:$Q$505,"Customer receivables",'Entries'!$B$6:$B$505,"&lt;="&amp;'Settings'!$B$7)-SUMIFS('Entries'!$S$6:$S$505,'Entries'!$H$6:$H$505,A76,'Entries'!$R$6:$R$505,"Customer receivables",'Entries'!$B$6:$B$505,"&lt;="&amp;'Settings'!$B$7)+SUMIFS('Entries'!$S$6:$S$505,'Entries'!$H$6:$H$505,A76,'Entries'!$Q$6:$Q$505,"Courier receivables",'Entries'!$B$6:$B$505,"&lt;="&amp;'Settings'!$B$7)-SUMIFS('Entries'!$S$6:$S$505,'Entries'!$H$6:$H$505,A76,'Entries'!$R$6:$R$505,"Courier receivables",'Entries'!$B$6:$B$505,"&lt;="&amp;'Settings'!$B$7))*1)</x:f>
      </x:c>
      <x:c r="J76" s="37" t="str">
        <x:f>IF(A76="","",(SUMIFS('Entries'!$S$6:$S$505,'Entries'!$H$6:$H$505,A76,'Entries'!$Q$6:$Q$505,"Trade payables",'Entries'!$B$6:$B$505,"&lt;="&amp;'Settings'!$B$7)-SUMIFS('Entries'!$S$6:$S$505,'Entries'!$H$6:$H$505,A76,'Entries'!$R$6:$R$505,"Trade payables",'Entries'!$B$6:$B$505,"&lt;="&amp;'Settings'!$B$7))*-1)</x:f>
      </x:c>
      <x:c r="K76" s="37" t="str">
        <x:f>IF(A76="","",(SUMIFS('Entries'!$S$6:$S$505,'Entries'!$H$6:$H$505,A76,'Entries'!$Q$6:$Q$505,"Supplier advances",'Entries'!$B$6:$B$505,"&lt;="&amp;'Settings'!$B$7)-SUMIFS('Entries'!$S$6:$S$505,'Entries'!$H$6:$H$505,A76,'Entries'!$R$6:$R$505,"Supplier advances",'Entries'!$B$6:$B$505,"&lt;="&amp;'Settings'!$B$7))*1)</x:f>
      </x:c>
    </x:row>
    <x:row r="77" ht="23" customHeight="1">
      <x:c r="A77" s="36"/>
      <x:c r="B77" s="36"/>
      <x:c r="C77" s="36"/>
      <x:c r="D77" s="36"/>
      <x:c r="E77" s="36"/>
      <x:c r="F77" s="36"/>
      <x:c r="G77" s="36"/>
      <x:c r="H77" s="36"/>
      <x:c r="I77" s="37" t="str">
        <x:f>IF(A77="","",(SUMIFS('Entries'!$S$6:$S$505,'Entries'!$H$6:$H$505,A77,'Entries'!$Q$6:$Q$505,"Customer receivables",'Entries'!$B$6:$B$505,"&lt;="&amp;'Settings'!$B$7)-SUMIFS('Entries'!$S$6:$S$505,'Entries'!$H$6:$H$505,A77,'Entries'!$R$6:$R$505,"Customer receivables",'Entries'!$B$6:$B$505,"&lt;="&amp;'Settings'!$B$7)+SUMIFS('Entries'!$S$6:$S$505,'Entries'!$H$6:$H$505,A77,'Entries'!$Q$6:$Q$505,"Courier receivables",'Entries'!$B$6:$B$505,"&lt;="&amp;'Settings'!$B$7)-SUMIFS('Entries'!$S$6:$S$505,'Entries'!$H$6:$H$505,A77,'Entries'!$R$6:$R$505,"Courier receivables",'Entries'!$B$6:$B$505,"&lt;="&amp;'Settings'!$B$7))*1)</x:f>
      </x:c>
      <x:c r="J77" s="37" t="str">
        <x:f>IF(A77="","",(SUMIFS('Entries'!$S$6:$S$505,'Entries'!$H$6:$H$505,A77,'Entries'!$Q$6:$Q$505,"Trade payables",'Entries'!$B$6:$B$505,"&lt;="&amp;'Settings'!$B$7)-SUMIFS('Entries'!$S$6:$S$505,'Entries'!$H$6:$H$505,A77,'Entries'!$R$6:$R$505,"Trade payables",'Entries'!$B$6:$B$505,"&lt;="&amp;'Settings'!$B$7))*-1)</x:f>
      </x:c>
      <x:c r="K77" s="37" t="str">
        <x:f>IF(A77="","",(SUMIFS('Entries'!$S$6:$S$505,'Entries'!$H$6:$H$505,A77,'Entries'!$Q$6:$Q$505,"Supplier advances",'Entries'!$B$6:$B$505,"&lt;="&amp;'Settings'!$B$7)-SUMIFS('Entries'!$S$6:$S$505,'Entries'!$H$6:$H$505,A77,'Entries'!$R$6:$R$505,"Supplier advances",'Entries'!$B$6:$B$505,"&lt;="&amp;'Settings'!$B$7))*1)</x:f>
      </x:c>
    </x:row>
    <x:row r="78" ht="23" customHeight="1">
      <x:c r="A78" s="36"/>
      <x:c r="B78" s="36"/>
      <x:c r="C78" s="36"/>
      <x:c r="D78" s="36"/>
      <x:c r="E78" s="36"/>
      <x:c r="F78" s="36"/>
      <x:c r="G78" s="36"/>
      <x:c r="H78" s="36"/>
      <x:c r="I78" s="37" t="str">
        <x:f>IF(A78="","",(SUMIFS('Entries'!$S$6:$S$505,'Entries'!$H$6:$H$505,A78,'Entries'!$Q$6:$Q$505,"Customer receivables",'Entries'!$B$6:$B$505,"&lt;="&amp;'Settings'!$B$7)-SUMIFS('Entries'!$S$6:$S$505,'Entries'!$H$6:$H$505,A78,'Entries'!$R$6:$R$505,"Customer receivables",'Entries'!$B$6:$B$505,"&lt;="&amp;'Settings'!$B$7)+SUMIFS('Entries'!$S$6:$S$505,'Entries'!$H$6:$H$505,A78,'Entries'!$Q$6:$Q$505,"Courier receivables",'Entries'!$B$6:$B$505,"&lt;="&amp;'Settings'!$B$7)-SUMIFS('Entries'!$S$6:$S$505,'Entries'!$H$6:$H$505,A78,'Entries'!$R$6:$R$505,"Courier receivables",'Entries'!$B$6:$B$505,"&lt;="&amp;'Settings'!$B$7))*1)</x:f>
      </x:c>
      <x:c r="J78" s="37" t="str">
        <x:f>IF(A78="","",(SUMIFS('Entries'!$S$6:$S$505,'Entries'!$H$6:$H$505,A78,'Entries'!$Q$6:$Q$505,"Trade payables",'Entries'!$B$6:$B$505,"&lt;="&amp;'Settings'!$B$7)-SUMIFS('Entries'!$S$6:$S$505,'Entries'!$H$6:$H$505,A78,'Entries'!$R$6:$R$505,"Trade payables",'Entries'!$B$6:$B$505,"&lt;="&amp;'Settings'!$B$7))*-1)</x:f>
      </x:c>
      <x:c r="K78" s="37" t="str">
        <x:f>IF(A78="","",(SUMIFS('Entries'!$S$6:$S$505,'Entries'!$H$6:$H$505,A78,'Entries'!$Q$6:$Q$505,"Supplier advances",'Entries'!$B$6:$B$505,"&lt;="&amp;'Settings'!$B$7)-SUMIFS('Entries'!$S$6:$S$505,'Entries'!$H$6:$H$505,A78,'Entries'!$R$6:$R$505,"Supplier advances",'Entries'!$B$6:$B$505,"&lt;="&amp;'Settings'!$B$7))*1)</x:f>
      </x:c>
    </x:row>
    <x:row r="79" ht="23" customHeight="1">
      <x:c r="A79" s="36"/>
      <x:c r="B79" s="36"/>
      <x:c r="C79" s="36"/>
      <x:c r="D79" s="36"/>
      <x:c r="E79" s="36"/>
      <x:c r="F79" s="36"/>
      <x:c r="G79" s="36"/>
      <x:c r="H79" s="36"/>
      <x:c r="I79" s="37" t="str">
        <x:f>IF(A79="","",(SUMIFS('Entries'!$S$6:$S$505,'Entries'!$H$6:$H$505,A79,'Entries'!$Q$6:$Q$505,"Customer receivables",'Entries'!$B$6:$B$505,"&lt;="&amp;'Settings'!$B$7)-SUMIFS('Entries'!$S$6:$S$505,'Entries'!$H$6:$H$505,A79,'Entries'!$R$6:$R$505,"Customer receivables",'Entries'!$B$6:$B$505,"&lt;="&amp;'Settings'!$B$7)+SUMIFS('Entries'!$S$6:$S$505,'Entries'!$H$6:$H$505,A79,'Entries'!$Q$6:$Q$505,"Courier receivables",'Entries'!$B$6:$B$505,"&lt;="&amp;'Settings'!$B$7)-SUMIFS('Entries'!$S$6:$S$505,'Entries'!$H$6:$H$505,A79,'Entries'!$R$6:$R$505,"Courier receivables",'Entries'!$B$6:$B$505,"&lt;="&amp;'Settings'!$B$7))*1)</x:f>
      </x:c>
      <x:c r="J79" s="37" t="str">
        <x:f>IF(A79="","",(SUMIFS('Entries'!$S$6:$S$505,'Entries'!$H$6:$H$505,A79,'Entries'!$Q$6:$Q$505,"Trade payables",'Entries'!$B$6:$B$505,"&lt;="&amp;'Settings'!$B$7)-SUMIFS('Entries'!$S$6:$S$505,'Entries'!$H$6:$H$505,A79,'Entries'!$R$6:$R$505,"Trade payables",'Entries'!$B$6:$B$505,"&lt;="&amp;'Settings'!$B$7))*-1)</x:f>
      </x:c>
      <x:c r="K79" s="37" t="str">
        <x:f>IF(A79="","",(SUMIFS('Entries'!$S$6:$S$505,'Entries'!$H$6:$H$505,A79,'Entries'!$Q$6:$Q$505,"Supplier advances",'Entries'!$B$6:$B$505,"&lt;="&amp;'Settings'!$B$7)-SUMIFS('Entries'!$S$6:$S$505,'Entries'!$H$6:$H$505,A79,'Entries'!$R$6:$R$505,"Supplier advances",'Entries'!$B$6:$B$505,"&lt;="&amp;'Settings'!$B$7))*1)</x:f>
      </x:c>
    </x:row>
    <x:row r="80" ht="23" customHeight="1">
      <x:c r="A80" s="36"/>
      <x:c r="B80" s="36"/>
      <x:c r="C80" s="36"/>
      <x:c r="D80" s="36"/>
      <x:c r="E80" s="36"/>
      <x:c r="F80" s="36"/>
      <x:c r="G80" s="36"/>
      <x:c r="H80" s="36"/>
      <x:c r="I80" s="37" t="str">
        <x:f>IF(A80="","",(SUMIFS('Entries'!$S$6:$S$505,'Entries'!$H$6:$H$505,A80,'Entries'!$Q$6:$Q$505,"Customer receivables",'Entries'!$B$6:$B$505,"&lt;="&amp;'Settings'!$B$7)-SUMIFS('Entries'!$S$6:$S$505,'Entries'!$H$6:$H$505,A80,'Entries'!$R$6:$R$505,"Customer receivables",'Entries'!$B$6:$B$505,"&lt;="&amp;'Settings'!$B$7)+SUMIFS('Entries'!$S$6:$S$505,'Entries'!$H$6:$H$505,A80,'Entries'!$Q$6:$Q$505,"Courier receivables",'Entries'!$B$6:$B$505,"&lt;="&amp;'Settings'!$B$7)-SUMIFS('Entries'!$S$6:$S$505,'Entries'!$H$6:$H$505,A80,'Entries'!$R$6:$R$505,"Courier receivables",'Entries'!$B$6:$B$505,"&lt;="&amp;'Settings'!$B$7))*1)</x:f>
      </x:c>
      <x:c r="J80" s="37" t="str">
        <x:f>IF(A80="","",(SUMIFS('Entries'!$S$6:$S$505,'Entries'!$H$6:$H$505,A80,'Entries'!$Q$6:$Q$505,"Trade payables",'Entries'!$B$6:$B$505,"&lt;="&amp;'Settings'!$B$7)-SUMIFS('Entries'!$S$6:$S$505,'Entries'!$H$6:$H$505,A80,'Entries'!$R$6:$R$505,"Trade payables",'Entries'!$B$6:$B$505,"&lt;="&amp;'Settings'!$B$7))*-1)</x:f>
      </x:c>
      <x:c r="K80" s="37" t="str">
        <x:f>IF(A80="","",(SUMIFS('Entries'!$S$6:$S$505,'Entries'!$H$6:$H$505,A80,'Entries'!$Q$6:$Q$505,"Supplier advances",'Entries'!$B$6:$B$505,"&lt;="&amp;'Settings'!$B$7)-SUMIFS('Entries'!$S$6:$S$505,'Entries'!$H$6:$H$505,A80,'Entries'!$R$6:$R$505,"Supplier advances",'Entries'!$B$6:$B$505,"&lt;="&amp;'Settings'!$B$7))*1)</x:f>
      </x:c>
    </x:row>
    <x:row r="81" ht="23" customHeight="1">
      <x:c r="A81" s="36"/>
      <x:c r="B81" s="36"/>
      <x:c r="C81" s="36"/>
      <x:c r="D81" s="36"/>
      <x:c r="E81" s="36"/>
      <x:c r="F81" s="36"/>
      <x:c r="G81" s="36"/>
      <x:c r="H81" s="36"/>
      <x:c r="I81" s="37" t="str">
        <x:f>IF(A81="","",(SUMIFS('Entries'!$S$6:$S$505,'Entries'!$H$6:$H$505,A81,'Entries'!$Q$6:$Q$505,"Customer receivables",'Entries'!$B$6:$B$505,"&lt;="&amp;'Settings'!$B$7)-SUMIFS('Entries'!$S$6:$S$505,'Entries'!$H$6:$H$505,A81,'Entries'!$R$6:$R$505,"Customer receivables",'Entries'!$B$6:$B$505,"&lt;="&amp;'Settings'!$B$7)+SUMIFS('Entries'!$S$6:$S$505,'Entries'!$H$6:$H$505,A81,'Entries'!$Q$6:$Q$505,"Courier receivables",'Entries'!$B$6:$B$505,"&lt;="&amp;'Settings'!$B$7)-SUMIFS('Entries'!$S$6:$S$505,'Entries'!$H$6:$H$505,A81,'Entries'!$R$6:$R$505,"Courier receivables",'Entries'!$B$6:$B$505,"&lt;="&amp;'Settings'!$B$7))*1)</x:f>
      </x:c>
      <x:c r="J81" s="37" t="str">
        <x:f>IF(A81="","",(SUMIFS('Entries'!$S$6:$S$505,'Entries'!$H$6:$H$505,A81,'Entries'!$Q$6:$Q$505,"Trade payables",'Entries'!$B$6:$B$505,"&lt;="&amp;'Settings'!$B$7)-SUMIFS('Entries'!$S$6:$S$505,'Entries'!$H$6:$H$505,A81,'Entries'!$R$6:$R$505,"Trade payables",'Entries'!$B$6:$B$505,"&lt;="&amp;'Settings'!$B$7))*-1)</x:f>
      </x:c>
      <x:c r="K81" s="37" t="str">
        <x:f>IF(A81="","",(SUMIFS('Entries'!$S$6:$S$505,'Entries'!$H$6:$H$505,A81,'Entries'!$Q$6:$Q$505,"Supplier advances",'Entries'!$B$6:$B$505,"&lt;="&amp;'Settings'!$B$7)-SUMIFS('Entries'!$S$6:$S$505,'Entries'!$H$6:$H$505,A81,'Entries'!$R$6:$R$505,"Supplier advances",'Entries'!$B$6:$B$505,"&lt;="&amp;'Settings'!$B$7))*1)</x:f>
      </x:c>
    </x:row>
    <x:row r="82" ht="23" customHeight="1">
      <x:c r="A82" s="36"/>
      <x:c r="B82" s="36"/>
      <x:c r="C82" s="36"/>
      <x:c r="D82" s="36"/>
      <x:c r="E82" s="36"/>
      <x:c r="F82" s="36"/>
      <x:c r="G82" s="36"/>
      <x:c r="H82" s="36"/>
      <x:c r="I82" s="37" t="str">
        <x:f>IF(A82="","",(SUMIFS('Entries'!$S$6:$S$505,'Entries'!$H$6:$H$505,A82,'Entries'!$Q$6:$Q$505,"Customer receivables",'Entries'!$B$6:$B$505,"&lt;="&amp;'Settings'!$B$7)-SUMIFS('Entries'!$S$6:$S$505,'Entries'!$H$6:$H$505,A82,'Entries'!$R$6:$R$505,"Customer receivables",'Entries'!$B$6:$B$505,"&lt;="&amp;'Settings'!$B$7)+SUMIFS('Entries'!$S$6:$S$505,'Entries'!$H$6:$H$505,A82,'Entries'!$Q$6:$Q$505,"Courier receivables",'Entries'!$B$6:$B$505,"&lt;="&amp;'Settings'!$B$7)-SUMIFS('Entries'!$S$6:$S$505,'Entries'!$H$6:$H$505,A82,'Entries'!$R$6:$R$505,"Courier receivables",'Entries'!$B$6:$B$505,"&lt;="&amp;'Settings'!$B$7))*1)</x:f>
      </x:c>
      <x:c r="J82" s="37" t="str">
        <x:f>IF(A82="","",(SUMIFS('Entries'!$S$6:$S$505,'Entries'!$H$6:$H$505,A82,'Entries'!$Q$6:$Q$505,"Trade payables",'Entries'!$B$6:$B$505,"&lt;="&amp;'Settings'!$B$7)-SUMIFS('Entries'!$S$6:$S$505,'Entries'!$H$6:$H$505,A82,'Entries'!$R$6:$R$505,"Trade payables",'Entries'!$B$6:$B$505,"&lt;="&amp;'Settings'!$B$7))*-1)</x:f>
      </x:c>
      <x:c r="K82" s="37" t="str">
        <x:f>IF(A82="","",(SUMIFS('Entries'!$S$6:$S$505,'Entries'!$H$6:$H$505,A82,'Entries'!$Q$6:$Q$505,"Supplier advances",'Entries'!$B$6:$B$505,"&lt;="&amp;'Settings'!$B$7)-SUMIFS('Entries'!$S$6:$S$505,'Entries'!$H$6:$H$505,A82,'Entries'!$R$6:$R$505,"Supplier advances",'Entries'!$B$6:$B$505,"&lt;="&amp;'Settings'!$B$7))*1)</x:f>
      </x:c>
    </x:row>
    <x:row r="83" ht="23" customHeight="1">
      <x:c r="A83" s="36"/>
      <x:c r="B83" s="36"/>
      <x:c r="C83" s="36"/>
      <x:c r="D83" s="36"/>
      <x:c r="E83" s="36"/>
      <x:c r="F83" s="36"/>
      <x:c r="G83" s="36"/>
      <x:c r="H83" s="36"/>
      <x:c r="I83" s="37" t="str">
        <x:f>IF(A83="","",(SUMIFS('Entries'!$S$6:$S$505,'Entries'!$H$6:$H$505,A83,'Entries'!$Q$6:$Q$505,"Customer receivables",'Entries'!$B$6:$B$505,"&lt;="&amp;'Settings'!$B$7)-SUMIFS('Entries'!$S$6:$S$505,'Entries'!$H$6:$H$505,A83,'Entries'!$R$6:$R$505,"Customer receivables",'Entries'!$B$6:$B$505,"&lt;="&amp;'Settings'!$B$7)+SUMIFS('Entries'!$S$6:$S$505,'Entries'!$H$6:$H$505,A83,'Entries'!$Q$6:$Q$505,"Courier receivables",'Entries'!$B$6:$B$505,"&lt;="&amp;'Settings'!$B$7)-SUMIFS('Entries'!$S$6:$S$505,'Entries'!$H$6:$H$505,A83,'Entries'!$R$6:$R$505,"Courier receivables",'Entries'!$B$6:$B$505,"&lt;="&amp;'Settings'!$B$7))*1)</x:f>
      </x:c>
      <x:c r="J83" s="37" t="str">
        <x:f>IF(A83="","",(SUMIFS('Entries'!$S$6:$S$505,'Entries'!$H$6:$H$505,A83,'Entries'!$Q$6:$Q$505,"Trade payables",'Entries'!$B$6:$B$505,"&lt;="&amp;'Settings'!$B$7)-SUMIFS('Entries'!$S$6:$S$505,'Entries'!$H$6:$H$505,A83,'Entries'!$R$6:$R$505,"Trade payables",'Entries'!$B$6:$B$505,"&lt;="&amp;'Settings'!$B$7))*-1)</x:f>
      </x:c>
      <x:c r="K83" s="37" t="str">
        <x:f>IF(A83="","",(SUMIFS('Entries'!$S$6:$S$505,'Entries'!$H$6:$H$505,A83,'Entries'!$Q$6:$Q$505,"Supplier advances",'Entries'!$B$6:$B$505,"&lt;="&amp;'Settings'!$B$7)-SUMIFS('Entries'!$S$6:$S$505,'Entries'!$H$6:$H$505,A83,'Entries'!$R$6:$R$505,"Supplier advances",'Entries'!$B$6:$B$505,"&lt;="&amp;'Settings'!$B$7))*1)</x:f>
      </x:c>
    </x:row>
    <x:row r="84" ht="23" customHeight="1">
      <x:c r="A84" s="36"/>
      <x:c r="B84" s="36"/>
      <x:c r="C84" s="36"/>
      <x:c r="D84" s="36"/>
      <x:c r="E84" s="36"/>
      <x:c r="F84" s="36"/>
      <x:c r="G84" s="36"/>
      <x:c r="H84" s="36"/>
      <x:c r="I84" s="37" t="str">
        <x:f>IF(A84="","",(SUMIFS('Entries'!$S$6:$S$505,'Entries'!$H$6:$H$505,A84,'Entries'!$Q$6:$Q$505,"Customer receivables",'Entries'!$B$6:$B$505,"&lt;="&amp;'Settings'!$B$7)-SUMIFS('Entries'!$S$6:$S$505,'Entries'!$H$6:$H$505,A84,'Entries'!$R$6:$R$505,"Customer receivables",'Entries'!$B$6:$B$505,"&lt;="&amp;'Settings'!$B$7)+SUMIFS('Entries'!$S$6:$S$505,'Entries'!$H$6:$H$505,A84,'Entries'!$Q$6:$Q$505,"Courier receivables",'Entries'!$B$6:$B$505,"&lt;="&amp;'Settings'!$B$7)-SUMIFS('Entries'!$S$6:$S$505,'Entries'!$H$6:$H$505,A84,'Entries'!$R$6:$R$505,"Courier receivables",'Entries'!$B$6:$B$505,"&lt;="&amp;'Settings'!$B$7))*1)</x:f>
      </x:c>
      <x:c r="J84" s="37" t="str">
        <x:f>IF(A84="","",(SUMIFS('Entries'!$S$6:$S$505,'Entries'!$H$6:$H$505,A84,'Entries'!$Q$6:$Q$505,"Trade payables",'Entries'!$B$6:$B$505,"&lt;="&amp;'Settings'!$B$7)-SUMIFS('Entries'!$S$6:$S$505,'Entries'!$H$6:$H$505,A84,'Entries'!$R$6:$R$505,"Trade payables",'Entries'!$B$6:$B$505,"&lt;="&amp;'Settings'!$B$7))*-1)</x:f>
      </x:c>
      <x:c r="K84" s="37" t="str">
        <x:f>IF(A84="","",(SUMIFS('Entries'!$S$6:$S$505,'Entries'!$H$6:$H$505,A84,'Entries'!$Q$6:$Q$505,"Supplier advances",'Entries'!$B$6:$B$505,"&lt;="&amp;'Settings'!$B$7)-SUMIFS('Entries'!$S$6:$S$505,'Entries'!$H$6:$H$505,A84,'Entries'!$R$6:$R$505,"Supplier advances",'Entries'!$B$6:$B$505,"&lt;="&amp;'Settings'!$B$7))*1)</x:f>
      </x:c>
    </x:row>
    <x:row r="85" ht="23" customHeight="1">
      <x:c r="A85" s="36"/>
      <x:c r="B85" s="36"/>
      <x:c r="C85" s="36"/>
      <x:c r="D85" s="36"/>
      <x:c r="E85" s="36"/>
      <x:c r="F85" s="36"/>
      <x:c r="G85" s="36"/>
      <x:c r="H85" s="36"/>
      <x:c r="I85" s="37" t="str">
        <x:f>IF(A85="","",(SUMIFS('Entries'!$S$6:$S$505,'Entries'!$H$6:$H$505,A85,'Entries'!$Q$6:$Q$505,"Customer receivables",'Entries'!$B$6:$B$505,"&lt;="&amp;'Settings'!$B$7)-SUMIFS('Entries'!$S$6:$S$505,'Entries'!$H$6:$H$505,A85,'Entries'!$R$6:$R$505,"Customer receivables",'Entries'!$B$6:$B$505,"&lt;="&amp;'Settings'!$B$7)+SUMIFS('Entries'!$S$6:$S$505,'Entries'!$H$6:$H$505,A85,'Entries'!$Q$6:$Q$505,"Courier receivables",'Entries'!$B$6:$B$505,"&lt;="&amp;'Settings'!$B$7)-SUMIFS('Entries'!$S$6:$S$505,'Entries'!$H$6:$H$505,A85,'Entries'!$R$6:$R$505,"Courier receivables",'Entries'!$B$6:$B$505,"&lt;="&amp;'Settings'!$B$7))*1)</x:f>
      </x:c>
      <x:c r="J85" s="37" t="str">
        <x:f>IF(A85="","",(SUMIFS('Entries'!$S$6:$S$505,'Entries'!$H$6:$H$505,A85,'Entries'!$Q$6:$Q$505,"Trade payables",'Entries'!$B$6:$B$505,"&lt;="&amp;'Settings'!$B$7)-SUMIFS('Entries'!$S$6:$S$505,'Entries'!$H$6:$H$505,A85,'Entries'!$R$6:$R$505,"Trade payables",'Entries'!$B$6:$B$505,"&lt;="&amp;'Settings'!$B$7))*-1)</x:f>
      </x:c>
      <x:c r="K85" s="37" t="str">
        <x:f>IF(A85="","",(SUMIFS('Entries'!$S$6:$S$505,'Entries'!$H$6:$H$505,A85,'Entries'!$Q$6:$Q$505,"Supplier advances",'Entries'!$B$6:$B$505,"&lt;="&amp;'Settings'!$B$7)-SUMIFS('Entries'!$S$6:$S$505,'Entries'!$H$6:$H$505,A85,'Entries'!$R$6:$R$505,"Supplier advances",'Entries'!$B$6:$B$505,"&lt;="&amp;'Settings'!$B$7))*1)</x:f>
      </x:c>
    </x:row>
    <x:row r="86" ht="23" customHeight="1">
      <x:c r="A86" s="36"/>
      <x:c r="B86" s="36"/>
      <x:c r="C86" s="36"/>
      <x:c r="D86" s="36"/>
      <x:c r="E86" s="36"/>
      <x:c r="F86" s="36"/>
      <x:c r="G86" s="36"/>
      <x:c r="H86" s="36"/>
      <x:c r="I86" s="37" t="str">
        <x:f>IF(A86="","",(SUMIFS('Entries'!$S$6:$S$505,'Entries'!$H$6:$H$505,A86,'Entries'!$Q$6:$Q$505,"Customer receivables",'Entries'!$B$6:$B$505,"&lt;="&amp;'Settings'!$B$7)-SUMIFS('Entries'!$S$6:$S$505,'Entries'!$H$6:$H$505,A86,'Entries'!$R$6:$R$505,"Customer receivables",'Entries'!$B$6:$B$505,"&lt;="&amp;'Settings'!$B$7)+SUMIFS('Entries'!$S$6:$S$505,'Entries'!$H$6:$H$505,A86,'Entries'!$Q$6:$Q$505,"Courier receivables",'Entries'!$B$6:$B$505,"&lt;="&amp;'Settings'!$B$7)-SUMIFS('Entries'!$S$6:$S$505,'Entries'!$H$6:$H$505,A86,'Entries'!$R$6:$R$505,"Courier receivables",'Entries'!$B$6:$B$505,"&lt;="&amp;'Settings'!$B$7))*1)</x:f>
      </x:c>
      <x:c r="J86" s="37" t="str">
        <x:f>IF(A86="","",(SUMIFS('Entries'!$S$6:$S$505,'Entries'!$H$6:$H$505,A86,'Entries'!$Q$6:$Q$505,"Trade payables",'Entries'!$B$6:$B$505,"&lt;="&amp;'Settings'!$B$7)-SUMIFS('Entries'!$S$6:$S$505,'Entries'!$H$6:$H$505,A86,'Entries'!$R$6:$R$505,"Trade payables",'Entries'!$B$6:$B$505,"&lt;="&amp;'Settings'!$B$7))*-1)</x:f>
      </x:c>
      <x:c r="K86" s="37" t="str">
        <x:f>IF(A86="","",(SUMIFS('Entries'!$S$6:$S$505,'Entries'!$H$6:$H$505,A86,'Entries'!$Q$6:$Q$505,"Supplier advances",'Entries'!$B$6:$B$505,"&lt;="&amp;'Settings'!$B$7)-SUMIFS('Entries'!$S$6:$S$505,'Entries'!$H$6:$H$505,A86,'Entries'!$R$6:$R$505,"Supplier advances",'Entries'!$B$6:$B$505,"&lt;="&amp;'Settings'!$B$7))*1)</x:f>
      </x:c>
    </x:row>
    <x:row r="87" ht="23" customHeight="1">
      <x:c r="A87" s="36"/>
      <x:c r="B87" s="36"/>
      <x:c r="C87" s="36"/>
      <x:c r="D87" s="36"/>
      <x:c r="E87" s="36"/>
      <x:c r="F87" s="36"/>
      <x:c r="G87" s="36"/>
      <x:c r="H87" s="36"/>
      <x:c r="I87" s="37" t="str">
        <x:f>IF(A87="","",(SUMIFS('Entries'!$S$6:$S$505,'Entries'!$H$6:$H$505,A87,'Entries'!$Q$6:$Q$505,"Customer receivables",'Entries'!$B$6:$B$505,"&lt;="&amp;'Settings'!$B$7)-SUMIFS('Entries'!$S$6:$S$505,'Entries'!$H$6:$H$505,A87,'Entries'!$R$6:$R$505,"Customer receivables",'Entries'!$B$6:$B$505,"&lt;="&amp;'Settings'!$B$7)+SUMIFS('Entries'!$S$6:$S$505,'Entries'!$H$6:$H$505,A87,'Entries'!$Q$6:$Q$505,"Courier receivables",'Entries'!$B$6:$B$505,"&lt;="&amp;'Settings'!$B$7)-SUMIFS('Entries'!$S$6:$S$505,'Entries'!$H$6:$H$505,A87,'Entries'!$R$6:$R$505,"Courier receivables",'Entries'!$B$6:$B$505,"&lt;="&amp;'Settings'!$B$7))*1)</x:f>
      </x:c>
      <x:c r="J87" s="37" t="str">
        <x:f>IF(A87="","",(SUMIFS('Entries'!$S$6:$S$505,'Entries'!$H$6:$H$505,A87,'Entries'!$Q$6:$Q$505,"Trade payables",'Entries'!$B$6:$B$505,"&lt;="&amp;'Settings'!$B$7)-SUMIFS('Entries'!$S$6:$S$505,'Entries'!$H$6:$H$505,A87,'Entries'!$R$6:$R$505,"Trade payables",'Entries'!$B$6:$B$505,"&lt;="&amp;'Settings'!$B$7))*-1)</x:f>
      </x:c>
      <x:c r="K87" s="37" t="str">
        <x:f>IF(A87="","",(SUMIFS('Entries'!$S$6:$S$505,'Entries'!$H$6:$H$505,A87,'Entries'!$Q$6:$Q$505,"Supplier advances",'Entries'!$B$6:$B$505,"&lt;="&amp;'Settings'!$B$7)-SUMIFS('Entries'!$S$6:$S$505,'Entries'!$H$6:$H$505,A87,'Entries'!$R$6:$R$505,"Supplier advances",'Entries'!$B$6:$B$505,"&lt;="&amp;'Settings'!$B$7))*1)</x:f>
      </x:c>
    </x:row>
    <x:row r="88" ht="23" customHeight="1">
      <x:c r="A88" s="36"/>
      <x:c r="B88" s="36"/>
      <x:c r="C88" s="36"/>
      <x:c r="D88" s="36"/>
      <x:c r="E88" s="36"/>
      <x:c r="F88" s="36"/>
      <x:c r="G88" s="36"/>
      <x:c r="H88" s="36"/>
      <x:c r="I88" s="37" t="str">
        <x:f>IF(A88="","",(SUMIFS('Entries'!$S$6:$S$505,'Entries'!$H$6:$H$505,A88,'Entries'!$Q$6:$Q$505,"Customer receivables",'Entries'!$B$6:$B$505,"&lt;="&amp;'Settings'!$B$7)-SUMIFS('Entries'!$S$6:$S$505,'Entries'!$H$6:$H$505,A88,'Entries'!$R$6:$R$505,"Customer receivables",'Entries'!$B$6:$B$505,"&lt;="&amp;'Settings'!$B$7)+SUMIFS('Entries'!$S$6:$S$505,'Entries'!$H$6:$H$505,A88,'Entries'!$Q$6:$Q$505,"Courier receivables",'Entries'!$B$6:$B$505,"&lt;="&amp;'Settings'!$B$7)-SUMIFS('Entries'!$S$6:$S$505,'Entries'!$H$6:$H$505,A88,'Entries'!$R$6:$R$505,"Courier receivables",'Entries'!$B$6:$B$505,"&lt;="&amp;'Settings'!$B$7))*1)</x:f>
      </x:c>
      <x:c r="J88" s="37" t="str">
        <x:f>IF(A88="","",(SUMIFS('Entries'!$S$6:$S$505,'Entries'!$H$6:$H$505,A88,'Entries'!$Q$6:$Q$505,"Trade payables",'Entries'!$B$6:$B$505,"&lt;="&amp;'Settings'!$B$7)-SUMIFS('Entries'!$S$6:$S$505,'Entries'!$H$6:$H$505,A88,'Entries'!$R$6:$R$505,"Trade payables",'Entries'!$B$6:$B$505,"&lt;="&amp;'Settings'!$B$7))*-1)</x:f>
      </x:c>
      <x:c r="K88" s="37" t="str">
        <x:f>IF(A88="","",(SUMIFS('Entries'!$S$6:$S$505,'Entries'!$H$6:$H$505,A88,'Entries'!$Q$6:$Q$505,"Supplier advances",'Entries'!$B$6:$B$505,"&lt;="&amp;'Settings'!$B$7)-SUMIFS('Entries'!$S$6:$S$505,'Entries'!$H$6:$H$505,A88,'Entries'!$R$6:$R$505,"Supplier advances",'Entries'!$B$6:$B$505,"&lt;="&amp;'Settings'!$B$7))*1)</x:f>
      </x:c>
    </x:row>
    <x:row r="89" ht="23" customHeight="1">
      <x:c r="A89" s="36"/>
      <x:c r="B89" s="36"/>
      <x:c r="C89" s="36"/>
      <x:c r="D89" s="36"/>
      <x:c r="E89" s="36"/>
      <x:c r="F89" s="36"/>
      <x:c r="G89" s="36"/>
      <x:c r="H89" s="36"/>
      <x:c r="I89" s="37" t="str">
        <x:f>IF(A89="","",(SUMIFS('Entries'!$S$6:$S$505,'Entries'!$H$6:$H$505,A89,'Entries'!$Q$6:$Q$505,"Customer receivables",'Entries'!$B$6:$B$505,"&lt;="&amp;'Settings'!$B$7)-SUMIFS('Entries'!$S$6:$S$505,'Entries'!$H$6:$H$505,A89,'Entries'!$R$6:$R$505,"Customer receivables",'Entries'!$B$6:$B$505,"&lt;="&amp;'Settings'!$B$7)+SUMIFS('Entries'!$S$6:$S$505,'Entries'!$H$6:$H$505,A89,'Entries'!$Q$6:$Q$505,"Courier receivables",'Entries'!$B$6:$B$505,"&lt;="&amp;'Settings'!$B$7)-SUMIFS('Entries'!$S$6:$S$505,'Entries'!$H$6:$H$505,A89,'Entries'!$R$6:$R$505,"Courier receivables",'Entries'!$B$6:$B$505,"&lt;="&amp;'Settings'!$B$7))*1)</x:f>
      </x:c>
      <x:c r="J89" s="37" t="str">
        <x:f>IF(A89="","",(SUMIFS('Entries'!$S$6:$S$505,'Entries'!$H$6:$H$505,A89,'Entries'!$Q$6:$Q$505,"Trade payables",'Entries'!$B$6:$B$505,"&lt;="&amp;'Settings'!$B$7)-SUMIFS('Entries'!$S$6:$S$505,'Entries'!$H$6:$H$505,A89,'Entries'!$R$6:$R$505,"Trade payables",'Entries'!$B$6:$B$505,"&lt;="&amp;'Settings'!$B$7))*-1)</x:f>
      </x:c>
      <x:c r="K89" s="37" t="str">
        <x:f>IF(A89="","",(SUMIFS('Entries'!$S$6:$S$505,'Entries'!$H$6:$H$505,A89,'Entries'!$Q$6:$Q$505,"Supplier advances",'Entries'!$B$6:$B$505,"&lt;="&amp;'Settings'!$B$7)-SUMIFS('Entries'!$S$6:$S$505,'Entries'!$H$6:$H$505,A89,'Entries'!$R$6:$R$505,"Supplier advances",'Entries'!$B$6:$B$505,"&lt;="&amp;'Settings'!$B$7))*1)</x:f>
      </x:c>
    </x:row>
    <x:row r="90" ht="23" customHeight="1">
      <x:c r="A90" s="36"/>
      <x:c r="B90" s="36"/>
      <x:c r="C90" s="36"/>
      <x:c r="D90" s="36"/>
      <x:c r="E90" s="36"/>
      <x:c r="F90" s="36"/>
      <x:c r="G90" s="36"/>
      <x:c r="H90" s="36"/>
      <x:c r="I90" s="37" t="str">
        <x:f>IF(A90="","",(SUMIFS('Entries'!$S$6:$S$505,'Entries'!$H$6:$H$505,A90,'Entries'!$Q$6:$Q$505,"Customer receivables",'Entries'!$B$6:$B$505,"&lt;="&amp;'Settings'!$B$7)-SUMIFS('Entries'!$S$6:$S$505,'Entries'!$H$6:$H$505,A90,'Entries'!$R$6:$R$505,"Customer receivables",'Entries'!$B$6:$B$505,"&lt;="&amp;'Settings'!$B$7)+SUMIFS('Entries'!$S$6:$S$505,'Entries'!$H$6:$H$505,A90,'Entries'!$Q$6:$Q$505,"Courier receivables",'Entries'!$B$6:$B$505,"&lt;="&amp;'Settings'!$B$7)-SUMIFS('Entries'!$S$6:$S$505,'Entries'!$H$6:$H$505,A90,'Entries'!$R$6:$R$505,"Courier receivables",'Entries'!$B$6:$B$505,"&lt;="&amp;'Settings'!$B$7))*1)</x:f>
      </x:c>
      <x:c r="J90" s="37" t="str">
        <x:f>IF(A90="","",(SUMIFS('Entries'!$S$6:$S$505,'Entries'!$H$6:$H$505,A90,'Entries'!$Q$6:$Q$505,"Trade payables",'Entries'!$B$6:$B$505,"&lt;="&amp;'Settings'!$B$7)-SUMIFS('Entries'!$S$6:$S$505,'Entries'!$H$6:$H$505,A90,'Entries'!$R$6:$R$505,"Trade payables",'Entries'!$B$6:$B$505,"&lt;="&amp;'Settings'!$B$7))*-1)</x:f>
      </x:c>
      <x:c r="K90" s="37" t="str">
        <x:f>IF(A90="","",(SUMIFS('Entries'!$S$6:$S$505,'Entries'!$H$6:$H$505,A90,'Entries'!$Q$6:$Q$505,"Supplier advances",'Entries'!$B$6:$B$505,"&lt;="&amp;'Settings'!$B$7)-SUMIFS('Entries'!$S$6:$S$505,'Entries'!$H$6:$H$505,A90,'Entries'!$R$6:$R$505,"Supplier advances",'Entries'!$B$6:$B$505,"&lt;="&amp;'Settings'!$B$7))*1)</x:f>
      </x:c>
    </x:row>
    <x:row r="91" ht="23" customHeight="1">
      <x:c r="A91" s="36"/>
      <x:c r="B91" s="36"/>
      <x:c r="C91" s="36"/>
      <x:c r="D91" s="36"/>
      <x:c r="E91" s="36"/>
      <x:c r="F91" s="36"/>
      <x:c r="G91" s="36"/>
      <x:c r="H91" s="36"/>
      <x:c r="I91" s="37" t="str">
        <x:f>IF(A91="","",(SUMIFS('Entries'!$S$6:$S$505,'Entries'!$H$6:$H$505,A91,'Entries'!$Q$6:$Q$505,"Customer receivables",'Entries'!$B$6:$B$505,"&lt;="&amp;'Settings'!$B$7)-SUMIFS('Entries'!$S$6:$S$505,'Entries'!$H$6:$H$505,A91,'Entries'!$R$6:$R$505,"Customer receivables",'Entries'!$B$6:$B$505,"&lt;="&amp;'Settings'!$B$7)+SUMIFS('Entries'!$S$6:$S$505,'Entries'!$H$6:$H$505,A91,'Entries'!$Q$6:$Q$505,"Courier receivables",'Entries'!$B$6:$B$505,"&lt;="&amp;'Settings'!$B$7)-SUMIFS('Entries'!$S$6:$S$505,'Entries'!$H$6:$H$505,A91,'Entries'!$R$6:$R$505,"Courier receivables",'Entries'!$B$6:$B$505,"&lt;="&amp;'Settings'!$B$7))*1)</x:f>
      </x:c>
      <x:c r="J91" s="37" t="str">
        <x:f>IF(A91="","",(SUMIFS('Entries'!$S$6:$S$505,'Entries'!$H$6:$H$505,A91,'Entries'!$Q$6:$Q$505,"Trade payables",'Entries'!$B$6:$B$505,"&lt;="&amp;'Settings'!$B$7)-SUMIFS('Entries'!$S$6:$S$505,'Entries'!$H$6:$H$505,A91,'Entries'!$R$6:$R$505,"Trade payables",'Entries'!$B$6:$B$505,"&lt;="&amp;'Settings'!$B$7))*-1)</x:f>
      </x:c>
      <x:c r="K91" s="37" t="str">
        <x:f>IF(A91="","",(SUMIFS('Entries'!$S$6:$S$505,'Entries'!$H$6:$H$505,A91,'Entries'!$Q$6:$Q$505,"Supplier advances",'Entries'!$B$6:$B$505,"&lt;="&amp;'Settings'!$B$7)-SUMIFS('Entries'!$S$6:$S$505,'Entries'!$H$6:$H$505,A91,'Entries'!$R$6:$R$505,"Supplier advances",'Entries'!$B$6:$B$505,"&lt;="&amp;'Settings'!$B$7))*1)</x:f>
      </x:c>
    </x:row>
    <x:row r="92" ht="23" customHeight="1">
      <x:c r="A92" s="36"/>
      <x:c r="B92" s="36"/>
      <x:c r="C92" s="36"/>
      <x:c r="D92" s="36"/>
      <x:c r="E92" s="36"/>
      <x:c r="F92" s="36"/>
      <x:c r="G92" s="36"/>
      <x:c r="H92" s="36"/>
      <x:c r="I92" s="37" t="str">
        <x:f>IF(A92="","",(SUMIFS('Entries'!$S$6:$S$505,'Entries'!$H$6:$H$505,A92,'Entries'!$Q$6:$Q$505,"Customer receivables",'Entries'!$B$6:$B$505,"&lt;="&amp;'Settings'!$B$7)-SUMIFS('Entries'!$S$6:$S$505,'Entries'!$H$6:$H$505,A92,'Entries'!$R$6:$R$505,"Customer receivables",'Entries'!$B$6:$B$505,"&lt;="&amp;'Settings'!$B$7)+SUMIFS('Entries'!$S$6:$S$505,'Entries'!$H$6:$H$505,A92,'Entries'!$Q$6:$Q$505,"Courier receivables",'Entries'!$B$6:$B$505,"&lt;="&amp;'Settings'!$B$7)-SUMIFS('Entries'!$S$6:$S$505,'Entries'!$H$6:$H$505,A92,'Entries'!$R$6:$R$505,"Courier receivables",'Entries'!$B$6:$B$505,"&lt;="&amp;'Settings'!$B$7))*1)</x:f>
      </x:c>
      <x:c r="J92" s="37" t="str">
        <x:f>IF(A92="","",(SUMIFS('Entries'!$S$6:$S$505,'Entries'!$H$6:$H$505,A92,'Entries'!$Q$6:$Q$505,"Trade payables",'Entries'!$B$6:$B$505,"&lt;="&amp;'Settings'!$B$7)-SUMIFS('Entries'!$S$6:$S$505,'Entries'!$H$6:$H$505,A92,'Entries'!$R$6:$R$505,"Trade payables",'Entries'!$B$6:$B$505,"&lt;="&amp;'Settings'!$B$7))*-1)</x:f>
      </x:c>
      <x:c r="K92" s="37" t="str">
        <x:f>IF(A92="","",(SUMIFS('Entries'!$S$6:$S$505,'Entries'!$H$6:$H$505,A92,'Entries'!$Q$6:$Q$505,"Supplier advances",'Entries'!$B$6:$B$505,"&lt;="&amp;'Settings'!$B$7)-SUMIFS('Entries'!$S$6:$S$505,'Entries'!$H$6:$H$505,A92,'Entries'!$R$6:$R$505,"Supplier advances",'Entries'!$B$6:$B$505,"&lt;="&amp;'Settings'!$B$7))*1)</x:f>
      </x:c>
    </x:row>
    <x:row r="93" ht="23" customHeight="1">
      <x:c r="A93" s="36"/>
      <x:c r="B93" s="36"/>
      <x:c r="C93" s="36"/>
      <x:c r="D93" s="36"/>
      <x:c r="E93" s="36"/>
      <x:c r="F93" s="36"/>
      <x:c r="G93" s="36"/>
      <x:c r="H93" s="36"/>
      <x:c r="I93" s="37" t="str">
        <x:f>IF(A93="","",(SUMIFS('Entries'!$S$6:$S$505,'Entries'!$H$6:$H$505,A93,'Entries'!$Q$6:$Q$505,"Customer receivables",'Entries'!$B$6:$B$505,"&lt;="&amp;'Settings'!$B$7)-SUMIFS('Entries'!$S$6:$S$505,'Entries'!$H$6:$H$505,A93,'Entries'!$R$6:$R$505,"Customer receivables",'Entries'!$B$6:$B$505,"&lt;="&amp;'Settings'!$B$7)+SUMIFS('Entries'!$S$6:$S$505,'Entries'!$H$6:$H$505,A93,'Entries'!$Q$6:$Q$505,"Courier receivables",'Entries'!$B$6:$B$505,"&lt;="&amp;'Settings'!$B$7)-SUMIFS('Entries'!$S$6:$S$505,'Entries'!$H$6:$H$505,A93,'Entries'!$R$6:$R$505,"Courier receivables",'Entries'!$B$6:$B$505,"&lt;="&amp;'Settings'!$B$7))*1)</x:f>
      </x:c>
      <x:c r="J93" s="37" t="str">
        <x:f>IF(A93="","",(SUMIFS('Entries'!$S$6:$S$505,'Entries'!$H$6:$H$505,A93,'Entries'!$Q$6:$Q$505,"Trade payables",'Entries'!$B$6:$B$505,"&lt;="&amp;'Settings'!$B$7)-SUMIFS('Entries'!$S$6:$S$505,'Entries'!$H$6:$H$505,A93,'Entries'!$R$6:$R$505,"Trade payables",'Entries'!$B$6:$B$505,"&lt;="&amp;'Settings'!$B$7))*-1)</x:f>
      </x:c>
      <x:c r="K93" s="37" t="str">
        <x:f>IF(A93="","",(SUMIFS('Entries'!$S$6:$S$505,'Entries'!$H$6:$H$505,A93,'Entries'!$Q$6:$Q$505,"Supplier advances",'Entries'!$B$6:$B$505,"&lt;="&amp;'Settings'!$B$7)-SUMIFS('Entries'!$S$6:$S$505,'Entries'!$H$6:$H$505,A93,'Entries'!$R$6:$R$505,"Supplier advances",'Entries'!$B$6:$B$505,"&lt;="&amp;'Settings'!$B$7))*1)</x:f>
      </x:c>
    </x:row>
    <x:row r="94" ht="23" customHeight="1">
      <x:c r="A94" s="36"/>
      <x:c r="B94" s="36"/>
      <x:c r="C94" s="36"/>
      <x:c r="D94" s="36"/>
      <x:c r="E94" s="36"/>
      <x:c r="F94" s="36"/>
      <x:c r="G94" s="36"/>
      <x:c r="H94" s="36"/>
      <x:c r="I94" s="37" t="str">
        <x:f>IF(A94="","",(SUMIFS('Entries'!$S$6:$S$505,'Entries'!$H$6:$H$505,A94,'Entries'!$Q$6:$Q$505,"Customer receivables",'Entries'!$B$6:$B$505,"&lt;="&amp;'Settings'!$B$7)-SUMIFS('Entries'!$S$6:$S$505,'Entries'!$H$6:$H$505,A94,'Entries'!$R$6:$R$505,"Customer receivables",'Entries'!$B$6:$B$505,"&lt;="&amp;'Settings'!$B$7)+SUMIFS('Entries'!$S$6:$S$505,'Entries'!$H$6:$H$505,A94,'Entries'!$Q$6:$Q$505,"Courier receivables",'Entries'!$B$6:$B$505,"&lt;="&amp;'Settings'!$B$7)-SUMIFS('Entries'!$S$6:$S$505,'Entries'!$H$6:$H$505,A94,'Entries'!$R$6:$R$505,"Courier receivables",'Entries'!$B$6:$B$505,"&lt;="&amp;'Settings'!$B$7))*1)</x:f>
      </x:c>
      <x:c r="J94" s="37" t="str">
        <x:f>IF(A94="","",(SUMIFS('Entries'!$S$6:$S$505,'Entries'!$H$6:$H$505,A94,'Entries'!$Q$6:$Q$505,"Trade payables",'Entries'!$B$6:$B$505,"&lt;="&amp;'Settings'!$B$7)-SUMIFS('Entries'!$S$6:$S$505,'Entries'!$H$6:$H$505,A94,'Entries'!$R$6:$R$505,"Trade payables",'Entries'!$B$6:$B$505,"&lt;="&amp;'Settings'!$B$7))*-1)</x:f>
      </x:c>
      <x:c r="K94" s="37" t="str">
        <x:f>IF(A94="","",(SUMIFS('Entries'!$S$6:$S$505,'Entries'!$H$6:$H$505,A94,'Entries'!$Q$6:$Q$505,"Supplier advances",'Entries'!$B$6:$B$505,"&lt;="&amp;'Settings'!$B$7)-SUMIFS('Entries'!$S$6:$S$505,'Entries'!$H$6:$H$505,A94,'Entries'!$R$6:$R$505,"Supplier advances",'Entries'!$B$6:$B$505,"&lt;="&amp;'Settings'!$B$7))*1)</x:f>
      </x:c>
    </x:row>
    <x:row r="95" ht="23" customHeight="1">
      <x:c r="A95" s="36"/>
      <x:c r="B95" s="36"/>
      <x:c r="C95" s="36"/>
      <x:c r="D95" s="36"/>
      <x:c r="E95" s="36"/>
      <x:c r="F95" s="36"/>
      <x:c r="G95" s="36"/>
      <x:c r="H95" s="36"/>
      <x:c r="I95" s="37" t="str">
        <x:f>IF(A95="","",(SUMIFS('Entries'!$S$6:$S$505,'Entries'!$H$6:$H$505,A95,'Entries'!$Q$6:$Q$505,"Customer receivables",'Entries'!$B$6:$B$505,"&lt;="&amp;'Settings'!$B$7)-SUMIFS('Entries'!$S$6:$S$505,'Entries'!$H$6:$H$505,A95,'Entries'!$R$6:$R$505,"Customer receivables",'Entries'!$B$6:$B$505,"&lt;="&amp;'Settings'!$B$7)+SUMIFS('Entries'!$S$6:$S$505,'Entries'!$H$6:$H$505,A95,'Entries'!$Q$6:$Q$505,"Courier receivables",'Entries'!$B$6:$B$505,"&lt;="&amp;'Settings'!$B$7)-SUMIFS('Entries'!$S$6:$S$505,'Entries'!$H$6:$H$505,A95,'Entries'!$R$6:$R$505,"Courier receivables",'Entries'!$B$6:$B$505,"&lt;="&amp;'Settings'!$B$7))*1)</x:f>
      </x:c>
      <x:c r="J95" s="37" t="str">
        <x:f>IF(A95="","",(SUMIFS('Entries'!$S$6:$S$505,'Entries'!$H$6:$H$505,A95,'Entries'!$Q$6:$Q$505,"Trade payables",'Entries'!$B$6:$B$505,"&lt;="&amp;'Settings'!$B$7)-SUMIFS('Entries'!$S$6:$S$505,'Entries'!$H$6:$H$505,A95,'Entries'!$R$6:$R$505,"Trade payables",'Entries'!$B$6:$B$505,"&lt;="&amp;'Settings'!$B$7))*-1)</x:f>
      </x:c>
      <x:c r="K95" s="37" t="str">
        <x:f>IF(A95="","",(SUMIFS('Entries'!$S$6:$S$505,'Entries'!$H$6:$H$505,A95,'Entries'!$Q$6:$Q$505,"Supplier advances",'Entries'!$B$6:$B$505,"&lt;="&amp;'Settings'!$B$7)-SUMIFS('Entries'!$S$6:$S$505,'Entries'!$H$6:$H$505,A95,'Entries'!$R$6:$R$505,"Supplier advances",'Entries'!$B$6:$B$505,"&lt;="&amp;'Settings'!$B$7))*1)</x:f>
      </x:c>
    </x:row>
    <x:row r="96" ht="23" customHeight="1">
      <x:c r="A96" s="36"/>
      <x:c r="B96" s="36"/>
      <x:c r="C96" s="36"/>
      <x:c r="D96" s="36"/>
      <x:c r="E96" s="36"/>
      <x:c r="F96" s="36"/>
      <x:c r="G96" s="36"/>
      <x:c r="H96" s="36"/>
      <x:c r="I96" s="37" t="str">
        <x:f>IF(A96="","",(SUMIFS('Entries'!$S$6:$S$505,'Entries'!$H$6:$H$505,A96,'Entries'!$Q$6:$Q$505,"Customer receivables",'Entries'!$B$6:$B$505,"&lt;="&amp;'Settings'!$B$7)-SUMIFS('Entries'!$S$6:$S$505,'Entries'!$H$6:$H$505,A96,'Entries'!$R$6:$R$505,"Customer receivables",'Entries'!$B$6:$B$505,"&lt;="&amp;'Settings'!$B$7)+SUMIFS('Entries'!$S$6:$S$505,'Entries'!$H$6:$H$505,A96,'Entries'!$Q$6:$Q$505,"Courier receivables",'Entries'!$B$6:$B$505,"&lt;="&amp;'Settings'!$B$7)-SUMIFS('Entries'!$S$6:$S$505,'Entries'!$H$6:$H$505,A96,'Entries'!$R$6:$R$505,"Courier receivables",'Entries'!$B$6:$B$505,"&lt;="&amp;'Settings'!$B$7))*1)</x:f>
      </x:c>
      <x:c r="J96" s="37" t="str">
        <x:f>IF(A96="","",(SUMIFS('Entries'!$S$6:$S$505,'Entries'!$H$6:$H$505,A96,'Entries'!$Q$6:$Q$505,"Trade payables",'Entries'!$B$6:$B$505,"&lt;="&amp;'Settings'!$B$7)-SUMIFS('Entries'!$S$6:$S$505,'Entries'!$H$6:$H$505,A96,'Entries'!$R$6:$R$505,"Trade payables",'Entries'!$B$6:$B$505,"&lt;="&amp;'Settings'!$B$7))*-1)</x:f>
      </x:c>
      <x:c r="K96" s="37" t="str">
        <x:f>IF(A96="","",(SUMIFS('Entries'!$S$6:$S$505,'Entries'!$H$6:$H$505,A96,'Entries'!$Q$6:$Q$505,"Supplier advances",'Entries'!$B$6:$B$505,"&lt;="&amp;'Settings'!$B$7)-SUMIFS('Entries'!$S$6:$S$505,'Entries'!$H$6:$H$505,A96,'Entries'!$R$6:$R$505,"Supplier advances",'Entries'!$B$6:$B$505,"&lt;="&amp;'Settings'!$B$7))*1)</x:f>
      </x:c>
    </x:row>
    <x:row r="97" ht="23" customHeight="1">
      <x:c r="A97" s="36"/>
      <x:c r="B97" s="36"/>
      <x:c r="C97" s="36"/>
      <x:c r="D97" s="36"/>
      <x:c r="E97" s="36"/>
      <x:c r="F97" s="36"/>
      <x:c r="G97" s="36"/>
      <x:c r="H97" s="36"/>
      <x:c r="I97" s="37" t="str">
        <x:f>IF(A97="","",(SUMIFS('Entries'!$S$6:$S$505,'Entries'!$H$6:$H$505,A97,'Entries'!$Q$6:$Q$505,"Customer receivables",'Entries'!$B$6:$B$505,"&lt;="&amp;'Settings'!$B$7)-SUMIFS('Entries'!$S$6:$S$505,'Entries'!$H$6:$H$505,A97,'Entries'!$R$6:$R$505,"Customer receivables",'Entries'!$B$6:$B$505,"&lt;="&amp;'Settings'!$B$7)+SUMIFS('Entries'!$S$6:$S$505,'Entries'!$H$6:$H$505,A97,'Entries'!$Q$6:$Q$505,"Courier receivables",'Entries'!$B$6:$B$505,"&lt;="&amp;'Settings'!$B$7)-SUMIFS('Entries'!$S$6:$S$505,'Entries'!$H$6:$H$505,A97,'Entries'!$R$6:$R$505,"Courier receivables",'Entries'!$B$6:$B$505,"&lt;="&amp;'Settings'!$B$7))*1)</x:f>
      </x:c>
      <x:c r="J97" s="37" t="str">
        <x:f>IF(A97="","",(SUMIFS('Entries'!$S$6:$S$505,'Entries'!$H$6:$H$505,A97,'Entries'!$Q$6:$Q$505,"Trade payables",'Entries'!$B$6:$B$505,"&lt;="&amp;'Settings'!$B$7)-SUMIFS('Entries'!$S$6:$S$505,'Entries'!$H$6:$H$505,A97,'Entries'!$R$6:$R$505,"Trade payables",'Entries'!$B$6:$B$505,"&lt;="&amp;'Settings'!$B$7))*-1)</x:f>
      </x:c>
      <x:c r="K97" s="37" t="str">
        <x:f>IF(A97="","",(SUMIFS('Entries'!$S$6:$S$505,'Entries'!$H$6:$H$505,A97,'Entries'!$Q$6:$Q$505,"Supplier advances",'Entries'!$B$6:$B$505,"&lt;="&amp;'Settings'!$B$7)-SUMIFS('Entries'!$S$6:$S$505,'Entries'!$H$6:$H$505,A97,'Entries'!$R$6:$R$505,"Supplier advances",'Entries'!$B$6:$B$505,"&lt;="&amp;'Settings'!$B$7))*1)</x:f>
      </x:c>
    </x:row>
    <x:row r="98" ht="23" customHeight="1">
      <x:c r="A98" s="36"/>
      <x:c r="B98" s="36"/>
      <x:c r="C98" s="36"/>
      <x:c r="D98" s="36"/>
      <x:c r="E98" s="36"/>
      <x:c r="F98" s="36"/>
      <x:c r="G98" s="36"/>
      <x:c r="H98" s="36"/>
      <x:c r="I98" s="37" t="str">
        <x:f>IF(A98="","",(SUMIFS('Entries'!$S$6:$S$505,'Entries'!$H$6:$H$505,A98,'Entries'!$Q$6:$Q$505,"Customer receivables",'Entries'!$B$6:$B$505,"&lt;="&amp;'Settings'!$B$7)-SUMIFS('Entries'!$S$6:$S$505,'Entries'!$H$6:$H$505,A98,'Entries'!$R$6:$R$505,"Customer receivables",'Entries'!$B$6:$B$505,"&lt;="&amp;'Settings'!$B$7)+SUMIFS('Entries'!$S$6:$S$505,'Entries'!$H$6:$H$505,A98,'Entries'!$Q$6:$Q$505,"Courier receivables",'Entries'!$B$6:$B$505,"&lt;="&amp;'Settings'!$B$7)-SUMIFS('Entries'!$S$6:$S$505,'Entries'!$H$6:$H$505,A98,'Entries'!$R$6:$R$505,"Courier receivables",'Entries'!$B$6:$B$505,"&lt;="&amp;'Settings'!$B$7))*1)</x:f>
      </x:c>
      <x:c r="J98" s="37" t="str">
        <x:f>IF(A98="","",(SUMIFS('Entries'!$S$6:$S$505,'Entries'!$H$6:$H$505,A98,'Entries'!$Q$6:$Q$505,"Trade payables",'Entries'!$B$6:$B$505,"&lt;="&amp;'Settings'!$B$7)-SUMIFS('Entries'!$S$6:$S$505,'Entries'!$H$6:$H$505,A98,'Entries'!$R$6:$R$505,"Trade payables",'Entries'!$B$6:$B$505,"&lt;="&amp;'Settings'!$B$7))*-1)</x:f>
      </x:c>
      <x:c r="K98" s="37" t="str">
        <x:f>IF(A98="","",(SUMIFS('Entries'!$S$6:$S$505,'Entries'!$H$6:$H$505,A98,'Entries'!$Q$6:$Q$505,"Supplier advances",'Entries'!$B$6:$B$505,"&lt;="&amp;'Settings'!$B$7)-SUMIFS('Entries'!$S$6:$S$505,'Entries'!$H$6:$H$505,A98,'Entries'!$R$6:$R$505,"Supplier advances",'Entries'!$B$6:$B$505,"&lt;="&amp;'Settings'!$B$7))*1)</x:f>
      </x:c>
    </x:row>
    <x:row r="99" ht="23" customHeight="1">
      <x:c r="A99" s="36"/>
      <x:c r="B99" s="36"/>
      <x:c r="C99" s="36"/>
      <x:c r="D99" s="36"/>
      <x:c r="E99" s="36"/>
      <x:c r="F99" s="36"/>
      <x:c r="G99" s="36"/>
      <x:c r="H99" s="36"/>
      <x:c r="I99" s="37" t="str">
        <x:f>IF(A99="","",(SUMIFS('Entries'!$S$6:$S$505,'Entries'!$H$6:$H$505,A99,'Entries'!$Q$6:$Q$505,"Customer receivables",'Entries'!$B$6:$B$505,"&lt;="&amp;'Settings'!$B$7)-SUMIFS('Entries'!$S$6:$S$505,'Entries'!$H$6:$H$505,A99,'Entries'!$R$6:$R$505,"Customer receivables",'Entries'!$B$6:$B$505,"&lt;="&amp;'Settings'!$B$7)+SUMIFS('Entries'!$S$6:$S$505,'Entries'!$H$6:$H$505,A99,'Entries'!$Q$6:$Q$505,"Courier receivables",'Entries'!$B$6:$B$505,"&lt;="&amp;'Settings'!$B$7)-SUMIFS('Entries'!$S$6:$S$505,'Entries'!$H$6:$H$505,A99,'Entries'!$R$6:$R$505,"Courier receivables",'Entries'!$B$6:$B$505,"&lt;="&amp;'Settings'!$B$7))*1)</x:f>
      </x:c>
      <x:c r="J99" s="37" t="str">
        <x:f>IF(A99="","",(SUMIFS('Entries'!$S$6:$S$505,'Entries'!$H$6:$H$505,A99,'Entries'!$Q$6:$Q$505,"Trade payables",'Entries'!$B$6:$B$505,"&lt;="&amp;'Settings'!$B$7)-SUMIFS('Entries'!$S$6:$S$505,'Entries'!$H$6:$H$505,A99,'Entries'!$R$6:$R$505,"Trade payables",'Entries'!$B$6:$B$505,"&lt;="&amp;'Settings'!$B$7))*-1)</x:f>
      </x:c>
      <x:c r="K99" s="37" t="str">
        <x:f>IF(A99="","",(SUMIFS('Entries'!$S$6:$S$505,'Entries'!$H$6:$H$505,A99,'Entries'!$Q$6:$Q$505,"Supplier advances",'Entries'!$B$6:$B$505,"&lt;="&amp;'Settings'!$B$7)-SUMIFS('Entries'!$S$6:$S$505,'Entries'!$H$6:$H$505,A99,'Entries'!$R$6:$R$505,"Supplier advances",'Entries'!$B$6:$B$505,"&lt;="&amp;'Settings'!$B$7))*1)</x:f>
      </x:c>
    </x:row>
    <x:row r="100" ht="23" customHeight="1">
      <x:c r="A100" s="36"/>
      <x:c r="B100" s="36"/>
      <x:c r="C100" s="36"/>
      <x:c r="D100" s="36"/>
      <x:c r="E100" s="36"/>
      <x:c r="F100" s="36"/>
      <x:c r="G100" s="36"/>
      <x:c r="H100" s="36"/>
      <x:c r="I100" s="37" t="str">
        <x:f>IF(A100="","",(SUMIFS('Entries'!$S$6:$S$505,'Entries'!$H$6:$H$505,A100,'Entries'!$Q$6:$Q$505,"Customer receivables",'Entries'!$B$6:$B$505,"&lt;="&amp;'Settings'!$B$7)-SUMIFS('Entries'!$S$6:$S$505,'Entries'!$H$6:$H$505,A100,'Entries'!$R$6:$R$505,"Customer receivables",'Entries'!$B$6:$B$505,"&lt;="&amp;'Settings'!$B$7)+SUMIFS('Entries'!$S$6:$S$505,'Entries'!$H$6:$H$505,A100,'Entries'!$Q$6:$Q$505,"Courier receivables",'Entries'!$B$6:$B$505,"&lt;="&amp;'Settings'!$B$7)-SUMIFS('Entries'!$S$6:$S$505,'Entries'!$H$6:$H$505,A100,'Entries'!$R$6:$R$505,"Courier receivables",'Entries'!$B$6:$B$505,"&lt;="&amp;'Settings'!$B$7))*1)</x:f>
      </x:c>
      <x:c r="J100" s="37" t="str">
        <x:f>IF(A100="","",(SUMIFS('Entries'!$S$6:$S$505,'Entries'!$H$6:$H$505,A100,'Entries'!$Q$6:$Q$505,"Trade payables",'Entries'!$B$6:$B$505,"&lt;="&amp;'Settings'!$B$7)-SUMIFS('Entries'!$S$6:$S$505,'Entries'!$H$6:$H$505,A100,'Entries'!$R$6:$R$505,"Trade payables",'Entries'!$B$6:$B$505,"&lt;="&amp;'Settings'!$B$7))*-1)</x:f>
      </x:c>
      <x:c r="K100" s="37" t="str">
        <x:f>IF(A100="","",(SUMIFS('Entries'!$S$6:$S$505,'Entries'!$H$6:$H$505,A100,'Entries'!$Q$6:$Q$505,"Supplier advances",'Entries'!$B$6:$B$505,"&lt;="&amp;'Settings'!$B$7)-SUMIFS('Entries'!$S$6:$S$505,'Entries'!$H$6:$H$505,A100,'Entries'!$R$6:$R$505,"Supplier advances",'Entries'!$B$6:$B$505,"&lt;="&amp;'Settings'!$B$7))*1)</x:f>
      </x:c>
    </x:row>
    <x:row r="101" ht="23" customHeight="1">
      <x:c r="A101" s="36"/>
      <x:c r="B101" s="36"/>
      <x:c r="C101" s="36"/>
      <x:c r="D101" s="36"/>
      <x:c r="E101" s="36"/>
      <x:c r="F101" s="36"/>
      <x:c r="G101" s="36"/>
      <x:c r="H101" s="36"/>
      <x:c r="I101" s="37" t="str">
        <x:f>IF(A101="","",(SUMIFS('Entries'!$S$6:$S$505,'Entries'!$H$6:$H$505,A101,'Entries'!$Q$6:$Q$505,"Customer receivables",'Entries'!$B$6:$B$505,"&lt;="&amp;'Settings'!$B$7)-SUMIFS('Entries'!$S$6:$S$505,'Entries'!$H$6:$H$505,A101,'Entries'!$R$6:$R$505,"Customer receivables",'Entries'!$B$6:$B$505,"&lt;="&amp;'Settings'!$B$7)+SUMIFS('Entries'!$S$6:$S$505,'Entries'!$H$6:$H$505,A101,'Entries'!$Q$6:$Q$505,"Courier receivables",'Entries'!$B$6:$B$505,"&lt;="&amp;'Settings'!$B$7)-SUMIFS('Entries'!$S$6:$S$505,'Entries'!$H$6:$H$505,A101,'Entries'!$R$6:$R$505,"Courier receivables",'Entries'!$B$6:$B$505,"&lt;="&amp;'Settings'!$B$7))*1)</x:f>
      </x:c>
      <x:c r="J101" s="37" t="str">
        <x:f>IF(A101="","",(SUMIFS('Entries'!$S$6:$S$505,'Entries'!$H$6:$H$505,A101,'Entries'!$Q$6:$Q$505,"Trade payables",'Entries'!$B$6:$B$505,"&lt;="&amp;'Settings'!$B$7)-SUMIFS('Entries'!$S$6:$S$505,'Entries'!$H$6:$H$505,A101,'Entries'!$R$6:$R$505,"Trade payables",'Entries'!$B$6:$B$505,"&lt;="&amp;'Settings'!$B$7))*-1)</x:f>
      </x:c>
      <x:c r="K101" s="37" t="str">
        <x:f>IF(A101="","",(SUMIFS('Entries'!$S$6:$S$505,'Entries'!$H$6:$H$505,A101,'Entries'!$Q$6:$Q$505,"Supplier advances",'Entries'!$B$6:$B$505,"&lt;="&amp;'Settings'!$B$7)-SUMIFS('Entries'!$S$6:$S$505,'Entries'!$H$6:$H$505,A101,'Entries'!$R$6:$R$505,"Supplier advances",'Entries'!$B$6:$B$505,"&lt;="&amp;'Settings'!$B$7))*1)</x:f>
      </x:c>
    </x:row>
    <x:row r="102" ht="23" customHeight="1">
      <x:c r="A102" s="36"/>
      <x:c r="B102" s="36"/>
      <x:c r="C102" s="36"/>
      <x:c r="D102" s="36"/>
      <x:c r="E102" s="36"/>
      <x:c r="F102" s="36"/>
      <x:c r="G102" s="36"/>
      <x:c r="H102" s="36"/>
      <x:c r="I102" s="37" t="str">
        <x:f>IF(A102="","",(SUMIFS('Entries'!$S$6:$S$505,'Entries'!$H$6:$H$505,A102,'Entries'!$Q$6:$Q$505,"Customer receivables",'Entries'!$B$6:$B$505,"&lt;="&amp;'Settings'!$B$7)-SUMIFS('Entries'!$S$6:$S$505,'Entries'!$H$6:$H$505,A102,'Entries'!$R$6:$R$505,"Customer receivables",'Entries'!$B$6:$B$505,"&lt;="&amp;'Settings'!$B$7)+SUMIFS('Entries'!$S$6:$S$505,'Entries'!$H$6:$H$505,A102,'Entries'!$Q$6:$Q$505,"Courier receivables",'Entries'!$B$6:$B$505,"&lt;="&amp;'Settings'!$B$7)-SUMIFS('Entries'!$S$6:$S$505,'Entries'!$H$6:$H$505,A102,'Entries'!$R$6:$R$505,"Courier receivables",'Entries'!$B$6:$B$505,"&lt;="&amp;'Settings'!$B$7))*1)</x:f>
      </x:c>
      <x:c r="J102" s="37" t="str">
        <x:f>IF(A102="","",(SUMIFS('Entries'!$S$6:$S$505,'Entries'!$H$6:$H$505,A102,'Entries'!$Q$6:$Q$505,"Trade payables",'Entries'!$B$6:$B$505,"&lt;="&amp;'Settings'!$B$7)-SUMIFS('Entries'!$S$6:$S$505,'Entries'!$H$6:$H$505,A102,'Entries'!$R$6:$R$505,"Trade payables",'Entries'!$B$6:$B$505,"&lt;="&amp;'Settings'!$B$7))*-1)</x:f>
      </x:c>
      <x:c r="K102" s="37" t="str">
        <x:f>IF(A102="","",(SUMIFS('Entries'!$S$6:$S$505,'Entries'!$H$6:$H$505,A102,'Entries'!$Q$6:$Q$505,"Supplier advances",'Entries'!$B$6:$B$505,"&lt;="&amp;'Settings'!$B$7)-SUMIFS('Entries'!$S$6:$S$505,'Entries'!$H$6:$H$505,A102,'Entries'!$R$6:$R$505,"Supplier advances",'Entries'!$B$6:$B$505,"&lt;="&amp;'Settings'!$B$7))*1)</x:f>
      </x:c>
    </x:row>
    <x:row r="103" ht="23" customHeight="1">
      <x:c r="A103" s="36"/>
      <x:c r="B103" s="36"/>
      <x:c r="C103" s="36"/>
      <x:c r="D103" s="36"/>
      <x:c r="E103" s="36"/>
      <x:c r="F103" s="36"/>
      <x:c r="G103" s="36"/>
      <x:c r="H103" s="36"/>
      <x:c r="I103" s="37" t="str">
        <x:f>IF(A103="","",(SUMIFS('Entries'!$S$6:$S$505,'Entries'!$H$6:$H$505,A103,'Entries'!$Q$6:$Q$505,"Customer receivables",'Entries'!$B$6:$B$505,"&lt;="&amp;'Settings'!$B$7)-SUMIFS('Entries'!$S$6:$S$505,'Entries'!$H$6:$H$505,A103,'Entries'!$R$6:$R$505,"Customer receivables",'Entries'!$B$6:$B$505,"&lt;="&amp;'Settings'!$B$7)+SUMIFS('Entries'!$S$6:$S$505,'Entries'!$H$6:$H$505,A103,'Entries'!$Q$6:$Q$505,"Courier receivables",'Entries'!$B$6:$B$505,"&lt;="&amp;'Settings'!$B$7)-SUMIFS('Entries'!$S$6:$S$505,'Entries'!$H$6:$H$505,A103,'Entries'!$R$6:$R$505,"Courier receivables",'Entries'!$B$6:$B$505,"&lt;="&amp;'Settings'!$B$7))*1)</x:f>
      </x:c>
      <x:c r="J103" s="37" t="str">
        <x:f>IF(A103="","",(SUMIFS('Entries'!$S$6:$S$505,'Entries'!$H$6:$H$505,A103,'Entries'!$Q$6:$Q$505,"Trade payables",'Entries'!$B$6:$B$505,"&lt;="&amp;'Settings'!$B$7)-SUMIFS('Entries'!$S$6:$S$505,'Entries'!$H$6:$H$505,A103,'Entries'!$R$6:$R$505,"Trade payables",'Entries'!$B$6:$B$505,"&lt;="&amp;'Settings'!$B$7))*-1)</x:f>
      </x:c>
      <x:c r="K103" s="37" t="str">
        <x:f>IF(A103="","",(SUMIFS('Entries'!$S$6:$S$505,'Entries'!$H$6:$H$505,A103,'Entries'!$Q$6:$Q$505,"Supplier advances",'Entries'!$B$6:$B$505,"&lt;="&amp;'Settings'!$B$7)-SUMIFS('Entries'!$S$6:$S$505,'Entries'!$H$6:$H$505,A103,'Entries'!$R$6:$R$505,"Supplier advances",'Entries'!$B$6:$B$505,"&lt;="&amp;'Settings'!$B$7))*1)</x:f>
      </x:c>
    </x:row>
    <x:row r="104" ht="23" customHeight="1">
      <x:c r="A104" s="36"/>
      <x:c r="B104" s="36"/>
      <x:c r="C104" s="36"/>
      <x:c r="D104" s="36"/>
      <x:c r="E104" s="36"/>
      <x:c r="F104" s="36"/>
      <x:c r="G104" s="36"/>
      <x:c r="H104" s="36"/>
      <x:c r="I104" s="37" t="str">
        <x:f>IF(A104="","",(SUMIFS('Entries'!$S$6:$S$505,'Entries'!$H$6:$H$505,A104,'Entries'!$Q$6:$Q$505,"Customer receivables",'Entries'!$B$6:$B$505,"&lt;="&amp;'Settings'!$B$7)-SUMIFS('Entries'!$S$6:$S$505,'Entries'!$H$6:$H$505,A104,'Entries'!$R$6:$R$505,"Customer receivables",'Entries'!$B$6:$B$505,"&lt;="&amp;'Settings'!$B$7)+SUMIFS('Entries'!$S$6:$S$505,'Entries'!$H$6:$H$505,A104,'Entries'!$Q$6:$Q$505,"Courier receivables",'Entries'!$B$6:$B$505,"&lt;="&amp;'Settings'!$B$7)-SUMIFS('Entries'!$S$6:$S$505,'Entries'!$H$6:$H$505,A104,'Entries'!$R$6:$R$505,"Courier receivables",'Entries'!$B$6:$B$505,"&lt;="&amp;'Settings'!$B$7))*1)</x:f>
      </x:c>
      <x:c r="J104" s="37" t="str">
        <x:f>IF(A104="","",(SUMIFS('Entries'!$S$6:$S$505,'Entries'!$H$6:$H$505,A104,'Entries'!$Q$6:$Q$505,"Trade payables",'Entries'!$B$6:$B$505,"&lt;="&amp;'Settings'!$B$7)-SUMIFS('Entries'!$S$6:$S$505,'Entries'!$H$6:$H$505,A104,'Entries'!$R$6:$R$505,"Trade payables",'Entries'!$B$6:$B$505,"&lt;="&amp;'Settings'!$B$7))*-1)</x:f>
      </x:c>
      <x:c r="K104" s="37" t="str">
        <x:f>IF(A104="","",(SUMIFS('Entries'!$S$6:$S$505,'Entries'!$H$6:$H$505,A104,'Entries'!$Q$6:$Q$505,"Supplier advances",'Entries'!$B$6:$B$505,"&lt;="&amp;'Settings'!$B$7)-SUMIFS('Entries'!$S$6:$S$505,'Entries'!$H$6:$H$505,A104,'Entries'!$R$6:$R$505,"Supplier advances",'Entries'!$B$6:$B$505,"&lt;="&amp;'Settings'!$B$7))*1)</x:f>
      </x:c>
    </x:row>
    <x:row r="105" ht="23" customHeight="1">
      <x:c r="A105" s="36"/>
      <x:c r="B105" s="36"/>
      <x:c r="C105" s="36"/>
      <x:c r="D105" s="36"/>
      <x:c r="E105" s="36"/>
      <x:c r="F105" s="36"/>
      <x:c r="G105" s="36"/>
      <x:c r="H105" s="36"/>
      <x:c r="I105" s="37" t="str">
        <x:f>IF(A105="","",(SUMIFS('Entries'!$S$6:$S$505,'Entries'!$H$6:$H$505,A105,'Entries'!$Q$6:$Q$505,"Customer receivables",'Entries'!$B$6:$B$505,"&lt;="&amp;'Settings'!$B$7)-SUMIFS('Entries'!$S$6:$S$505,'Entries'!$H$6:$H$505,A105,'Entries'!$R$6:$R$505,"Customer receivables",'Entries'!$B$6:$B$505,"&lt;="&amp;'Settings'!$B$7)+SUMIFS('Entries'!$S$6:$S$505,'Entries'!$H$6:$H$505,A105,'Entries'!$Q$6:$Q$505,"Courier receivables",'Entries'!$B$6:$B$505,"&lt;="&amp;'Settings'!$B$7)-SUMIFS('Entries'!$S$6:$S$505,'Entries'!$H$6:$H$505,A105,'Entries'!$R$6:$R$505,"Courier receivables",'Entries'!$B$6:$B$505,"&lt;="&amp;'Settings'!$B$7))*1)</x:f>
      </x:c>
      <x:c r="J105" s="37" t="str">
        <x:f>IF(A105="","",(SUMIFS('Entries'!$S$6:$S$505,'Entries'!$H$6:$H$505,A105,'Entries'!$Q$6:$Q$505,"Trade payables",'Entries'!$B$6:$B$505,"&lt;="&amp;'Settings'!$B$7)-SUMIFS('Entries'!$S$6:$S$505,'Entries'!$H$6:$H$505,A105,'Entries'!$R$6:$R$505,"Trade payables",'Entries'!$B$6:$B$505,"&lt;="&amp;'Settings'!$B$7))*-1)</x:f>
      </x:c>
      <x:c r="K105" s="37" t="str">
        <x:f>IF(A105="","",(SUMIFS('Entries'!$S$6:$S$505,'Entries'!$H$6:$H$505,A105,'Entries'!$Q$6:$Q$505,"Supplier advances",'Entries'!$B$6:$B$505,"&lt;="&amp;'Settings'!$B$7)-SUMIFS('Entries'!$S$6:$S$505,'Entries'!$H$6:$H$505,A105,'Entries'!$R$6:$R$505,"Supplier advances",'Entries'!$B$6:$B$505,"&lt;="&amp;'Settings'!$B$7))*1)</x:f>
      </x:c>
    </x:row>
  </x:sheetData>
  <x:dataValidations count="1">
    <x:dataValidation type="list" sqref="C6:C105">
      <x:formula1>"Customer,Supplier,Factory,Courier,Investor,Other"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93cdeb588049a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0" hidden="0" customWidth="1"/>
    <x:col min="11" max="11" width="18" hidden="0" customWidth="1"/>
    <x:col min="12" max="12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23" customHeight="1">
      <x:c r="A2" s="32" t="str">
        <x:v>AFK THEORY / Ideas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 ht="34" customHeight="1">
      <x:c r="A5" s="38" t="str">
        <x:v>Idea ID</x:v>
      </x:c>
      <x:c r="B5" s="38" t="str">
        <x:v>Created</x:v>
      </x:c>
      <x:c r="C5" s="38" t="str">
        <x:v>Type</x:v>
      </x:c>
      <x:c r="D5" s="38" t="str">
        <x:v>Title</x:v>
      </x:c>
      <x:c r="E5" s="38" t="str">
        <x:v>Description / reference</x:v>
      </x:c>
      <x:c r="F5" s="38" t="str">
        <x:v>Owner</x:v>
      </x:c>
      <x:c r="G5" s="38" t="str">
        <x:v>Budget BDT</x:v>
      </x:c>
      <x:c r="H5" s="38" t="str">
        <x:v>Target date</x:v>
      </x:c>
      <x:c r="I5" s="38" t="str">
        <x:v>Status</x:v>
      </x:c>
      <x:c r="J5" s="38" t="str">
        <x:v>Decision / next step</x:v>
      </x:c>
      <x:c r="K5" s="38" t="str">
        <x:v>Decision date</x:v>
      </x:c>
      <x:c r="L5" s="38" t="str">
        <x:v>Evidence / agreement URL</x:v>
      </x:c>
    </x:row>
    <x:row r="6" ht="23" customHeight="1">
      <x:c r="A6" s="36"/>
      <x:c r="B6" s="40"/>
      <x:c r="C6" s="36"/>
      <x:c r="D6" s="36"/>
      <x:c r="E6" s="36"/>
      <x:c r="F6" s="36"/>
      <x:c r="G6" s="41"/>
      <x:c r="H6" s="40"/>
      <x:c r="I6" s="36"/>
      <x:c r="J6" s="36"/>
      <x:c r="K6" s="40"/>
      <x:c r="L6" s="36"/>
    </x:row>
    <x:row r="7" ht="23" customHeight="1">
      <x:c r="A7" s="36"/>
      <x:c r="B7" s="40"/>
      <x:c r="C7" s="36"/>
      <x:c r="D7" s="36"/>
      <x:c r="E7" s="36"/>
      <x:c r="F7" s="36"/>
      <x:c r="G7" s="41"/>
      <x:c r="H7" s="40"/>
      <x:c r="I7" s="36"/>
      <x:c r="J7" s="36"/>
      <x:c r="K7" s="40"/>
      <x:c r="L7" s="36"/>
    </x:row>
    <x:row r="8" ht="23" customHeight="1">
      <x:c r="A8" s="36"/>
      <x:c r="B8" s="40"/>
      <x:c r="C8" s="36"/>
      <x:c r="D8" s="36"/>
      <x:c r="E8" s="36"/>
      <x:c r="F8" s="36"/>
      <x:c r="G8" s="41"/>
      <x:c r="H8" s="40"/>
      <x:c r="I8" s="36"/>
      <x:c r="J8" s="36"/>
      <x:c r="K8" s="40"/>
      <x:c r="L8" s="36"/>
    </x:row>
    <x:row r="9" ht="23" customHeight="1">
      <x:c r="A9" s="36"/>
      <x:c r="B9" s="40"/>
      <x:c r="C9" s="36"/>
      <x:c r="D9" s="36"/>
      <x:c r="E9" s="36"/>
      <x:c r="F9" s="36"/>
      <x:c r="G9" s="41"/>
      <x:c r="H9" s="40"/>
      <x:c r="I9" s="36"/>
      <x:c r="J9" s="36"/>
      <x:c r="K9" s="40"/>
      <x:c r="L9" s="36"/>
    </x:row>
    <x:row r="10" ht="23" customHeight="1">
      <x:c r="A10" s="36"/>
      <x:c r="B10" s="40"/>
      <x:c r="C10" s="36"/>
      <x:c r="D10" s="36"/>
      <x:c r="E10" s="36"/>
      <x:c r="F10" s="36"/>
      <x:c r="G10" s="41"/>
      <x:c r="H10" s="40"/>
      <x:c r="I10" s="36"/>
      <x:c r="J10" s="36"/>
      <x:c r="K10" s="40"/>
      <x:c r="L10" s="36"/>
    </x:row>
    <x:row r="11" ht="23" customHeight="1">
      <x:c r="A11" s="36"/>
      <x:c r="B11" s="40"/>
      <x:c r="C11" s="36"/>
      <x:c r="D11" s="36"/>
      <x:c r="E11" s="36"/>
      <x:c r="F11" s="36"/>
      <x:c r="G11" s="41"/>
      <x:c r="H11" s="40"/>
      <x:c r="I11" s="36"/>
      <x:c r="J11" s="36"/>
      <x:c r="K11" s="40"/>
      <x:c r="L11" s="36"/>
    </x:row>
    <x:row r="12" ht="23" customHeight="1">
      <x:c r="A12" s="36"/>
      <x:c r="B12" s="40"/>
      <x:c r="C12" s="36"/>
      <x:c r="D12" s="36"/>
      <x:c r="E12" s="36"/>
      <x:c r="F12" s="36"/>
      <x:c r="G12" s="41"/>
      <x:c r="H12" s="40"/>
      <x:c r="I12" s="36"/>
      <x:c r="J12" s="36"/>
      <x:c r="K12" s="40"/>
      <x:c r="L12" s="36"/>
    </x:row>
    <x:row r="13" ht="23" customHeight="1">
      <x:c r="A13" s="36"/>
      <x:c r="B13" s="40"/>
      <x:c r="C13" s="36"/>
      <x:c r="D13" s="36"/>
      <x:c r="E13" s="36"/>
      <x:c r="F13" s="36"/>
      <x:c r="G13" s="41"/>
      <x:c r="H13" s="40"/>
      <x:c r="I13" s="36"/>
      <x:c r="J13" s="36"/>
      <x:c r="K13" s="40"/>
      <x:c r="L13" s="36"/>
    </x:row>
    <x:row r="14" ht="23" customHeight="1">
      <x:c r="A14" s="36"/>
      <x:c r="B14" s="40"/>
      <x:c r="C14" s="36"/>
      <x:c r="D14" s="36"/>
      <x:c r="E14" s="36"/>
      <x:c r="F14" s="36"/>
      <x:c r="G14" s="41"/>
      <x:c r="H14" s="40"/>
      <x:c r="I14" s="36"/>
      <x:c r="J14" s="36"/>
      <x:c r="K14" s="40"/>
      <x:c r="L14" s="36"/>
    </x:row>
    <x:row r="15" ht="23" customHeight="1">
      <x:c r="A15" s="36"/>
      <x:c r="B15" s="40"/>
      <x:c r="C15" s="36"/>
      <x:c r="D15" s="36"/>
      <x:c r="E15" s="36"/>
      <x:c r="F15" s="36"/>
      <x:c r="G15" s="41"/>
      <x:c r="H15" s="40"/>
      <x:c r="I15" s="36"/>
      <x:c r="J15" s="36"/>
      <x:c r="K15" s="40"/>
      <x:c r="L15" s="36"/>
    </x:row>
    <x:row r="16" ht="23" customHeight="1">
      <x:c r="A16" s="36"/>
      <x:c r="B16" s="40"/>
      <x:c r="C16" s="36"/>
      <x:c r="D16" s="36"/>
      <x:c r="E16" s="36"/>
      <x:c r="F16" s="36"/>
      <x:c r="G16" s="41"/>
      <x:c r="H16" s="40"/>
      <x:c r="I16" s="36"/>
      <x:c r="J16" s="36"/>
      <x:c r="K16" s="40"/>
      <x:c r="L16" s="36"/>
    </x:row>
    <x:row r="17" ht="23" customHeight="1">
      <x:c r="A17" s="36"/>
      <x:c r="B17" s="40"/>
      <x:c r="C17" s="36"/>
      <x:c r="D17" s="36"/>
      <x:c r="E17" s="36"/>
      <x:c r="F17" s="36"/>
      <x:c r="G17" s="41"/>
      <x:c r="H17" s="40"/>
      <x:c r="I17" s="36"/>
      <x:c r="J17" s="36"/>
      <x:c r="K17" s="40"/>
      <x:c r="L17" s="36"/>
    </x:row>
    <x:row r="18" ht="23" customHeight="1">
      <x:c r="A18" s="36"/>
      <x:c r="B18" s="40"/>
      <x:c r="C18" s="36"/>
      <x:c r="D18" s="36"/>
      <x:c r="E18" s="36"/>
      <x:c r="F18" s="36"/>
      <x:c r="G18" s="41"/>
      <x:c r="H18" s="40"/>
      <x:c r="I18" s="36"/>
      <x:c r="J18" s="36"/>
      <x:c r="K18" s="40"/>
      <x:c r="L18" s="36"/>
    </x:row>
    <x:row r="19" ht="23" customHeight="1">
      <x:c r="A19" s="36"/>
      <x:c r="B19" s="40"/>
      <x:c r="C19" s="36"/>
      <x:c r="D19" s="36"/>
      <x:c r="E19" s="36"/>
      <x:c r="F19" s="36"/>
      <x:c r="G19" s="41"/>
      <x:c r="H19" s="40"/>
      <x:c r="I19" s="36"/>
      <x:c r="J19" s="36"/>
      <x:c r="K19" s="40"/>
      <x:c r="L19" s="36"/>
    </x:row>
    <x:row r="20" ht="23" customHeight="1">
      <x:c r="A20" s="36"/>
      <x:c r="B20" s="40"/>
      <x:c r="C20" s="36"/>
      <x:c r="D20" s="36"/>
      <x:c r="E20" s="36"/>
      <x:c r="F20" s="36"/>
      <x:c r="G20" s="41"/>
      <x:c r="H20" s="40"/>
      <x:c r="I20" s="36"/>
      <x:c r="J20" s="36"/>
      <x:c r="K20" s="40"/>
      <x:c r="L20" s="36"/>
    </x:row>
    <x:row r="21" ht="23" customHeight="1">
      <x:c r="A21" s="36"/>
      <x:c r="B21" s="40"/>
      <x:c r="C21" s="36"/>
      <x:c r="D21" s="36"/>
      <x:c r="E21" s="36"/>
      <x:c r="F21" s="36"/>
      <x:c r="G21" s="41"/>
      <x:c r="H21" s="40"/>
      <x:c r="I21" s="36"/>
      <x:c r="J21" s="36"/>
      <x:c r="K21" s="40"/>
      <x:c r="L21" s="36"/>
    </x:row>
    <x:row r="22" ht="23" customHeight="1">
      <x:c r="A22" s="36"/>
      <x:c r="B22" s="40"/>
      <x:c r="C22" s="36"/>
      <x:c r="D22" s="36"/>
      <x:c r="E22" s="36"/>
      <x:c r="F22" s="36"/>
      <x:c r="G22" s="41"/>
      <x:c r="H22" s="40"/>
      <x:c r="I22" s="36"/>
      <x:c r="J22" s="36"/>
      <x:c r="K22" s="40"/>
      <x:c r="L22" s="36"/>
    </x:row>
    <x:row r="23" ht="23" customHeight="1">
      <x:c r="A23" s="36"/>
      <x:c r="B23" s="40"/>
      <x:c r="C23" s="36"/>
      <x:c r="D23" s="36"/>
      <x:c r="E23" s="36"/>
      <x:c r="F23" s="36"/>
      <x:c r="G23" s="41"/>
      <x:c r="H23" s="40"/>
      <x:c r="I23" s="36"/>
      <x:c r="J23" s="36"/>
      <x:c r="K23" s="40"/>
      <x:c r="L23" s="36"/>
    </x:row>
    <x:row r="24" ht="23" customHeight="1">
      <x:c r="A24" s="36"/>
      <x:c r="B24" s="40"/>
      <x:c r="C24" s="36"/>
      <x:c r="D24" s="36"/>
      <x:c r="E24" s="36"/>
      <x:c r="F24" s="36"/>
      <x:c r="G24" s="41"/>
      <x:c r="H24" s="40"/>
      <x:c r="I24" s="36"/>
      <x:c r="J24" s="36"/>
      <x:c r="K24" s="40"/>
      <x:c r="L24" s="36"/>
    </x:row>
    <x:row r="25" ht="23" customHeight="1">
      <x:c r="A25" s="36"/>
      <x:c r="B25" s="40"/>
      <x:c r="C25" s="36"/>
      <x:c r="D25" s="36"/>
      <x:c r="E25" s="36"/>
      <x:c r="F25" s="36"/>
      <x:c r="G25" s="41"/>
      <x:c r="H25" s="40"/>
      <x:c r="I25" s="36"/>
      <x:c r="J25" s="36"/>
      <x:c r="K25" s="40"/>
      <x:c r="L25" s="36"/>
    </x:row>
    <x:row r="26" ht="23" customHeight="1">
      <x:c r="A26" s="36"/>
      <x:c r="B26" s="40"/>
      <x:c r="C26" s="36"/>
      <x:c r="D26" s="36"/>
      <x:c r="E26" s="36"/>
      <x:c r="F26" s="36"/>
      <x:c r="G26" s="41"/>
      <x:c r="H26" s="40"/>
      <x:c r="I26" s="36"/>
      <x:c r="J26" s="36"/>
      <x:c r="K26" s="40"/>
      <x:c r="L26" s="36"/>
    </x:row>
    <x:row r="27" ht="23" customHeight="1">
      <x:c r="A27" s="36"/>
      <x:c r="B27" s="40"/>
      <x:c r="C27" s="36"/>
      <x:c r="D27" s="36"/>
      <x:c r="E27" s="36"/>
      <x:c r="F27" s="36"/>
      <x:c r="G27" s="41"/>
      <x:c r="H27" s="40"/>
      <x:c r="I27" s="36"/>
      <x:c r="J27" s="36"/>
      <x:c r="K27" s="40"/>
      <x:c r="L27" s="36"/>
    </x:row>
    <x:row r="28" ht="23" customHeight="1">
      <x:c r="A28" s="36"/>
      <x:c r="B28" s="40"/>
      <x:c r="C28" s="36"/>
      <x:c r="D28" s="36"/>
      <x:c r="E28" s="36"/>
      <x:c r="F28" s="36"/>
      <x:c r="G28" s="41"/>
      <x:c r="H28" s="40"/>
      <x:c r="I28" s="36"/>
      <x:c r="J28" s="36"/>
      <x:c r="K28" s="40"/>
      <x:c r="L28" s="36"/>
    </x:row>
    <x:row r="29" ht="23" customHeight="1">
      <x:c r="A29" s="36"/>
      <x:c r="B29" s="40"/>
      <x:c r="C29" s="36"/>
      <x:c r="D29" s="36"/>
      <x:c r="E29" s="36"/>
      <x:c r="F29" s="36"/>
      <x:c r="G29" s="41"/>
      <x:c r="H29" s="40"/>
      <x:c r="I29" s="36"/>
      <x:c r="J29" s="36"/>
      <x:c r="K29" s="40"/>
      <x:c r="L29" s="36"/>
    </x:row>
    <x:row r="30" ht="23" customHeight="1">
      <x:c r="A30" s="36"/>
      <x:c r="B30" s="40"/>
      <x:c r="C30" s="36"/>
      <x:c r="D30" s="36"/>
      <x:c r="E30" s="36"/>
      <x:c r="F30" s="36"/>
      <x:c r="G30" s="41"/>
      <x:c r="H30" s="40"/>
      <x:c r="I30" s="36"/>
      <x:c r="J30" s="36"/>
      <x:c r="K30" s="40"/>
      <x:c r="L30" s="36"/>
    </x:row>
    <x:row r="31" ht="23" customHeight="1">
      <x:c r="A31" s="36"/>
      <x:c r="B31" s="40"/>
      <x:c r="C31" s="36"/>
      <x:c r="D31" s="36"/>
      <x:c r="E31" s="36"/>
      <x:c r="F31" s="36"/>
      <x:c r="G31" s="41"/>
      <x:c r="H31" s="40"/>
      <x:c r="I31" s="36"/>
      <x:c r="J31" s="36"/>
      <x:c r="K31" s="40"/>
      <x:c r="L31" s="36"/>
    </x:row>
    <x:row r="32" ht="23" customHeight="1">
      <x:c r="A32" s="36"/>
      <x:c r="B32" s="40"/>
      <x:c r="C32" s="36"/>
      <x:c r="D32" s="36"/>
      <x:c r="E32" s="36"/>
      <x:c r="F32" s="36"/>
      <x:c r="G32" s="41"/>
      <x:c r="H32" s="40"/>
      <x:c r="I32" s="36"/>
      <x:c r="J32" s="36"/>
      <x:c r="K32" s="40"/>
      <x:c r="L32" s="36"/>
    </x:row>
    <x:row r="33" ht="23" customHeight="1">
      <x:c r="A33" s="36"/>
      <x:c r="B33" s="40"/>
      <x:c r="C33" s="36"/>
      <x:c r="D33" s="36"/>
      <x:c r="E33" s="36"/>
      <x:c r="F33" s="36"/>
      <x:c r="G33" s="41"/>
      <x:c r="H33" s="40"/>
      <x:c r="I33" s="36"/>
      <x:c r="J33" s="36"/>
      <x:c r="K33" s="40"/>
      <x:c r="L33" s="36"/>
    </x:row>
    <x:row r="34" ht="23" customHeight="1">
      <x:c r="A34" s="36"/>
      <x:c r="B34" s="40"/>
      <x:c r="C34" s="36"/>
      <x:c r="D34" s="36"/>
      <x:c r="E34" s="36"/>
      <x:c r="F34" s="36"/>
      <x:c r="G34" s="41"/>
      <x:c r="H34" s="40"/>
      <x:c r="I34" s="36"/>
      <x:c r="J34" s="36"/>
      <x:c r="K34" s="40"/>
      <x:c r="L34" s="36"/>
    </x:row>
    <x:row r="35" ht="23" customHeight="1">
      <x:c r="A35" s="36"/>
      <x:c r="B35" s="40"/>
      <x:c r="C35" s="36"/>
      <x:c r="D35" s="36"/>
      <x:c r="E35" s="36"/>
      <x:c r="F35" s="36"/>
      <x:c r="G35" s="41"/>
      <x:c r="H35" s="40"/>
      <x:c r="I35" s="36"/>
      <x:c r="J35" s="36"/>
      <x:c r="K35" s="40"/>
      <x:c r="L35" s="36"/>
    </x:row>
    <x:row r="36" ht="23" customHeight="1">
      <x:c r="A36" s="36"/>
      <x:c r="B36" s="40"/>
      <x:c r="C36" s="36"/>
      <x:c r="D36" s="36"/>
      <x:c r="E36" s="36"/>
      <x:c r="F36" s="36"/>
      <x:c r="G36" s="41"/>
      <x:c r="H36" s="40"/>
      <x:c r="I36" s="36"/>
      <x:c r="J36" s="36"/>
      <x:c r="K36" s="40"/>
      <x:c r="L36" s="36"/>
    </x:row>
    <x:row r="37" ht="23" customHeight="1">
      <x:c r="A37" s="36"/>
      <x:c r="B37" s="40"/>
      <x:c r="C37" s="36"/>
      <x:c r="D37" s="36"/>
      <x:c r="E37" s="36"/>
      <x:c r="F37" s="36"/>
      <x:c r="G37" s="41"/>
      <x:c r="H37" s="40"/>
      <x:c r="I37" s="36"/>
      <x:c r="J37" s="36"/>
      <x:c r="K37" s="40"/>
      <x:c r="L37" s="36"/>
    </x:row>
    <x:row r="38" ht="23" customHeight="1">
      <x:c r="A38" s="36"/>
      <x:c r="B38" s="40"/>
      <x:c r="C38" s="36"/>
      <x:c r="D38" s="36"/>
      <x:c r="E38" s="36"/>
      <x:c r="F38" s="36"/>
      <x:c r="G38" s="41"/>
      <x:c r="H38" s="40"/>
      <x:c r="I38" s="36"/>
      <x:c r="J38" s="36"/>
      <x:c r="K38" s="40"/>
      <x:c r="L38" s="36"/>
    </x:row>
    <x:row r="39" ht="23" customHeight="1">
      <x:c r="A39" s="36"/>
      <x:c r="B39" s="40"/>
      <x:c r="C39" s="36"/>
      <x:c r="D39" s="36"/>
      <x:c r="E39" s="36"/>
      <x:c r="F39" s="36"/>
      <x:c r="G39" s="41"/>
      <x:c r="H39" s="40"/>
      <x:c r="I39" s="36"/>
      <x:c r="J39" s="36"/>
      <x:c r="K39" s="40"/>
      <x:c r="L39" s="36"/>
    </x:row>
    <x:row r="40" ht="23" customHeight="1">
      <x:c r="A40" s="36"/>
      <x:c r="B40" s="40"/>
      <x:c r="C40" s="36"/>
      <x:c r="D40" s="36"/>
      <x:c r="E40" s="36"/>
      <x:c r="F40" s="36"/>
      <x:c r="G40" s="41"/>
      <x:c r="H40" s="40"/>
      <x:c r="I40" s="36"/>
      <x:c r="J40" s="36"/>
      <x:c r="K40" s="40"/>
      <x:c r="L40" s="36"/>
    </x:row>
    <x:row r="41" ht="23" customHeight="1">
      <x:c r="A41" s="36"/>
      <x:c r="B41" s="40"/>
      <x:c r="C41" s="36"/>
      <x:c r="D41" s="36"/>
      <x:c r="E41" s="36"/>
      <x:c r="F41" s="36"/>
      <x:c r="G41" s="41"/>
      <x:c r="H41" s="40"/>
      <x:c r="I41" s="36"/>
      <x:c r="J41" s="36"/>
      <x:c r="K41" s="40"/>
      <x:c r="L41" s="36"/>
    </x:row>
    <x:row r="42" ht="23" customHeight="1">
      <x:c r="A42" s="36"/>
      <x:c r="B42" s="40"/>
      <x:c r="C42" s="36"/>
      <x:c r="D42" s="36"/>
      <x:c r="E42" s="36"/>
      <x:c r="F42" s="36"/>
      <x:c r="G42" s="41"/>
      <x:c r="H42" s="40"/>
      <x:c r="I42" s="36"/>
      <x:c r="J42" s="36"/>
      <x:c r="K42" s="40"/>
      <x:c r="L42" s="36"/>
    </x:row>
    <x:row r="43" ht="23" customHeight="1">
      <x:c r="A43" s="36"/>
      <x:c r="B43" s="40"/>
      <x:c r="C43" s="36"/>
      <x:c r="D43" s="36"/>
      <x:c r="E43" s="36"/>
      <x:c r="F43" s="36"/>
      <x:c r="G43" s="41"/>
      <x:c r="H43" s="40"/>
      <x:c r="I43" s="36"/>
      <x:c r="J43" s="36"/>
      <x:c r="K43" s="40"/>
      <x:c r="L43" s="36"/>
    </x:row>
    <x:row r="44" ht="23" customHeight="1">
      <x:c r="A44" s="36"/>
      <x:c r="B44" s="40"/>
      <x:c r="C44" s="36"/>
      <x:c r="D44" s="36"/>
      <x:c r="E44" s="36"/>
      <x:c r="F44" s="36"/>
      <x:c r="G44" s="41"/>
      <x:c r="H44" s="40"/>
      <x:c r="I44" s="36"/>
      <x:c r="J44" s="36"/>
      <x:c r="K44" s="40"/>
      <x:c r="L44" s="36"/>
    </x:row>
    <x:row r="45" ht="23" customHeight="1">
      <x:c r="A45" s="36"/>
      <x:c r="B45" s="40"/>
      <x:c r="C45" s="36"/>
      <x:c r="D45" s="36"/>
      <x:c r="E45" s="36"/>
      <x:c r="F45" s="36"/>
      <x:c r="G45" s="41"/>
      <x:c r="H45" s="40"/>
      <x:c r="I45" s="36"/>
      <x:c r="J45" s="36"/>
      <x:c r="K45" s="40"/>
      <x:c r="L45" s="36"/>
    </x:row>
    <x:row r="46" ht="23" customHeight="1">
      <x:c r="A46" s="36"/>
      <x:c r="B46" s="40"/>
      <x:c r="C46" s="36"/>
      <x:c r="D46" s="36"/>
      <x:c r="E46" s="36"/>
      <x:c r="F46" s="36"/>
      <x:c r="G46" s="41"/>
      <x:c r="H46" s="40"/>
      <x:c r="I46" s="36"/>
      <x:c r="J46" s="36"/>
      <x:c r="K46" s="40"/>
      <x:c r="L46" s="36"/>
    </x:row>
    <x:row r="47" ht="23" customHeight="1">
      <x:c r="A47" s="36"/>
      <x:c r="B47" s="40"/>
      <x:c r="C47" s="36"/>
      <x:c r="D47" s="36"/>
      <x:c r="E47" s="36"/>
      <x:c r="F47" s="36"/>
      <x:c r="G47" s="41"/>
      <x:c r="H47" s="40"/>
      <x:c r="I47" s="36"/>
      <x:c r="J47" s="36"/>
      <x:c r="K47" s="40"/>
      <x:c r="L47" s="36"/>
    </x:row>
    <x:row r="48" ht="23" customHeight="1">
      <x:c r="A48" s="36"/>
      <x:c r="B48" s="40"/>
      <x:c r="C48" s="36"/>
      <x:c r="D48" s="36"/>
      <x:c r="E48" s="36"/>
      <x:c r="F48" s="36"/>
      <x:c r="G48" s="41"/>
      <x:c r="H48" s="40"/>
      <x:c r="I48" s="36"/>
      <x:c r="J48" s="36"/>
      <x:c r="K48" s="40"/>
      <x:c r="L48" s="36"/>
    </x:row>
    <x:row r="49" ht="23" customHeight="1">
      <x:c r="A49" s="36"/>
      <x:c r="B49" s="40"/>
      <x:c r="C49" s="36"/>
      <x:c r="D49" s="36"/>
      <x:c r="E49" s="36"/>
      <x:c r="F49" s="36"/>
      <x:c r="G49" s="41"/>
      <x:c r="H49" s="40"/>
      <x:c r="I49" s="36"/>
      <x:c r="J49" s="36"/>
      <x:c r="K49" s="40"/>
      <x:c r="L49" s="36"/>
    </x:row>
    <x:row r="50" ht="23" customHeight="1">
      <x:c r="A50" s="36"/>
      <x:c r="B50" s="40"/>
      <x:c r="C50" s="36"/>
      <x:c r="D50" s="36"/>
      <x:c r="E50" s="36"/>
      <x:c r="F50" s="36"/>
      <x:c r="G50" s="41"/>
      <x:c r="H50" s="40"/>
      <x:c r="I50" s="36"/>
      <x:c r="J50" s="36"/>
      <x:c r="K50" s="40"/>
      <x:c r="L50" s="36"/>
    </x:row>
    <x:row r="51" ht="23" customHeight="1">
      <x:c r="A51" s="36"/>
      <x:c r="B51" s="40"/>
      <x:c r="C51" s="36"/>
      <x:c r="D51" s="36"/>
      <x:c r="E51" s="36"/>
      <x:c r="F51" s="36"/>
      <x:c r="G51" s="41"/>
      <x:c r="H51" s="40"/>
      <x:c r="I51" s="36"/>
      <x:c r="J51" s="36"/>
      <x:c r="K51" s="40"/>
      <x:c r="L51" s="36"/>
    </x:row>
    <x:row r="52" ht="23" customHeight="1">
      <x:c r="A52" s="36"/>
      <x:c r="B52" s="40"/>
      <x:c r="C52" s="36"/>
      <x:c r="D52" s="36"/>
      <x:c r="E52" s="36"/>
      <x:c r="F52" s="36"/>
      <x:c r="G52" s="41"/>
      <x:c r="H52" s="40"/>
      <x:c r="I52" s="36"/>
      <x:c r="J52" s="36"/>
      <x:c r="K52" s="40"/>
      <x:c r="L52" s="36"/>
    </x:row>
    <x:row r="53" ht="23" customHeight="1">
      <x:c r="A53" s="36"/>
      <x:c r="B53" s="40"/>
      <x:c r="C53" s="36"/>
      <x:c r="D53" s="36"/>
      <x:c r="E53" s="36"/>
      <x:c r="F53" s="36"/>
      <x:c r="G53" s="41"/>
      <x:c r="H53" s="40"/>
      <x:c r="I53" s="36"/>
      <x:c r="J53" s="36"/>
      <x:c r="K53" s="40"/>
      <x:c r="L53" s="36"/>
    </x:row>
    <x:row r="54" ht="23" customHeight="1">
      <x:c r="A54" s="36"/>
      <x:c r="B54" s="40"/>
      <x:c r="C54" s="36"/>
      <x:c r="D54" s="36"/>
      <x:c r="E54" s="36"/>
      <x:c r="F54" s="36"/>
      <x:c r="G54" s="41"/>
      <x:c r="H54" s="40"/>
      <x:c r="I54" s="36"/>
      <x:c r="J54" s="36"/>
      <x:c r="K54" s="40"/>
      <x:c r="L54" s="36"/>
    </x:row>
    <x:row r="55" ht="23" customHeight="1">
      <x:c r="A55" s="36"/>
      <x:c r="B55" s="40"/>
      <x:c r="C55" s="36"/>
      <x:c r="D55" s="36"/>
      <x:c r="E55" s="36"/>
      <x:c r="F55" s="36"/>
      <x:c r="G55" s="41"/>
      <x:c r="H55" s="40"/>
      <x:c r="I55" s="36"/>
      <x:c r="J55" s="36"/>
      <x:c r="K55" s="40"/>
      <x:c r="L55" s="36"/>
    </x:row>
    <x:row r="56" ht="23" customHeight="1">
      <x:c r="A56" s="36"/>
      <x:c r="B56" s="40"/>
      <x:c r="C56" s="36"/>
      <x:c r="D56" s="36"/>
      <x:c r="E56" s="36"/>
      <x:c r="F56" s="36"/>
      <x:c r="G56" s="41"/>
      <x:c r="H56" s="40"/>
      <x:c r="I56" s="36"/>
      <x:c r="J56" s="36"/>
      <x:c r="K56" s="40"/>
      <x:c r="L56" s="36"/>
    </x:row>
    <x:row r="57" ht="23" customHeight="1">
      <x:c r="A57" s="36"/>
      <x:c r="B57" s="40"/>
      <x:c r="C57" s="36"/>
      <x:c r="D57" s="36"/>
      <x:c r="E57" s="36"/>
      <x:c r="F57" s="36"/>
      <x:c r="G57" s="41"/>
      <x:c r="H57" s="40"/>
      <x:c r="I57" s="36"/>
      <x:c r="J57" s="36"/>
      <x:c r="K57" s="40"/>
      <x:c r="L57" s="36"/>
    </x:row>
    <x:row r="58" ht="23" customHeight="1">
      <x:c r="A58" s="36"/>
      <x:c r="B58" s="40"/>
      <x:c r="C58" s="36"/>
      <x:c r="D58" s="36"/>
      <x:c r="E58" s="36"/>
      <x:c r="F58" s="36"/>
      <x:c r="G58" s="41"/>
      <x:c r="H58" s="40"/>
      <x:c r="I58" s="36"/>
      <x:c r="J58" s="36"/>
      <x:c r="K58" s="40"/>
      <x:c r="L58" s="36"/>
    </x:row>
    <x:row r="59" ht="23" customHeight="1">
      <x:c r="A59" s="36"/>
      <x:c r="B59" s="40"/>
      <x:c r="C59" s="36"/>
      <x:c r="D59" s="36"/>
      <x:c r="E59" s="36"/>
      <x:c r="F59" s="36"/>
      <x:c r="G59" s="41"/>
      <x:c r="H59" s="40"/>
      <x:c r="I59" s="36"/>
      <x:c r="J59" s="36"/>
      <x:c r="K59" s="40"/>
      <x:c r="L59" s="36"/>
    </x:row>
    <x:row r="60" ht="23" customHeight="1">
      <x:c r="A60" s="36"/>
      <x:c r="B60" s="40"/>
      <x:c r="C60" s="36"/>
      <x:c r="D60" s="36"/>
      <x:c r="E60" s="36"/>
      <x:c r="F60" s="36"/>
      <x:c r="G60" s="41"/>
      <x:c r="H60" s="40"/>
      <x:c r="I60" s="36"/>
      <x:c r="J60" s="36"/>
      <x:c r="K60" s="40"/>
      <x:c r="L60" s="36"/>
    </x:row>
    <x:row r="61" ht="23" customHeight="1">
      <x:c r="A61" s="36"/>
      <x:c r="B61" s="40"/>
      <x:c r="C61" s="36"/>
      <x:c r="D61" s="36"/>
      <x:c r="E61" s="36"/>
      <x:c r="F61" s="36"/>
      <x:c r="G61" s="41"/>
      <x:c r="H61" s="40"/>
      <x:c r="I61" s="36"/>
      <x:c r="J61" s="36"/>
      <x:c r="K61" s="40"/>
      <x:c r="L61" s="36"/>
    </x:row>
    <x:row r="62" ht="23" customHeight="1">
      <x:c r="A62" s="36"/>
      <x:c r="B62" s="40"/>
      <x:c r="C62" s="36"/>
      <x:c r="D62" s="36"/>
      <x:c r="E62" s="36"/>
      <x:c r="F62" s="36"/>
      <x:c r="G62" s="41"/>
      <x:c r="H62" s="40"/>
      <x:c r="I62" s="36"/>
      <x:c r="J62" s="36"/>
      <x:c r="K62" s="40"/>
      <x:c r="L62" s="36"/>
    </x:row>
    <x:row r="63" ht="23" customHeight="1">
      <x:c r="A63" s="36"/>
      <x:c r="B63" s="40"/>
      <x:c r="C63" s="36"/>
      <x:c r="D63" s="36"/>
      <x:c r="E63" s="36"/>
      <x:c r="F63" s="36"/>
      <x:c r="G63" s="41"/>
      <x:c r="H63" s="40"/>
      <x:c r="I63" s="36"/>
      <x:c r="J63" s="36"/>
      <x:c r="K63" s="40"/>
      <x:c r="L63" s="36"/>
    </x:row>
    <x:row r="64" ht="23" customHeight="1">
      <x:c r="A64" s="36"/>
      <x:c r="B64" s="40"/>
      <x:c r="C64" s="36"/>
      <x:c r="D64" s="36"/>
      <x:c r="E64" s="36"/>
      <x:c r="F64" s="36"/>
      <x:c r="G64" s="41"/>
      <x:c r="H64" s="40"/>
      <x:c r="I64" s="36"/>
      <x:c r="J64" s="36"/>
      <x:c r="K64" s="40"/>
      <x:c r="L64" s="36"/>
    </x:row>
    <x:row r="65" ht="23" customHeight="1">
      <x:c r="A65" s="36"/>
      <x:c r="B65" s="40"/>
      <x:c r="C65" s="36"/>
      <x:c r="D65" s="36"/>
      <x:c r="E65" s="36"/>
      <x:c r="F65" s="36"/>
      <x:c r="G65" s="41"/>
      <x:c r="H65" s="40"/>
      <x:c r="I65" s="36"/>
      <x:c r="J65" s="36"/>
      <x:c r="K65" s="40"/>
      <x:c r="L65" s="36"/>
    </x:row>
    <x:row r="66" ht="23" customHeight="1">
      <x:c r="A66" s="36"/>
      <x:c r="B66" s="40"/>
      <x:c r="C66" s="36"/>
      <x:c r="D66" s="36"/>
      <x:c r="E66" s="36"/>
      <x:c r="F66" s="36"/>
      <x:c r="G66" s="41"/>
      <x:c r="H66" s="40"/>
      <x:c r="I66" s="36"/>
      <x:c r="J66" s="36"/>
      <x:c r="K66" s="40"/>
      <x:c r="L66" s="36"/>
    </x:row>
    <x:row r="67" ht="23" customHeight="1">
      <x:c r="A67" s="36"/>
      <x:c r="B67" s="40"/>
      <x:c r="C67" s="36"/>
      <x:c r="D67" s="36"/>
      <x:c r="E67" s="36"/>
      <x:c r="F67" s="36"/>
      <x:c r="G67" s="41"/>
      <x:c r="H67" s="40"/>
      <x:c r="I67" s="36"/>
      <x:c r="J67" s="36"/>
      <x:c r="K67" s="40"/>
      <x:c r="L67" s="36"/>
    </x:row>
    <x:row r="68" ht="23" customHeight="1">
      <x:c r="A68" s="36"/>
      <x:c r="B68" s="40"/>
      <x:c r="C68" s="36"/>
      <x:c r="D68" s="36"/>
      <x:c r="E68" s="36"/>
      <x:c r="F68" s="36"/>
      <x:c r="G68" s="41"/>
      <x:c r="H68" s="40"/>
      <x:c r="I68" s="36"/>
      <x:c r="J68" s="36"/>
      <x:c r="K68" s="40"/>
      <x:c r="L68" s="36"/>
    </x:row>
    <x:row r="69" ht="23" customHeight="1">
      <x:c r="A69" s="36"/>
      <x:c r="B69" s="40"/>
      <x:c r="C69" s="36"/>
      <x:c r="D69" s="36"/>
      <x:c r="E69" s="36"/>
      <x:c r="F69" s="36"/>
      <x:c r="G69" s="41"/>
      <x:c r="H69" s="40"/>
      <x:c r="I69" s="36"/>
      <x:c r="J69" s="36"/>
      <x:c r="K69" s="40"/>
      <x:c r="L69" s="36"/>
    </x:row>
    <x:row r="70" ht="23" customHeight="1">
      <x:c r="A70" s="36"/>
      <x:c r="B70" s="40"/>
      <x:c r="C70" s="36"/>
      <x:c r="D70" s="36"/>
      <x:c r="E70" s="36"/>
      <x:c r="F70" s="36"/>
      <x:c r="G70" s="41"/>
      <x:c r="H70" s="40"/>
      <x:c r="I70" s="36"/>
      <x:c r="J70" s="36"/>
      <x:c r="K70" s="40"/>
      <x:c r="L70" s="36"/>
    </x:row>
    <x:row r="71" ht="23" customHeight="1">
      <x:c r="A71" s="36"/>
      <x:c r="B71" s="40"/>
      <x:c r="C71" s="36"/>
      <x:c r="D71" s="36"/>
      <x:c r="E71" s="36"/>
      <x:c r="F71" s="36"/>
      <x:c r="G71" s="41"/>
      <x:c r="H71" s="40"/>
      <x:c r="I71" s="36"/>
      <x:c r="J71" s="36"/>
      <x:c r="K71" s="40"/>
      <x:c r="L71" s="36"/>
    </x:row>
    <x:row r="72" ht="23" customHeight="1">
      <x:c r="A72" s="36"/>
      <x:c r="B72" s="40"/>
      <x:c r="C72" s="36"/>
      <x:c r="D72" s="36"/>
      <x:c r="E72" s="36"/>
      <x:c r="F72" s="36"/>
      <x:c r="G72" s="41"/>
      <x:c r="H72" s="40"/>
      <x:c r="I72" s="36"/>
      <x:c r="J72" s="36"/>
      <x:c r="K72" s="40"/>
      <x:c r="L72" s="36"/>
    </x:row>
    <x:row r="73" ht="23" customHeight="1">
      <x:c r="A73" s="36"/>
      <x:c r="B73" s="40"/>
      <x:c r="C73" s="36"/>
      <x:c r="D73" s="36"/>
      <x:c r="E73" s="36"/>
      <x:c r="F73" s="36"/>
      <x:c r="G73" s="41"/>
      <x:c r="H73" s="40"/>
      <x:c r="I73" s="36"/>
      <x:c r="J73" s="36"/>
      <x:c r="K73" s="40"/>
      <x:c r="L73" s="36"/>
    </x:row>
    <x:row r="74" ht="23" customHeight="1">
      <x:c r="A74" s="36"/>
      <x:c r="B74" s="40"/>
      <x:c r="C74" s="36"/>
      <x:c r="D74" s="36"/>
      <x:c r="E74" s="36"/>
      <x:c r="F74" s="36"/>
      <x:c r="G74" s="41"/>
      <x:c r="H74" s="40"/>
      <x:c r="I74" s="36"/>
      <x:c r="J74" s="36"/>
      <x:c r="K74" s="40"/>
      <x:c r="L74" s="36"/>
    </x:row>
    <x:row r="75" ht="23" customHeight="1">
      <x:c r="A75" s="36"/>
      <x:c r="B75" s="40"/>
      <x:c r="C75" s="36"/>
      <x:c r="D75" s="36"/>
      <x:c r="E75" s="36"/>
      <x:c r="F75" s="36"/>
      <x:c r="G75" s="41"/>
      <x:c r="H75" s="40"/>
      <x:c r="I75" s="36"/>
      <x:c r="J75" s="36"/>
      <x:c r="K75" s="40"/>
      <x:c r="L75" s="36"/>
    </x:row>
    <x:row r="76" ht="23" customHeight="1">
      <x:c r="A76" s="36"/>
      <x:c r="B76" s="40"/>
      <x:c r="C76" s="36"/>
      <x:c r="D76" s="36"/>
      <x:c r="E76" s="36"/>
      <x:c r="F76" s="36"/>
      <x:c r="G76" s="41"/>
      <x:c r="H76" s="40"/>
      <x:c r="I76" s="36"/>
      <x:c r="J76" s="36"/>
      <x:c r="K76" s="40"/>
      <x:c r="L76" s="36"/>
    </x:row>
    <x:row r="77" ht="23" customHeight="1">
      <x:c r="A77" s="36"/>
      <x:c r="B77" s="40"/>
      <x:c r="C77" s="36"/>
      <x:c r="D77" s="36"/>
      <x:c r="E77" s="36"/>
      <x:c r="F77" s="36"/>
      <x:c r="G77" s="41"/>
      <x:c r="H77" s="40"/>
      <x:c r="I77" s="36"/>
      <x:c r="J77" s="36"/>
      <x:c r="K77" s="40"/>
      <x:c r="L77" s="36"/>
    </x:row>
    <x:row r="78" ht="23" customHeight="1">
      <x:c r="A78" s="36"/>
      <x:c r="B78" s="40"/>
      <x:c r="C78" s="36"/>
      <x:c r="D78" s="36"/>
      <x:c r="E78" s="36"/>
      <x:c r="F78" s="36"/>
      <x:c r="G78" s="41"/>
      <x:c r="H78" s="40"/>
      <x:c r="I78" s="36"/>
      <x:c r="J78" s="36"/>
      <x:c r="K78" s="40"/>
      <x:c r="L78" s="36"/>
    </x:row>
    <x:row r="79" ht="23" customHeight="1">
      <x:c r="A79" s="36"/>
      <x:c r="B79" s="40"/>
      <x:c r="C79" s="36"/>
      <x:c r="D79" s="36"/>
      <x:c r="E79" s="36"/>
      <x:c r="F79" s="36"/>
      <x:c r="G79" s="41"/>
      <x:c r="H79" s="40"/>
      <x:c r="I79" s="36"/>
      <x:c r="J79" s="36"/>
      <x:c r="K79" s="40"/>
      <x:c r="L79" s="36"/>
    </x:row>
    <x:row r="80" ht="23" customHeight="1">
      <x:c r="A80" s="36"/>
      <x:c r="B80" s="40"/>
      <x:c r="C80" s="36"/>
      <x:c r="D80" s="36"/>
      <x:c r="E80" s="36"/>
      <x:c r="F80" s="36"/>
      <x:c r="G80" s="41"/>
      <x:c r="H80" s="40"/>
      <x:c r="I80" s="36"/>
      <x:c r="J80" s="36"/>
      <x:c r="K80" s="40"/>
      <x:c r="L80" s="36"/>
    </x:row>
    <x:row r="81" ht="23" customHeight="1">
      <x:c r="A81" s="36"/>
      <x:c r="B81" s="40"/>
      <x:c r="C81" s="36"/>
      <x:c r="D81" s="36"/>
      <x:c r="E81" s="36"/>
      <x:c r="F81" s="36"/>
      <x:c r="G81" s="41"/>
      <x:c r="H81" s="40"/>
      <x:c r="I81" s="36"/>
      <x:c r="J81" s="36"/>
      <x:c r="K81" s="40"/>
      <x:c r="L81" s="36"/>
    </x:row>
    <x:row r="82" ht="23" customHeight="1">
      <x:c r="A82" s="36"/>
      <x:c r="B82" s="40"/>
      <x:c r="C82" s="36"/>
      <x:c r="D82" s="36"/>
      <x:c r="E82" s="36"/>
      <x:c r="F82" s="36"/>
      <x:c r="G82" s="41"/>
      <x:c r="H82" s="40"/>
      <x:c r="I82" s="36"/>
      <x:c r="J82" s="36"/>
      <x:c r="K82" s="40"/>
      <x:c r="L82" s="36"/>
    </x:row>
    <x:row r="83" ht="23" customHeight="1">
      <x:c r="A83" s="36"/>
      <x:c r="B83" s="40"/>
      <x:c r="C83" s="36"/>
      <x:c r="D83" s="36"/>
      <x:c r="E83" s="36"/>
      <x:c r="F83" s="36"/>
      <x:c r="G83" s="41"/>
      <x:c r="H83" s="40"/>
      <x:c r="I83" s="36"/>
      <x:c r="J83" s="36"/>
      <x:c r="K83" s="40"/>
      <x:c r="L83" s="36"/>
    </x:row>
    <x:row r="84" ht="23" customHeight="1">
      <x:c r="A84" s="36"/>
      <x:c r="B84" s="40"/>
      <x:c r="C84" s="36"/>
      <x:c r="D84" s="36"/>
      <x:c r="E84" s="36"/>
      <x:c r="F84" s="36"/>
      <x:c r="G84" s="41"/>
      <x:c r="H84" s="40"/>
      <x:c r="I84" s="36"/>
      <x:c r="J84" s="36"/>
      <x:c r="K84" s="40"/>
      <x:c r="L84" s="36"/>
    </x:row>
    <x:row r="85" ht="23" customHeight="1">
      <x:c r="A85" s="36"/>
      <x:c r="B85" s="40"/>
      <x:c r="C85" s="36"/>
      <x:c r="D85" s="36"/>
      <x:c r="E85" s="36"/>
      <x:c r="F85" s="36"/>
      <x:c r="G85" s="41"/>
      <x:c r="H85" s="40"/>
      <x:c r="I85" s="36"/>
      <x:c r="J85" s="36"/>
      <x:c r="K85" s="40"/>
      <x:c r="L85" s="36"/>
    </x:row>
    <x:row r="86" ht="23" customHeight="1">
      <x:c r="A86" s="36"/>
      <x:c r="B86" s="40"/>
      <x:c r="C86" s="36"/>
      <x:c r="D86" s="36"/>
      <x:c r="E86" s="36"/>
      <x:c r="F86" s="36"/>
      <x:c r="G86" s="41"/>
      <x:c r="H86" s="40"/>
      <x:c r="I86" s="36"/>
      <x:c r="J86" s="36"/>
      <x:c r="K86" s="40"/>
      <x:c r="L86" s="36"/>
    </x:row>
    <x:row r="87" ht="23" customHeight="1">
      <x:c r="A87" s="36"/>
      <x:c r="B87" s="40"/>
      <x:c r="C87" s="36"/>
      <x:c r="D87" s="36"/>
      <x:c r="E87" s="36"/>
      <x:c r="F87" s="36"/>
      <x:c r="G87" s="41"/>
      <x:c r="H87" s="40"/>
      <x:c r="I87" s="36"/>
      <x:c r="J87" s="36"/>
      <x:c r="K87" s="40"/>
      <x:c r="L87" s="36"/>
    </x:row>
    <x:row r="88" ht="23" customHeight="1">
      <x:c r="A88" s="36"/>
      <x:c r="B88" s="40"/>
      <x:c r="C88" s="36"/>
      <x:c r="D88" s="36"/>
      <x:c r="E88" s="36"/>
      <x:c r="F88" s="36"/>
      <x:c r="G88" s="41"/>
      <x:c r="H88" s="40"/>
      <x:c r="I88" s="36"/>
      <x:c r="J88" s="36"/>
      <x:c r="K88" s="40"/>
      <x:c r="L88" s="36"/>
    </x:row>
    <x:row r="89" ht="23" customHeight="1">
      <x:c r="A89" s="36"/>
      <x:c r="B89" s="40"/>
      <x:c r="C89" s="36"/>
      <x:c r="D89" s="36"/>
      <x:c r="E89" s="36"/>
      <x:c r="F89" s="36"/>
      <x:c r="G89" s="41"/>
      <x:c r="H89" s="40"/>
      <x:c r="I89" s="36"/>
      <x:c r="J89" s="36"/>
      <x:c r="K89" s="40"/>
      <x:c r="L89" s="36"/>
    </x:row>
    <x:row r="90" ht="23" customHeight="1">
      <x:c r="A90" s="36"/>
      <x:c r="B90" s="40"/>
      <x:c r="C90" s="36"/>
      <x:c r="D90" s="36"/>
      <x:c r="E90" s="36"/>
      <x:c r="F90" s="36"/>
      <x:c r="G90" s="41"/>
      <x:c r="H90" s="40"/>
      <x:c r="I90" s="36"/>
      <x:c r="J90" s="36"/>
      <x:c r="K90" s="40"/>
      <x:c r="L90" s="36"/>
    </x:row>
    <x:row r="91" ht="23" customHeight="1">
      <x:c r="A91" s="36"/>
      <x:c r="B91" s="40"/>
      <x:c r="C91" s="36"/>
      <x:c r="D91" s="36"/>
      <x:c r="E91" s="36"/>
      <x:c r="F91" s="36"/>
      <x:c r="G91" s="41"/>
      <x:c r="H91" s="40"/>
      <x:c r="I91" s="36"/>
      <x:c r="J91" s="36"/>
      <x:c r="K91" s="40"/>
      <x:c r="L91" s="36"/>
    </x:row>
    <x:row r="92" ht="23" customHeight="1">
      <x:c r="A92" s="36"/>
      <x:c r="B92" s="40"/>
      <x:c r="C92" s="36"/>
      <x:c r="D92" s="36"/>
      <x:c r="E92" s="36"/>
      <x:c r="F92" s="36"/>
      <x:c r="G92" s="41"/>
      <x:c r="H92" s="40"/>
      <x:c r="I92" s="36"/>
      <x:c r="J92" s="36"/>
      <x:c r="K92" s="40"/>
      <x:c r="L92" s="36"/>
    </x:row>
    <x:row r="93" ht="23" customHeight="1">
      <x:c r="A93" s="36"/>
      <x:c r="B93" s="40"/>
      <x:c r="C93" s="36"/>
      <x:c r="D93" s="36"/>
      <x:c r="E93" s="36"/>
      <x:c r="F93" s="36"/>
      <x:c r="G93" s="41"/>
      <x:c r="H93" s="40"/>
      <x:c r="I93" s="36"/>
      <x:c r="J93" s="36"/>
      <x:c r="K93" s="40"/>
      <x:c r="L93" s="36"/>
    </x:row>
    <x:row r="94" ht="23" customHeight="1">
      <x:c r="A94" s="36"/>
      <x:c r="B94" s="40"/>
      <x:c r="C94" s="36"/>
      <x:c r="D94" s="36"/>
      <x:c r="E94" s="36"/>
      <x:c r="F94" s="36"/>
      <x:c r="G94" s="41"/>
      <x:c r="H94" s="40"/>
      <x:c r="I94" s="36"/>
      <x:c r="J94" s="36"/>
      <x:c r="K94" s="40"/>
      <x:c r="L94" s="36"/>
    </x:row>
    <x:row r="95" ht="23" customHeight="1">
      <x:c r="A95" s="36"/>
      <x:c r="B95" s="40"/>
      <x:c r="C95" s="36"/>
      <x:c r="D95" s="36"/>
      <x:c r="E95" s="36"/>
      <x:c r="F95" s="36"/>
      <x:c r="G95" s="41"/>
      <x:c r="H95" s="40"/>
      <x:c r="I95" s="36"/>
      <x:c r="J95" s="36"/>
      <x:c r="K95" s="40"/>
      <x:c r="L95" s="36"/>
    </x:row>
    <x:row r="96" ht="23" customHeight="1">
      <x:c r="A96" s="36"/>
      <x:c r="B96" s="40"/>
      <x:c r="C96" s="36"/>
      <x:c r="D96" s="36"/>
      <x:c r="E96" s="36"/>
      <x:c r="F96" s="36"/>
      <x:c r="G96" s="41"/>
      <x:c r="H96" s="40"/>
      <x:c r="I96" s="36"/>
      <x:c r="J96" s="36"/>
      <x:c r="K96" s="40"/>
      <x:c r="L96" s="36"/>
    </x:row>
    <x:row r="97" ht="23" customHeight="1">
      <x:c r="A97" s="36"/>
      <x:c r="B97" s="40"/>
      <x:c r="C97" s="36"/>
      <x:c r="D97" s="36"/>
      <x:c r="E97" s="36"/>
      <x:c r="F97" s="36"/>
      <x:c r="G97" s="41"/>
      <x:c r="H97" s="40"/>
      <x:c r="I97" s="36"/>
      <x:c r="J97" s="36"/>
      <x:c r="K97" s="40"/>
      <x:c r="L97" s="36"/>
    </x:row>
    <x:row r="98" ht="23" customHeight="1">
      <x:c r="A98" s="36"/>
      <x:c r="B98" s="40"/>
      <x:c r="C98" s="36"/>
      <x:c r="D98" s="36"/>
      <x:c r="E98" s="36"/>
      <x:c r="F98" s="36"/>
      <x:c r="G98" s="41"/>
      <x:c r="H98" s="40"/>
      <x:c r="I98" s="36"/>
      <x:c r="J98" s="36"/>
      <x:c r="K98" s="40"/>
      <x:c r="L98" s="36"/>
    </x:row>
    <x:row r="99" ht="23" customHeight="1">
      <x:c r="A99" s="36"/>
      <x:c r="B99" s="40"/>
      <x:c r="C99" s="36"/>
      <x:c r="D99" s="36"/>
      <x:c r="E99" s="36"/>
      <x:c r="F99" s="36"/>
      <x:c r="G99" s="41"/>
      <x:c r="H99" s="40"/>
      <x:c r="I99" s="36"/>
      <x:c r="J99" s="36"/>
      <x:c r="K99" s="40"/>
      <x:c r="L99" s="36"/>
    </x:row>
    <x:row r="100" ht="23" customHeight="1">
      <x:c r="A100" s="36"/>
      <x:c r="B100" s="40"/>
      <x:c r="C100" s="36"/>
      <x:c r="D100" s="36"/>
      <x:c r="E100" s="36"/>
      <x:c r="F100" s="36"/>
      <x:c r="G100" s="41"/>
      <x:c r="H100" s="40"/>
      <x:c r="I100" s="36"/>
      <x:c r="J100" s="36"/>
      <x:c r="K100" s="40"/>
      <x:c r="L100" s="36"/>
    </x:row>
    <x:row r="101" ht="23" customHeight="1">
      <x:c r="A101" s="36"/>
      <x:c r="B101" s="40"/>
      <x:c r="C101" s="36"/>
      <x:c r="D101" s="36"/>
      <x:c r="E101" s="36"/>
      <x:c r="F101" s="36"/>
      <x:c r="G101" s="41"/>
      <x:c r="H101" s="40"/>
      <x:c r="I101" s="36"/>
      <x:c r="J101" s="36"/>
      <x:c r="K101" s="40"/>
      <x:c r="L101" s="36"/>
    </x:row>
    <x:row r="102" ht="23" customHeight="1">
      <x:c r="A102" s="36"/>
      <x:c r="B102" s="40"/>
      <x:c r="C102" s="36"/>
      <x:c r="D102" s="36"/>
      <x:c r="E102" s="36"/>
      <x:c r="F102" s="36"/>
      <x:c r="G102" s="41"/>
      <x:c r="H102" s="40"/>
      <x:c r="I102" s="36"/>
      <x:c r="J102" s="36"/>
      <x:c r="K102" s="40"/>
      <x:c r="L102" s="36"/>
    </x:row>
    <x:row r="103" ht="23" customHeight="1">
      <x:c r="A103" s="36"/>
      <x:c r="B103" s="40"/>
      <x:c r="C103" s="36"/>
      <x:c r="D103" s="36"/>
      <x:c r="E103" s="36"/>
      <x:c r="F103" s="36"/>
      <x:c r="G103" s="41"/>
      <x:c r="H103" s="40"/>
      <x:c r="I103" s="36"/>
      <x:c r="J103" s="36"/>
      <x:c r="K103" s="40"/>
      <x:c r="L103" s="36"/>
    </x:row>
    <x:row r="104" ht="23" customHeight="1">
      <x:c r="A104" s="36"/>
      <x:c r="B104" s="40"/>
      <x:c r="C104" s="36"/>
      <x:c r="D104" s="36"/>
      <x:c r="E104" s="36"/>
      <x:c r="F104" s="36"/>
      <x:c r="G104" s="41"/>
      <x:c r="H104" s="40"/>
      <x:c r="I104" s="36"/>
      <x:c r="J104" s="36"/>
      <x:c r="K104" s="40"/>
      <x:c r="L104" s="36"/>
    </x:row>
    <x:row r="105" ht="23" customHeight="1">
      <x:c r="A105" s="36"/>
      <x:c r="B105" s="40"/>
      <x:c r="C105" s="36"/>
      <x:c r="D105" s="36"/>
      <x:c r="E105" s="36"/>
      <x:c r="F105" s="36"/>
      <x:c r="G105" s="41"/>
      <x:c r="H105" s="40"/>
      <x:c r="I105" s="36"/>
      <x:c r="J105" s="36"/>
      <x:c r="K105" s="40"/>
      <x:c r="L105" s="36"/>
    </x:row>
  </x:sheetData>
  <x:dataValidations count="3">
    <x:dataValidation type="list" sqref="C6:C105">
      <x:formula1>"Design,Product launch,Investor,Partnership,Marketing,Process"</x:formula1>
    </x:dataValidation>
    <x:dataValidation type="list" sqref="F6:F105">
      <x:formula1>'Partners'!$A$6:$A$15</x:formula1>
    </x:dataValidation>
    <x:dataValidation type="list" sqref="I6:I105">
      <x:formula1>"Idea,Research,Approved,In progress,Done,Rejected"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c482ef893c4989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  <x:c r="H1" s="31"/>
      <x:c r="I1" s="31"/>
    </x:row>
    <x:row r="2" ht="23" customHeight="1">
      <x:c r="A2" s="32" t="str">
        <x:v>AFK THEORY / Reconciliation</x:v>
      </x:c>
      <x:c r="B2" s="31"/>
      <x:c r="C2" s="31"/>
      <x:c r="D2" s="31"/>
      <x:c r="E2" s="31"/>
      <x:c r="F2" s="31"/>
      <x:c r="G2" s="31"/>
      <x:c r="H2" s="31"/>
      <x:c r="I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  <x:c r="H3" s="31"/>
      <x:c r="I3" s="31"/>
    </x:row>
    <x:row r="4" ht="23" customHeight="1">
      <x:c r="A4" s="34"/>
      <x:c r="B4" s="34"/>
      <x:c r="C4" s="34"/>
      <x:c r="D4" s="34"/>
      <x:c r="E4" s="34"/>
      <x:c r="F4" s="34"/>
      <x:c r="G4" s="34"/>
      <x:c r="H4" s="34"/>
      <x:c r="I4" s="34"/>
    </x:row>
    <x:row r="5" ht="34" customHeight="1">
      <x:c r="A5" s="38" t="str">
        <x:v>Check ID</x:v>
      </x:c>
      <x:c r="B5" s="38" t="str">
        <x:v>As-of date</x:v>
      </x:c>
      <x:c r="C5" s="38" t="str">
        <x:v>Account</x:v>
      </x:c>
      <x:c r="D5" s="38" t="str">
        <x:v>Statement / count BDT</x:v>
      </x:c>
      <x:c r="E5" s="38" t="str">
        <x:v>Book balance BDT</x:v>
      </x:c>
      <x:c r="F5" s="38" t="str">
        <x:v>Difference BDT</x:v>
      </x:c>
      <x:c r="G5" s="38" t="str">
        <x:v>Checked by</x:v>
      </x:c>
      <x:c r="H5" s="38" t="str">
        <x:v>Evidence URL</x:v>
      </x:c>
      <x:c r="I5" s="38" t="str">
        <x:v>Explanation / action</x:v>
      </x:c>
    </x:row>
    <x:row r="6" ht="23" customHeight="1">
      <x:c r="A6" s="36"/>
      <x:c r="B6" s="40"/>
      <x:c r="C6" s="36"/>
      <x:c r="D6" s="41"/>
      <x:c r="E6" s="37" t="str">
        <x:f>IF(A6="","",IF(COUNTIFS('Accounts'!$A$6:$A$105,C6)=1,(SUMIFS('Entries'!$S$6:$S$505,'Entries'!$Q$6:$Q$505,C6,'Entries'!$B$6:$B$505,"&lt;="&amp;B6)-SUMIFS('Entries'!$S$6:$S$505,'Entries'!$R$6:$R$505,C6,'Entries'!$B$6:$B$505,"&lt;="&amp;B6))*VLOOKUP(C6,'Accounts'!$A$6:$C$105,3,FALSE),"Unknown account"))</x:f>
      </x:c>
      <x:c r="F6" s="37" t="str">
        <x:f>IF(A6="","",IF(AND(ISNUMBER(D6),ISNUMBER(E6)),D6-E6,"Enter statement balance"))</x:f>
      </x:c>
      <x:c r="G6" s="43"/>
      <x:c r="H6" s="43"/>
      <x:c r="I6" s="43"/>
    </x:row>
    <x:row r="7" ht="23" customHeight="1">
      <x:c r="A7" s="36"/>
      <x:c r="B7" s="40"/>
      <x:c r="C7" s="36"/>
      <x:c r="D7" s="41"/>
      <x:c r="E7" s="37" t="str">
        <x:f>IF(A7="","",IF(COUNTIFS('Accounts'!$A$6:$A$105,C7)=1,(SUMIFS('Entries'!$S$6:$S$505,'Entries'!$Q$6:$Q$505,C7,'Entries'!$B$6:$B$505,"&lt;="&amp;B7)-SUMIFS('Entries'!$S$6:$S$505,'Entries'!$R$6:$R$505,C7,'Entries'!$B$6:$B$505,"&lt;="&amp;B7))*VLOOKUP(C7,'Accounts'!$A$6:$C$105,3,FALSE),"Unknown account"))</x:f>
      </x:c>
      <x:c r="F7" s="37" t="str">
        <x:f>IF(A7="","",IF(AND(ISNUMBER(D7),ISNUMBER(E7)),D7-E7,"Enter statement balance"))</x:f>
      </x:c>
      <x:c r="G7" s="43"/>
      <x:c r="H7" s="43"/>
      <x:c r="I7" s="43"/>
    </x:row>
    <x:row r="8" ht="23" customHeight="1">
      <x:c r="A8" s="36"/>
      <x:c r="B8" s="40"/>
      <x:c r="C8" s="36"/>
      <x:c r="D8" s="41"/>
      <x:c r="E8" s="37" t="str">
        <x:f>IF(A8="","",IF(COUNTIFS('Accounts'!$A$6:$A$105,C8)=1,(SUMIFS('Entries'!$S$6:$S$505,'Entries'!$Q$6:$Q$505,C8,'Entries'!$B$6:$B$505,"&lt;="&amp;B8)-SUMIFS('Entries'!$S$6:$S$505,'Entries'!$R$6:$R$505,C8,'Entries'!$B$6:$B$505,"&lt;="&amp;B8))*VLOOKUP(C8,'Accounts'!$A$6:$C$105,3,FALSE),"Unknown account"))</x:f>
      </x:c>
      <x:c r="F8" s="37" t="str">
        <x:f>IF(A8="","",IF(AND(ISNUMBER(D8),ISNUMBER(E8)),D8-E8,"Enter statement balance"))</x:f>
      </x:c>
      <x:c r="G8" s="43"/>
      <x:c r="H8" s="43"/>
      <x:c r="I8" s="43"/>
    </x:row>
    <x:row r="9" ht="23" customHeight="1">
      <x:c r="A9" s="36"/>
      <x:c r="B9" s="40"/>
      <x:c r="C9" s="36"/>
      <x:c r="D9" s="41"/>
      <x:c r="E9" s="37" t="str">
        <x:f>IF(A9="","",IF(COUNTIFS('Accounts'!$A$6:$A$105,C9)=1,(SUMIFS('Entries'!$S$6:$S$505,'Entries'!$Q$6:$Q$505,C9,'Entries'!$B$6:$B$505,"&lt;="&amp;B9)-SUMIFS('Entries'!$S$6:$S$505,'Entries'!$R$6:$R$505,C9,'Entries'!$B$6:$B$505,"&lt;="&amp;B9))*VLOOKUP(C9,'Accounts'!$A$6:$C$105,3,FALSE),"Unknown account"))</x:f>
      </x:c>
      <x:c r="F9" s="37" t="str">
        <x:f>IF(A9="","",IF(AND(ISNUMBER(D9),ISNUMBER(E9)),D9-E9,"Enter statement balance"))</x:f>
      </x:c>
      <x:c r="G9" s="43"/>
      <x:c r="H9" s="43"/>
      <x:c r="I9" s="43"/>
    </x:row>
    <x:row r="10" ht="23" customHeight="1">
      <x:c r="A10" s="36"/>
      <x:c r="B10" s="40"/>
      <x:c r="C10" s="36"/>
      <x:c r="D10" s="41"/>
      <x:c r="E10" s="37" t="str">
        <x:f>IF(A10="","",IF(COUNTIFS('Accounts'!$A$6:$A$105,C10)=1,(SUMIFS('Entries'!$S$6:$S$505,'Entries'!$Q$6:$Q$505,C10,'Entries'!$B$6:$B$505,"&lt;="&amp;B10)-SUMIFS('Entries'!$S$6:$S$505,'Entries'!$R$6:$R$505,C10,'Entries'!$B$6:$B$505,"&lt;="&amp;B10))*VLOOKUP(C10,'Accounts'!$A$6:$C$105,3,FALSE),"Unknown account"))</x:f>
      </x:c>
      <x:c r="F10" s="37" t="str">
        <x:f>IF(A10="","",IF(AND(ISNUMBER(D10),ISNUMBER(E10)),D10-E10,"Enter statement balance"))</x:f>
      </x:c>
      <x:c r="G10" s="43"/>
      <x:c r="H10" s="43"/>
      <x:c r="I10" s="43"/>
    </x:row>
    <x:row r="11" ht="23" customHeight="1">
      <x:c r="A11" s="36"/>
      <x:c r="B11" s="40"/>
      <x:c r="C11" s="36"/>
      <x:c r="D11" s="41"/>
      <x:c r="E11" s="37" t="str">
        <x:f>IF(A11="","",IF(COUNTIFS('Accounts'!$A$6:$A$105,C11)=1,(SUMIFS('Entries'!$S$6:$S$505,'Entries'!$Q$6:$Q$505,C11,'Entries'!$B$6:$B$505,"&lt;="&amp;B11)-SUMIFS('Entries'!$S$6:$S$505,'Entries'!$R$6:$R$505,C11,'Entries'!$B$6:$B$505,"&lt;="&amp;B11))*VLOOKUP(C11,'Accounts'!$A$6:$C$105,3,FALSE),"Unknown account"))</x:f>
      </x:c>
      <x:c r="F11" s="37" t="str">
        <x:f>IF(A11="","",IF(AND(ISNUMBER(D11),ISNUMBER(E11)),D11-E11,"Enter statement balance"))</x:f>
      </x:c>
      <x:c r="G11" s="43"/>
      <x:c r="H11" s="43"/>
      <x:c r="I11" s="43"/>
    </x:row>
    <x:row r="12" ht="23" customHeight="1">
      <x:c r="A12" s="36"/>
      <x:c r="B12" s="40"/>
      <x:c r="C12" s="36"/>
      <x:c r="D12" s="41"/>
      <x:c r="E12" s="37" t="str">
        <x:f>IF(A12="","",IF(COUNTIFS('Accounts'!$A$6:$A$105,C12)=1,(SUMIFS('Entries'!$S$6:$S$505,'Entries'!$Q$6:$Q$505,C12,'Entries'!$B$6:$B$505,"&lt;="&amp;B12)-SUMIFS('Entries'!$S$6:$S$505,'Entries'!$R$6:$R$505,C12,'Entries'!$B$6:$B$505,"&lt;="&amp;B12))*VLOOKUP(C12,'Accounts'!$A$6:$C$105,3,FALSE),"Unknown account"))</x:f>
      </x:c>
      <x:c r="F12" s="37" t="str">
        <x:f>IF(A12="","",IF(AND(ISNUMBER(D12),ISNUMBER(E12)),D12-E12,"Enter statement balance"))</x:f>
      </x:c>
      <x:c r="G12" s="43"/>
      <x:c r="H12" s="43"/>
      <x:c r="I12" s="43"/>
    </x:row>
    <x:row r="13" ht="23" customHeight="1">
      <x:c r="A13" s="36"/>
      <x:c r="B13" s="40"/>
      <x:c r="C13" s="36"/>
      <x:c r="D13" s="41"/>
      <x:c r="E13" s="37" t="str">
        <x:f>IF(A13="","",IF(COUNTIFS('Accounts'!$A$6:$A$105,C13)=1,(SUMIFS('Entries'!$S$6:$S$505,'Entries'!$Q$6:$Q$505,C13,'Entries'!$B$6:$B$505,"&lt;="&amp;B13)-SUMIFS('Entries'!$S$6:$S$505,'Entries'!$R$6:$R$505,C13,'Entries'!$B$6:$B$505,"&lt;="&amp;B13))*VLOOKUP(C13,'Accounts'!$A$6:$C$105,3,FALSE),"Unknown account"))</x:f>
      </x:c>
      <x:c r="F13" s="37" t="str">
        <x:f>IF(A13="","",IF(AND(ISNUMBER(D13),ISNUMBER(E13)),D13-E13,"Enter statement balance"))</x:f>
      </x:c>
      <x:c r="G13" s="43"/>
      <x:c r="H13" s="43"/>
      <x:c r="I13" s="43"/>
    </x:row>
    <x:row r="14" ht="23" customHeight="1">
      <x:c r="A14" s="36"/>
      <x:c r="B14" s="40"/>
      <x:c r="C14" s="36"/>
      <x:c r="D14" s="41"/>
      <x:c r="E14" s="37" t="str">
        <x:f>IF(A14="","",IF(COUNTIFS('Accounts'!$A$6:$A$105,C14)=1,(SUMIFS('Entries'!$S$6:$S$505,'Entries'!$Q$6:$Q$505,C14,'Entries'!$B$6:$B$505,"&lt;="&amp;B14)-SUMIFS('Entries'!$S$6:$S$505,'Entries'!$R$6:$R$505,C14,'Entries'!$B$6:$B$505,"&lt;="&amp;B14))*VLOOKUP(C14,'Accounts'!$A$6:$C$105,3,FALSE),"Unknown account"))</x:f>
      </x:c>
      <x:c r="F14" s="37" t="str">
        <x:f>IF(A14="","",IF(AND(ISNUMBER(D14),ISNUMBER(E14)),D14-E14,"Enter statement balance"))</x:f>
      </x:c>
      <x:c r="G14" s="43"/>
      <x:c r="H14" s="43"/>
      <x:c r="I14" s="43"/>
    </x:row>
    <x:row r="15" ht="23" customHeight="1">
      <x:c r="A15" s="36"/>
      <x:c r="B15" s="40"/>
      <x:c r="C15" s="36"/>
      <x:c r="D15" s="41"/>
      <x:c r="E15" s="37" t="str">
        <x:f>IF(A15="","",IF(COUNTIFS('Accounts'!$A$6:$A$105,C15)=1,(SUMIFS('Entries'!$S$6:$S$505,'Entries'!$Q$6:$Q$505,C15,'Entries'!$B$6:$B$505,"&lt;="&amp;B15)-SUMIFS('Entries'!$S$6:$S$505,'Entries'!$R$6:$R$505,C15,'Entries'!$B$6:$B$505,"&lt;="&amp;B15))*VLOOKUP(C15,'Accounts'!$A$6:$C$105,3,FALSE),"Unknown account"))</x:f>
      </x:c>
      <x:c r="F15" s="37" t="str">
        <x:f>IF(A15="","",IF(AND(ISNUMBER(D15),ISNUMBER(E15)),D15-E15,"Enter statement balance"))</x:f>
      </x:c>
      <x:c r="G15" s="43"/>
      <x:c r="H15" s="43"/>
      <x:c r="I15" s="43"/>
    </x:row>
    <x:row r="16" ht="23" customHeight="1">
      <x:c r="A16" s="36"/>
      <x:c r="B16" s="40"/>
      <x:c r="C16" s="36"/>
      <x:c r="D16" s="41"/>
      <x:c r="E16" s="37" t="str">
        <x:f>IF(A16="","",IF(COUNTIFS('Accounts'!$A$6:$A$105,C16)=1,(SUMIFS('Entries'!$S$6:$S$505,'Entries'!$Q$6:$Q$505,C16,'Entries'!$B$6:$B$505,"&lt;="&amp;B16)-SUMIFS('Entries'!$S$6:$S$505,'Entries'!$R$6:$R$505,C16,'Entries'!$B$6:$B$505,"&lt;="&amp;B16))*VLOOKUP(C16,'Accounts'!$A$6:$C$105,3,FALSE),"Unknown account"))</x:f>
      </x:c>
      <x:c r="F16" s="37" t="str">
        <x:f>IF(A16="","",IF(AND(ISNUMBER(D16),ISNUMBER(E16)),D16-E16,"Enter statement balance"))</x:f>
      </x:c>
      <x:c r="G16" s="43"/>
      <x:c r="H16" s="43"/>
      <x:c r="I16" s="43"/>
    </x:row>
    <x:row r="17" ht="23" customHeight="1">
      <x:c r="A17" s="36"/>
      <x:c r="B17" s="40"/>
      <x:c r="C17" s="36"/>
      <x:c r="D17" s="41"/>
      <x:c r="E17" s="37" t="str">
        <x:f>IF(A17="","",IF(COUNTIFS('Accounts'!$A$6:$A$105,C17)=1,(SUMIFS('Entries'!$S$6:$S$505,'Entries'!$Q$6:$Q$505,C17,'Entries'!$B$6:$B$505,"&lt;="&amp;B17)-SUMIFS('Entries'!$S$6:$S$505,'Entries'!$R$6:$R$505,C17,'Entries'!$B$6:$B$505,"&lt;="&amp;B17))*VLOOKUP(C17,'Accounts'!$A$6:$C$105,3,FALSE),"Unknown account"))</x:f>
      </x:c>
      <x:c r="F17" s="37" t="str">
        <x:f>IF(A17="","",IF(AND(ISNUMBER(D17),ISNUMBER(E17)),D17-E17,"Enter statement balance"))</x:f>
      </x:c>
      <x:c r="G17" s="43"/>
      <x:c r="H17" s="43"/>
      <x:c r="I17" s="43"/>
    </x:row>
    <x:row r="18" ht="23" customHeight="1">
      <x:c r="A18" s="36"/>
      <x:c r="B18" s="40"/>
      <x:c r="C18" s="36"/>
      <x:c r="D18" s="41"/>
      <x:c r="E18" s="37" t="str">
        <x:f>IF(A18="","",IF(COUNTIFS('Accounts'!$A$6:$A$105,C18)=1,(SUMIFS('Entries'!$S$6:$S$505,'Entries'!$Q$6:$Q$505,C18,'Entries'!$B$6:$B$505,"&lt;="&amp;B18)-SUMIFS('Entries'!$S$6:$S$505,'Entries'!$R$6:$R$505,C18,'Entries'!$B$6:$B$505,"&lt;="&amp;B18))*VLOOKUP(C18,'Accounts'!$A$6:$C$105,3,FALSE),"Unknown account"))</x:f>
      </x:c>
      <x:c r="F18" s="37" t="str">
        <x:f>IF(A18="","",IF(AND(ISNUMBER(D18),ISNUMBER(E18)),D18-E18,"Enter statement balance"))</x:f>
      </x:c>
      <x:c r="G18" s="43"/>
      <x:c r="H18" s="43"/>
      <x:c r="I18" s="43"/>
    </x:row>
    <x:row r="19" ht="23" customHeight="1">
      <x:c r="A19" s="36"/>
      <x:c r="B19" s="40"/>
      <x:c r="C19" s="36"/>
      <x:c r="D19" s="41"/>
      <x:c r="E19" s="37" t="str">
        <x:f>IF(A19="","",IF(COUNTIFS('Accounts'!$A$6:$A$105,C19)=1,(SUMIFS('Entries'!$S$6:$S$505,'Entries'!$Q$6:$Q$505,C19,'Entries'!$B$6:$B$505,"&lt;="&amp;B19)-SUMIFS('Entries'!$S$6:$S$505,'Entries'!$R$6:$R$505,C19,'Entries'!$B$6:$B$505,"&lt;="&amp;B19))*VLOOKUP(C19,'Accounts'!$A$6:$C$105,3,FALSE),"Unknown account"))</x:f>
      </x:c>
      <x:c r="F19" s="37" t="str">
        <x:f>IF(A19="","",IF(AND(ISNUMBER(D19),ISNUMBER(E19)),D19-E19,"Enter statement balance"))</x:f>
      </x:c>
      <x:c r="G19" s="43"/>
      <x:c r="H19" s="43"/>
      <x:c r="I19" s="43"/>
    </x:row>
    <x:row r="20" ht="23" customHeight="1">
      <x:c r="A20" s="36"/>
      <x:c r="B20" s="40"/>
      <x:c r="C20" s="36"/>
      <x:c r="D20" s="41"/>
      <x:c r="E20" s="37" t="str">
        <x:f>IF(A20="","",IF(COUNTIFS('Accounts'!$A$6:$A$105,C20)=1,(SUMIFS('Entries'!$S$6:$S$505,'Entries'!$Q$6:$Q$505,C20,'Entries'!$B$6:$B$505,"&lt;="&amp;B20)-SUMIFS('Entries'!$S$6:$S$505,'Entries'!$R$6:$R$505,C20,'Entries'!$B$6:$B$505,"&lt;="&amp;B20))*VLOOKUP(C20,'Accounts'!$A$6:$C$105,3,FALSE),"Unknown account"))</x:f>
      </x:c>
      <x:c r="F20" s="37" t="str">
        <x:f>IF(A20="","",IF(AND(ISNUMBER(D20),ISNUMBER(E20)),D20-E20,"Enter statement balance"))</x:f>
      </x:c>
      <x:c r="G20" s="43"/>
      <x:c r="H20" s="43"/>
      <x:c r="I20" s="43"/>
    </x:row>
    <x:row r="21" ht="23" customHeight="1">
      <x:c r="A21" s="36"/>
      <x:c r="B21" s="40"/>
      <x:c r="C21" s="36"/>
      <x:c r="D21" s="41"/>
      <x:c r="E21" s="37" t="str">
        <x:f>IF(A21="","",IF(COUNTIFS('Accounts'!$A$6:$A$105,C21)=1,(SUMIFS('Entries'!$S$6:$S$505,'Entries'!$Q$6:$Q$505,C21,'Entries'!$B$6:$B$505,"&lt;="&amp;B21)-SUMIFS('Entries'!$S$6:$S$505,'Entries'!$R$6:$R$505,C21,'Entries'!$B$6:$B$505,"&lt;="&amp;B21))*VLOOKUP(C21,'Accounts'!$A$6:$C$105,3,FALSE),"Unknown account"))</x:f>
      </x:c>
      <x:c r="F21" s="37" t="str">
        <x:f>IF(A21="","",IF(AND(ISNUMBER(D21),ISNUMBER(E21)),D21-E21,"Enter statement balance"))</x:f>
      </x:c>
      <x:c r="G21" s="43"/>
      <x:c r="H21" s="43"/>
      <x:c r="I21" s="43"/>
    </x:row>
    <x:row r="22" ht="23" customHeight="1">
      <x:c r="A22" s="36"/>
      <x:c r="B22" s="40"/>
      <x:c r="C22" s="36"/>
      <x:c r="D22" s="41"/>
      <x:c r="E22" s="37" t="str">
        <x:f>IF(A22="","",IF(COUNTIFS('Accounts'!$A$6:$A$105,C22)=1,(SUMIFS('Entries'!$S$6:$S$505,'Entries'!$Q$6:$Q$505,C22,'Entries'!$B$6:$B$505,"&lt;="&amp;B22)-SUMIFS('Entries'!$S$6:$S$505,'Entries'!$R$6:$R$505,C22,'Entries'!$B$6:$B$505,"&lt;="&amp;B22))*VLOOKUP(C22,'Accounts'!$A$6:$C$105,3,FALSE),"Unknown account"))</x:f>
      </x:c>
      <x:c r="F22" s="37" t="str">
        <x:f>IF(A22="","",IF(AND(ISNUMBER(D22),ISNUMBER(E22)),D22-E22,"Enter statement balance"))</x:f>
      </x:c>
      <x:c r="G22" s="43"/>
      <x:c r="H22" s="43"/>
      <x:c r="I22" s="43"/>
    </x:row>
    <x:row r="23" ht="23" customHeight="1">
      <x:c r="A23" s="36"/>
      <x:c r="B23" s="40"/>
      <x:c r="C23" s="36"/>
      <x:c r="D23" s="41"/>
      <x:c r="E23" s="37" t="str">
        <x:f>IF(A23="","",IF(COUNTIFS('Accounts'!$A$6:$A$105,C23)=1,(SUMIFS('Entries'!$S$6:$S$505,'Entries'!$Q$6:$Q$505,C23,'Entries'!$B$6:$B$505,"&lt;="&amp;B23)-SUMIFS('Entries'!$S$6:$S$505,'Entries'!$R$6:$R$505,C23,'Entries'!$B$6:$B$505,"&lt;="&amp;B23))*VLOOKUP(C23,'Accounts'!$A$6:$C$105,3,FALSE),"Unknown account"))</x:f>
      </x:c>
      <x:c r="F23" s="37" t="str">
        <x:f>IF(A23="","",IF(AND(ISNUMBER(D23),ISNUMBER(E23)),D23-E23,"Enter statement balance"))</x:f>
      </x:c>
      <x:c r="G23" s="43"/>
      <x:c r="H23" s="43"/>
      <x:c r="I23" s="43"/>
    </x:row>
    <x:row r="24" ht="23" customHeight="1">
      <x:c r="A24" s="36"/>
      <x:c r="B24" s="40"/>
      <x:c r="C24" s="36"/>
      <x:c r="D24" s="41"/>
      <x:c r="E24" s="37" t="str">
        <x:f>IF(A24="","",IF(COUNTIFS('Accounts'!$A$6:$A$105,C24)=1,(SUMIFS('Entries'!$S$6:$S$505,'Entries'!$Q$6:$Q$505,C24,'Entries'!$B$6:$B$505,"&lt;="&amp;B24)-SUMIFS('Entries'!$S$6:$S$505,'Entries'!$R$6:$R$505,C24,'Entries'!$B$6:$B$505,"&lt;="&amp;B24))*VLOOKUP(C24,'Accounts'!$A$6:$C$105,3,FALSE),"Unknown account"))</x:f>
      </x:c>
      <x:c r="F24" s="37" t="str">
        <x:f>IF(A24="","",IF(AND(ISNUMBER(D24),ISNUMBER(E24)),D24-E24,"Enter statement balance"))</x:f>
      </x:c>
      <x:c r="G24" s="43"/>
      <x:c r="H24" s="43"/>
      <x:c r="I24" s="43"/>
    </x:row>
    <x:row r="25" ht="23" customHeight="1">
      <x:c r="A25" s="36"/>
      <x:c r="B25" s="40"/>
      <x:c r="C25" s="36"/>
      <x:c r="D25" s="41"/>
      <x:c r="E25" s="37" t="str">
        <x:f>IF(A25="","",IF(COUNTIFS('Accounts'!$A$6:$A$105,C25)=1,(SUMIFS('Entries'!$S$6:$S$505,'Entries'!$Q$6:$Q$505,C25,'Entries'!$B$6:$B$505,"&lt;="&amp;B25)-SUMIFS('Entries'!$S$6:$S$505,'Entries'!$R$6:$R$505,C25,'Entries'!$B$6:$B$505,"&lt;="&amp;B25))*VLOOKUP(C25,'Accounts'!$A$6:$C$105,3,FALSE),"Unknown account"))</x:f>
      </x:c>
      <x:c r="F25" s="37" t="str">
        <x:f>IF(A25="","",IF(AND(ISNUMBER(D25),ISNUMBER(E25)),D25-E25,"Enter statement balance"))</x:f>
      </x:c>
      <x:c r="G25" s="43"/>
      <x:c r="H25" s="43"/>
      <x:c r="I25" s="43"/>
    </x:row>
    <x:row r="26" ht="23" customHeight="1">
      <x:c r="A26" s="36"/>
      <x:c r="B26" s="40"/>
      <x:c r="C26" s="36"/>
      <x:c r="D26" s="41"/>
      <x:c r="E26" s="37" t="str">
        <x:f>IF(A26="","",IF(COUNTIFS('Accounts'!$A$6:$A$105,C26)=1,(SUMIFS('Entries'!$S$6:$S$505,'Entries'!$Q$6:$Q$505,C26,'Entries'!$B$6:$B$505,"&lt;="&amp;B26)-SUMIFS('Entries'!$S$6:$S$505,'Entries'!$R$6:$R$505,C26,'Entries'!$B$6:$B$505,"&lt;="&amp;B26))*VLOOKUP(C26,'Accounts'!$A$6:$C$105,3,FALSE),"Unknown account"))</x:f>
      </x:c>
      <x:c r="F26" s="37" t="str">
        <x:f>IF(A26="","",IF(AND(ISNUMBER(D26),ISNUMBER(E26)),D26-E26,"Enter statement balance"))</x:f>
      </x:c>
      <x:c r="G26" s="43"/>
      <x:c r="H26" s="43"/>
      <x:c r="I26" s="43"/>
    </x:row>
    <x:row r="27" ht="23" customHeight="1">
      <x:c r="A27" s="36"/>
      <x:c r="B27" s="40"/>
      <x:c r="C27" s="36"/>
      <x:c r="D27" s="41"/>
      <x:c r="E27" s="37" t="str">
        <x:f>IF(A27="","",IF(COUNTIFS('Accounts'!$A$6:$A$105,C27)=1,(SUMIFS('Entries'!$S$6:$S$505,'Entries'!$Q$6:$Q$505,C27,'Entries'!$B$6:$B$505,"&lt;="&amp;B27)-SUMIFS('Entries'!$S$6:$S$505,'Entries'!$R$6:$R$505,C27,'Entries'!$B$6:$B$505,"&lt;="&amp;B27))*VLOOKUP(C27,'Accounts'!$A$6:$C$105,3,FALSE),"Unknown account"))</x:f>
      </x:c>
      <x:c r="F27" s="37" t="str">
        <x:f>IF(A27="","",IF(AND(ISNUMBER(D27),ISNUMBER(E27)),D27-E27,"Enter statement balance"))</x:f>
      </x:c>
      <x:c r="G27" s="43"/>
      <x:c r="H27" s="43"/>
      <x:c r="I27" s="43"/>
    </x:row>
    <x:row r="28" ht="23" customHeight="1">
      <x:c r="A28" s="36"/>
      <x:c r="B28" s="40"/>
      <x:c r="C28" s="36"/>
      <x:c r="D28" s="41"/>
      <x:c r="E28" s="37" t="str">
        <x:f>IF(A28="","",IF(COUNTIFS('Accounts'!$A$6:$A$105,C28)=1,(SUMIFS('Entries'!$S$6:$S$505,'Entries'!$Q$6:$Q$505,C28,'Entries'!$B$6:$B$505,"&lt;="&amp;B28)-SUMIFS('Entries'!$S$6:$S$505,'Entries'!$R$6:$R$505,C28,'Entries'!$B$6:$B$505,"&lt;="&amp;B28))*VLOOKUP(C28,'Accounts'!$A$6:$C$105,3,FALSE),"Unknown account"))</x:f>
      </x:c>
      <x:c r="F28" s="37" t="str">
        <x:f>IF(A28="","",IF(AND(ISNUMBER(D28),ISNUMBER(E28)),D28-E28,"Enter statement balance"))</x:f>
      </x:c>
      <x:c r="G28" s="43"/>
      <x:c r="H28" s="43"/>
      <x:c r="I28" s="43"/>
    </x:row>
    <x:row r="29" ht="23" customHeight="1">
      <x:c r="A29" s="36"/>
      <x:c r="B29" s="40"/>
      <x:c r="C29" s="36"/>
      <x:c r="D29" s="41"/>
      <x:c r="E29" s="37" t="str">
        <x:f>IF(A29="","",IF(COUNTIFS('Accounts'!$A$6:$A$105,C29)=1,(SUMIFS('Entries'!$S$6:$S$505,'Entries'!$Q$6:$Q$505,C29,'Entries'!$B$6:$B$505,"&lt;="&amp;B29)-SUMIFS('Entries'!$S$6:$S$505,'Entries'!$R$6:$R$505,C29,'Entries'!$B$6:$B$505,"&lt;="&amp;B29))*VLOOKUP(C29,'Accounts'!$A$6:$C$105,3,FALSE),"Unknown account"))</x:f>
      </x:c>
      <x:c r="F29" s="37" t="str">
        <x:f>IF(A29="","",IF(AND(ISNUMBER(D29),ISNUMBER(E29)),D29-E29,"Enter statement balance"))</x:f>
      </x:c>
      <x:c r="G29" s="43"/>
      <x:c r="H29" s="43"/>
      <x:c r="I29" s="43"/>
    </x:row>
    <x:row r="30" ht="23" customHeight="1">
      <x:c r="A30" s="36"/>
      <x:c r="B30" s="40"/>
      <x:c r="C30" s="36"/>
      <x:c r="D30" s="41"/>
      <x:c r="E30" s="37" t="str">
        <x:f>IF(A30="","",IF(COUNTIFS('Accounts'!$A$6:$A$105,C30)=1,(SUMIFS('Entries'!$S$6:$S$505,'Entries'!$Q$6:$Q$505,C30,'Entries'!$B$6:$B$505,"&lt;="&amp;B30)-SUMIFS('Entries'!$S$6:$S$505,'Entries'!$R$6:$R$505,C30,'Entries'!$B$6:$B$505,"&lt;="&amp;B30))*VLOOKUP(C30,'Accounts'!$A$6:$C$105,3,FALSE),"Unknown account"))</x:f>
      </x:c>
      <x:c r="F30" s="37" t="str">
        <x:f>IF(A30="","",IF(AND(ISNUMBER(D30),ISNUMBER(E30)),D30-E30,"Enter statement balance"))</x:f>
      </x:c>
      <x:c r="G30" s="43"/>
      <x:c r="H30" s="43"/>
      <x:c r="I30" s="43"/>
    </x:row>
    <x:row r="31" ht="23" customHeight="1">
      <x:c r="A31" s="36"/>
      <x:c r="B31" s="40"/>
      <x:c r="C31" s="36"/>
      <x:c r="D31" s="41"/>
      <x:c r="E31" s="37" t="str">
        <x:f>IF(A31="","",IF(COUNTIFS('Accounts'!$A$6:$A$105,C31)=1,(SUMIFS('Entries'!$S$6:$S$505,'Entries'!$Q$6:$Q$505,C31,'Entries'!$B$6:$B$505,"&lt;="&amp;B31)-SUMIFS('Entries'!$S$6:$S$505,'Entries'!$R$6:$R$505,C31,'Entries'!$B$6:$B$505,"&lt;="&amp;B31))*VLOOKUP(C31,'Accounts'!$A$6:$C$105,3,FALSE),"Unknown account"))</x:f>
      </x:c>
      <x:c r="F31" s="37" t="str">
        <x:f>IF(A31="","",IF(AND(ISNUMBER(D31),ISNUMBER(E31)),D31-E31,"Enter statement balance"))</x:f>
      </x:c>
      <x:c r="G31" s="43"/>
      <x:c r="H31" s="43"/>
      <x:c r="I31" s="43"/>
    </x:row>
    <x:row r="32" ht="23" customHeight="1">
      <x:c r="A32" s="36"/>
      <x:c r="B32" s="40"/>
      <x:c r="C32" s="36"/>
      <x:c r="D32" s="41"/>
      <x:c r="E32" s="37" t="str">
        <x:f>IF(A32="","",IF(COUNTIFS('Accounts'!$A$6:$A$105,C32)=1,(SUMIFS('Entries'!$S$6:$S$505,'Entries'!$Q$6:$Q$505,C32,'Entries'!$B$6:$B$505,"&lt;="&amp;B32)-SUMIFS('Entries'!$S$6:$S$505,'Entries'!$R$6:$R$505,C32,'Entries'!$B$6:$B$505,"&lt;="&amp;B32))*VLOOKUP(C32,'Accounts'!$A$6:$C$105,3,FALSE),"Unknown account"))</x:f>
      </x:c>
      <x:c r="F32" s="37" t="str">
        <x:f>IF(A32="","",IF(AND(ISNUMBER(D32),ISNUMBER(E32)),D32-E32,"Enter statement balance"))</x:f>
      </x:c>
      <x:c r="G32" s="43"/>
      <x:c r="H32" s="43"/>
      <x:c r="I32" s="43"/>
    </x:row>
    <x:row r="33" ht="23" customHeight="1">
      <x:c r="A33" s="36"/>
      <x:c r="B33" s="40"/>
      <x:c r="C33" s="36"/>
      <x:c r="D33" s="41"/>
      <x:c r="E33" s="37" t="str">
        <x:f>IF(A33="","",IF(COUNTIFS('Accounts'!$A$6:$A$105,C33)=1,(SUMIFS('Entries'!$S$6:$S$505,'Entries'!$Q$6:$Q$505,C33,'Entries'!$B$6:$B$505,"&lt;="&amp;B33)-SUMIFS('Entries'!$S$6:$S$505,'Entries'!$R$6:$R$505,C33,'Entries'!$B$6:$B$505,"&lt;="&amp;B33))*VLOOKUP(C33,'Accounts'!$A$6:$C$105,3,FALSE),"Unknown account"))</x:f>
      </x:c>
      <x:c r="F33" s="37" t="str">
        <x:f>IF(A33="","",IF(AND(ISNUMBER(D33),ISNUMBER(E33)),D33-E33,"Enter statement balance"))</x:f>
      </x:c>
      <x:c r="G33" s="43"/>
      <x:c r="H33" s="43"/>
      <x:c r="I33" s="43"/>
    </x:row>
    <x:row r="34" ht="23" customHeight="1">
      <x:c r="A34" s="36"/>
      <x:c r="B34" s="40"/>
      <x:c r="C34" s="36"/>
      <x:c r="D34" s="41"/>
      <x:c r="E34" s="37" t="str">
        <x:f>IF(A34="","",IF(COUNTIFS('Accounts'!$A$6:$A$105,C34)=1,(SUMIFS('Entries'!$S$6:$S$505,'Entries'!$Q$6:$Q$505,C34,'Entries'!$B$6:$B$505,"&lt;="&amp;B34)-SUMIFS('Entries'!$S$6:$S$505,'Entries'!$R$6:$R$505,C34,'Entries'!$B$6:$B$505,"&lt;="&amp;B34))*VLOOKUP(C34,'Accounts'!$A$6:$C$105,3,FALSE),"Unknown account"))</x:f>
      </x:c>
      <x:c r="F34" s="37" t="str">
        <x:f>IF(A34="","",IF(AND(ISNUMBER(D34),ISNUMBER(E34)),D34-E34,"Enter statement balance"))</x:f>
      </x:c>
      <x:c r="G34" s="43"/>
      <x:c r="H34" s="43"/>
      <x:c r="I34" s="43"/>
    </x:row>
    <x:row r="35" ht="23" customHeight="1">
      <x:c r="A35" s="36"/>
      <x:c r="B35" s="40"/>
      <x:c r="C35" s="36"/>
      <x:c r="D35" s="41"/>
      <x:c r="E35" s="37" t="str">
        <x:f>IF(A35="","",IF(COUNTIFS('Accounts'!$A$6:$A$105,C35)=1,(SUMIFS('Entries'!$S$6:$S$505,'Entries'!$Q$6:$Q$505,C35,'Entries'!$B$6:$B$505,"&lt;="&amp;B35)-SUMIFS('Entries'!$S$6:$S$505,'Entries'!$R$6:$R$505,C35,'Entries'!$B$6:$B$505,"&lt;="&amp;B35))*VLOOKUP(C35,'Accounts'!$A$6:$C$105,3,FALSE),"Unknown account"))</x:f>
      </x:c>
      <x:c r="F35" s="37" t="str">
        <x:f>IF(A35="","",IF(AND(ISNUMBER(D35),ISNUMBER(E35)),D35-E35,"Enter statement balance"))</x:f>
      </x:c>
      <x:c r="G35" s="43"/>
      <x:c r="H35" s="43"/>
      <x:c r="I35" s="43"/>
    </x:row>
    <x:row r="36" ht="23" customHeight="1">
      <x:c r="A36" s="36"/>
      <x:c r="B36" s="40"/>
      <x:c r="C36" s="36"/>
      <x:c r="D36" s="41"/>
      <x:c r="E36" s="37" t="str">
        <x:f>IF(A36="","",IF(COUNTIFS('Accounts'!$A$6:$A$105,C36)=1,(SUMIFS('Entries'!$S$6:$S$505,'Entries'!$Q$6:$Q$505,C36,'Entries'!$B$6:$B$505,"&lt;="&amp;B36)-SUMIFS('Entries'!$S$6:$S$505,'Entries'!$R$6:$R$505,C36,'Entries'!$B$6:$B$505,"&lt;="&amp;B36))*VLOOKUP(C36,'Accounts'!$A$6:$C$105,3,FALSE),"Unknown account"))</x:f>
      </x:c>
      <x:c r="F36" s="37" t="str">
        <x:f>IF(A36="","",IF(AND(ISNUMBER(D36),ISNUMBER(E36)),D36-E36,"Enter statement balance"))</x:f>
      </x:c>
      <x:c r="G36" s="43"/>
      <x:c r="H36" s="43"/>
      <x:c r="I36" s="43"/>
    </x:row>
    <x:row r="37" ht="23" customHeight="1">
      <x:c r="A37" s="36"/>
      <x:c r="B37" s="40"/>
      <x:c r="C37" s="36"/>
      <x:c r="D37" s="41"/>
      <x:c r="E37" s="37" t="str">
        <x:f>IF(A37="","",IF(COUNTIFS('Accounts'!$A$6:$A$105,C37)=1,(SUMIFS('Entries'!$S$6:$S$505,'Entries'!$Q$6:$Q$505,C37,'Entries'!$B$6:$B$505,"&lt;="&amp;B37)-SUMIFS('Entries'!$S$6:$S$505,'Entries'!$R$6:$R$505,C37,'Entries'!$B$6:$B$505,"&lt;="&amp;B37))*VLOOKUP(C37,'Accounts'!$A$6:$C$105,3,FALSE),"Unknown account"))</x:f>
      </x:c>
      <x:c r="F37" s="37" t="str">
        <x:f>IF(A37="","",IF(AND(ISNUMBER(D37),ISNUMBER(E37)),D37-E37,"Enter statement balance"))</x:f>
      </x:c>
      <x:c r="G37" s="43"/>
      <x:c r="H37" s="43"/>
      <x:c r="I37" s="43"/>
    </x:row>
    <x:row r="38" ht="23" customHeight="1">
      <x:c r="A38" s="36"/>
      <x:c r="B38" s="40"/>
      <x:c r="C38" s="36"/>
      <x:c r="D38" s="41"/>
      <x:c r="E38" s="37" t="str">
        <x:f>IF(A38="","",IF(COUNTIFS('Accounts'!$A$6:$A$105,C38)=1,(SUMIFS('Entries'!$S$6:$S$505,'Entries'!$Q$6:$Q$505,C38,'Entries'!$B$6:$B$505,"&lt;="&amp;B38)-SUMIFS('Entries'!$S$6:$S$505,'Entries'!$R$6:$R$505,C38,'Entries'!$B$6:$B$505,"&lt;="&amp;B38))*VLOOKUP(C38,'Accounts'!$A$6:$C$105,3,FALSE),"Unknown account"))</x:f>
      </x:c>
      <x:c r="F38" s="37" t="str">
        <x:f>IF(A38="","",IF(AND(ISNUMBER(D38),ISNUMBER(E38)),D38-E38,"Enter statement balance"))</x:f>
      </x:c>
      <x:c r="G38" s="43"/>
      <x:c r="H38" s="43"/>
      <x:c r="I38" s="43"/>
    </x:row>
    <x:row r="39" ht="23" customHeight="1">
      <x:c r="A39" s="36"/>
      <x:c r="B39" s="40"/>
      <x:c r="C39" s="36"/>
      <x:c r="D39" s="41"/>
      <x:c r="E39" s="37" t="str">
        <x:f>IF(A39="","",IF(COUNTIFS('Accounts'!$A$6:$A$105,C39)=1,(SUMIFS('Entries'!$S$6:$S$505,'Entries'!$Q$6:$Q$505,C39,'Entries'!$B$6:$B$505,"&lt;="&amp;B39)-SUMIFS('Entries'!$S$6:$S$505,'Entries'!$R$6:$R$505,C39,'Entries'!$B$6:$B$505,"&lt;="&amp;B39))*VLOOKUP(C39,'Accounts'!$A$6:$C$105,3,FALSE),"Unknown account"))</x:f>
      </x:c>
      <x:c r="F39" s="37" t="str">
        <x:f>IF(A39="","",IF(AND(ISNUMBER(D39),ISNUMBER(E39)),D39-E39,"Enter statement balance"))</x:f>
      </x:c>
      <x:c r="G39" s="43"/>
      <x:c r="H39" s="43"/>
      <x:c r="I39" s="43"/>
    </x:row>
    <x:row r="40" ht="23" customHeight="1">
      <x:c r="A40" s="36"/>
      <x:c r="B40" s="40"/>
      <x:c r="C40" s="36"/>
      <x:c r="D40" s="41"/>
      <x:c r="E40" s="37" t="str">
        <x:f>IF(A40="","",IF(COUNTIFS('Accounts'!$A$6:$A$105,C40)=1,(SUMIFS('Entries'!$S$6:$S$505,'Entries'!$Q$6:$Q$505,C40,'Entries'!$B$6:$B$505,"&lt;="&amp;B40)-SUMIFS('Entries'!$S$6:$S$505,'Entries'!$R$6:$R$505,C40,'Entries'!$B$6:$B$505,"&lt;="&amp;B40))*VLOOKUP(C40,'Accounts'!$A$6:$C$105,3,FALSE),"Unknown account"))</x:f>
      </x:c>
      <x:c r="F40" s="37" t="str">
        <x:f>IF(A40="","",IF(AND(ISNUMBER(D40),ISNUMBER(E40)),D40-E40,"Enter statement balance"))</x:f>
      </x:c>
      <x:c r="G40" s="43"/>
      <x:c r="H40" s="43"/>
      <x:c r="I40" s="43"/>
    </x:row>
    <x:row r="41" ht="23" customHeight="1">
      <x:c r="A41" s="36"/>
      <x:c r="B41" s="40"/>
      <x:c r="C41" s="36"/>
      <x:c r="D41" s="41"/>
      <x:c r="E41" s="37" t="str">
        <x:f>IF(A41="","",IF(COUNTIFS('Accounts'!$A$6:$A$105,C41)=1,(SUMIFS('Entries'!$S$6:$S$505,'Entries'!$Q$6:$Q$505,C41,'Entries'!$B$6:$B$505,"&lt;="&amp;B41)-SUMIFS('Entries'!$S$6:$S$505,'Entries'!$R$6:$R$505,C41,'Entries'!$B$6:$B$505,"&lt;="&amp;B41))*VLOOKUP(C41,'Accounts'!$A$6:$C$105,3,FALSE),"Unknown account"))</x:f>
      </x:c>
      <x:c r="F41" s="37" t="str">
        <x:f>IF(A41="","",IF(AND(ISNUMBER(D41),ISNUMBER(E41)),D41-E41,"Enter statement balance"))</x:f>
      </x:c>
      <x:c r="G41" s="43"/>
      <x:c r="H41" s="43"/>
      <x:c r="I41" s="43"/>
    </x:row>
    <x:row r="42" ht="23" customHeight="1">
      <x:c r="A42" s="36"/>
      <x:c r="B42" s="40"/>
      <x:c r="C42" s="36"/>
      <x:c r="D42" s="41"/>
      <x:c r="E42" s="37" t="str">
        <x:f>IF(A42="","",IF(COUNTIFS('Accounts'!$A$6:$A$105,C42)=1,(SUMIFS('Entries'!$S$6:$S$505,'Entries'!$Q$6:$Q$505,C42,'Entries'!$B$6:$B$505,"&lt;="&amp;B42)-SUMIFS('Entries'!$S$6:$S$505,'Entries'!$R$6:$R$505,C42,'Entries'!$B$6:$B$505,"&lt;="&amp;B42))*VLOOKUP(C42,'Accounts'!$A$6:$C$105,3,FALSE),"Unknown account"))</x:f>
      </x:c>
      <x:c r="F42" s="37" t="str">
        <x:f>IF(A42="","",IF(AND(ISNUMBER(D42),ISNUMBER(E42)),D42-E42,"Enter statement balance"))</x:f>
      </x:c>
      <x:c r="G42" s="43"/>
      <x:c r="H42" s="43"/>
      <x:c r="I42" s="43"/>
    </x:row>
    <x:row r="43" ht="23" customHeight="1">
      <x:c r="A43" s="36"/>
      <x:c r="B43" s="40"/>
      <x:c r="C43" s="36"/>
      <x:c r="D43" s="41"/>
      <x:c r="E43" s="37" t="str">
        <x:f>IF(A43="","",IF(COUNTIFS('Accounts'!$A$6:$A$105,C43)=1,(SUMIFS('Entries'!$S$6:$S$505,'Entries'!$Q$6:$Q$505,C43,'Entries'!$B$6:$B$505,"&lt;="&amp;B43)-SUMIFS('Entries'!$S$6:$S$505,'Entries'!$R$6:$R$505,C43,'Entries'!$B$6:$B$505,"&lt;="&amp;B43))*VLOOKUP(C43,'Accounts'!$A$6:$C$105,3,FALSE),"Unknown account"))</x:f>
      </x:c>
      <x:c r="F43" s="37" t="str">
        <x:f>IF(A43="","",IF(AND(ISNUMBER(D43),ISNUMBER(E43)),D43-E43,"Enter statement balance"))</x:f>
      </x:c>
      <x:c r="G43" s="43"/>
      <x:c r="H43" s="43"/>
      <x:c r="I43" s="43"/>
    </x:row>
    <x:row r="44" ht="23" customHeight="1">
      <x:c r="A44" s="36"/>
      <x:c r="B44" s="40"/>
      <x:c r="C44" s="36"/>
      <x:c r="D44" s="41"/>
      <x:c r="E44" s="37" t="str">
        <x:f>IF(A44="","",IF(COUNTIFS('Accounts'!$A$6:$A$105,C44)=1,(SUMIFS('Entries'!$S$6:$S$505,'Entries'!$Q$6:$Q$505,C44,'Entries'!$B$6:$B$505,"&lt;="&amp;B44)-SUMIFS('Entries'!$S$6:$S$505,'Entries'!$R$6:$R$505,C44,'Entries'!$B$6:$B$505,"&lt;="&amp;B44))*VLOOKUP(C44,'Accounts'!$A$6:$C$105,3,FALSE),"Unknown account"))</x:f>
      </x:c>
      <x:c r="F44" s="37" t="str">
        <x:f>IF(A44="","",IF(AND(ISNUMBER(D44),ISNUMBER(E44)),D44-E44,"Enter statement balance"))</x:f>
      </x:c>
      <x:c r="G44" s="43"/>
      <x:c r="H44" s="43"/>
      <x:c r="I44" s="43"/>
    </x:row>
    <x:row r="45" ht="23" customHeight="1">
      <x:c r="A45" s="36"/>
      <x:c r="B45" s="40"/>
      <x:c r="C45" s="36"/>
      <x:c r="D45" s="41"/>
      <x:c r="E45" s="37" t="str">
        <x:f>IF(A45="","",IF(COUNTIFS('Accounts'!$A$6:$A$105,C45)=1,(SUMIFS('Entries'!$S$6:$S$505,'Entries'!$Q$6:$Q$505,C45,'Entries'!$B$6:$B$505,"&lt;="&amp;B45)-SUMIFS('Entries'!$S$6:$S$505,'Entries'!$R$6:$R$505,C45,'Entries'!$B$6:$B$505,"&lt;="&amp;B45))*VLOOKUP(C45,'Accounts'!$A$6:$C$105,3,FALSE),"Unknown account"))</x:f>
      </x:c>
      <x:c r="F45" s="37" t="str">
        <x:f>IF(A45="","",IF(AND(ISNUMBER(D45),ISNUMBER(E45)),D45-E45,"Enter statement balance"))</x:f>
      </x:c>
      <x:c r="G45" s="43"/>
      <x:c r="H45" s="43"/>
      <x:c r="I45" s="43"/>
    </x:row>
    <x:row r="46" ht="23" customHeight="1">
      <x:c r="A46" s="36"/>
      <x:c r="B46" s="40"/>
      <x:c r="C46" s="36"/>
      <x:c r="D46" s="41"/>
      <x:c r="E46" s="37" t="str">
        <x:f>IF(A46="","",IF(COUNTIFS('Accounts'!$A$6:$A$105,C46)=1,(SUMIFS('Entries'!$S$6:$S$505,'Entries'!$Q$6:$Q$505,C46,'Entries'!$B$6:$B$505,"&lt;="&amp;B46)-SUMIFS('Entries'!$S$6:$S$505,'Entries'!$R$6:$R$505,C46,'Entries'!$B$6:$B$505,"&lt;="&amp;B46))*VLOOKUP(C46,'Accounts'!$A$6:$C$105,3,FALSE),"Unknown account"))</x:f>
      </x:c>
      <x:c r="F46" s="37" t="str">
        <x:f>IF(A46="","",IF(AND(ISNUMBER(D46),ISNUMBER(E46)),D46-E46,"Enter statement balance"))</x:f>
      </x:c>
      <x:c r="G46" s="43"/>
      <x:c r="H46" s="43"/>
      <x:c r="I46" s="43"/>
    </x:row>
    <x:row r="47" ht="23" customHeight="1">
      <x:c r="A47" s="36"/>
      <x:c r="B47" s="40"/>
      <x:c r="C47" s="36"/>
      <x:c r="D47" s="41"/>
      <x:c r="E47" s="37" t="str">
        <x:f>IF(A47="","",IF(COUNTIFS('Accounts'!$A$6:$A$105,C47)=1,(SUMIFS('Entries'!$S$6:$S$505,'Entries'!$Q$6:$Q$505,C47,'Entries'!$B$6:$B$505,"&lt;="&amp;B47)-SUMIFS('Entries'!$S$6:$S$505,'Entries'!$R$6:$R$505,C47,'Entries'!$B$6:$B$505,"&lt;="&amp;B47))*VLOOKUP(C47,'Accounts'!$A$6:$C$105,3,FALSE),"Unknown account"))</x:f>
      </x:c>
      <x:c r="F47" s="37" t="str">
        <x:f>IF(A47="","",IF(AND(ISNUMBER(D47),ISNUMBER(E47)),D47-E47,"Enter statement balance"))</x:f>
      </x:c>
      <x:c r="G47" s="43"/>
      <x:c r="H47" s="43"/>
      <x:c r="I47" s="43"/>
    </x:row>
    <x:row r="48" ht="23" customHeight="1">
      <x:c r="A48" s="36"/>
      <x:c r="B48" s="40"/>
      <x:c r="C48" s="36"/>
      <x:c r="D48" s="41"/>
      <x:c r="E48" s="37" t="str">
        <x:f>IF(A48="","",IF(COUNTIFS('Accounts'!$A$6:$A$105,C48)=1,(SUMIFS('Entries'!$S$6:$S$505,'Entries'!$Q$6:$Q$505,C48,'Entries'!$B$6:$B$505,"&lt;="&amp;B48)-SUMIFS('Entries'!$S$6:$S$505,'Entries'!$R$6:$R$505,C48,'Entries'!$B$6:$B$505,"&lt;="&amp;B48))*VLOOKUP(C48,'Accounts'!$A$6:$C$105,3,FALSE),"Unknown account"))</x:f>
      </x:c>
      <x:c r="F48" s="37" t="str">
        <x:f>IF(A48="","",IF(AND(ISNUMBER(D48),ISNUMBER(E48)),D48-E48,"Enter statement balance"))</x:f>
      </x:c>
      <x:c r="G48" s="43"/>
      <x:c r="H48" s="43"/>
      <x:c r="I48" s="43"/>
    </x:row>
    <x:row r="49" ht="23" customHeight="1">
      <x:c r="A49" s="36"/>
      <x:c r="B49" s="40"/>
      <x:c r="C49" s="36"/>
      <x:c r="D49" s="41"/>
      <x:c r="E49" s="37" t="str">
        <x:f>IF(A49="","",IF(COUNTIFS('Accounts'!$A$6:$A$105,C49)=1,(SUMIFS('Entries'!$S$6:$S$505,'Entries'!$Q$6:$Q$505,C49,'Entries'!$B$6:$B$505,"&lt;="&amp;B49)-SUMIFS('Entries'!$S$6:$S$505,'Entries'!$R$6:$R$505,C49,'Entries'!$B$6:$B$505,"&lt;="&amp;B49))*VLOOKUP(C49,'Accounts'!$A$6:$C$105,3,FALSE),"Unknown account"))</x:f>
      </x:c>
      <x:c r="F49" s="37" t="str">
        <x:f>IF(A49="","",IF(AND(ISNUMBER(D49),ISNUMBER(E49)),D49-E49,"Enter statement balance"))</x:f>
      </x:c>
      <x:c r="G49" s="43"/>
      <x:c r="H49" s="43"/>
      <x:c r="I49" s="43"/>
    </x:row>
    <x:row r="50" ht="23" customHeight="1">
      <x:c r="A50" s="36"/>
      <x:c r="B50" s="40"/>
      <x:c r="C50" s="36"/>
      <x:c r="D50" s="41"/>
      <x:c r="E50" s="37" t="str">
        <x:f>IF(A50="","",IF(COUNTIFS('Accounts'!$A$6:$A$105,C50)=1,(SUMIFS('Entries'!$S$6:$S$505,'Entries'!$Q$6:$Q$505,C50,'Entries'!$B$6:$B$505,"&lt;="&amp;B50)-SUMIFS('Entries'!$S$6:$S$505,'Entries'!$R$6:$R$505,C50,'Entries'!$B$6:$B$505,"&lt;="&amp;B50))*VLOOKUP(C50,'Accounts'!$A$6:$C$105,3,FALSE),"Unknown account"))</x:f>
      </x:c>
      <x:c r="F50" s="37" t="str">
        <x:f>IF(A50="","",IF(AND(ISNUMBER(D50),ISNUMBER(E50)),D50-E50,"Enter statement balance"))</x:f>
      </x:c>
      <x:c r="G50" s="43"/>
      <x:c r="H50" s="43"/>
      <x:c r="I50" s="43"/>
    </x:row>
    <x:row r="51" ht="23" customHeight="1">
      <x:c r="A51" s="36"/>
      <x:c r="B51" s="40"/>
      <x:c r="C51" s="36"/>
      <x:c r="D51" s="41"/>
      <x:c r="E51" s="37" t="str">
        <x:f>IF(A51="","",IF(COUNTIFS('Accounts'!$A$6:$A$105,C51)=1,(SUMIFS('Entries'!$S$6:$S$505,'Entries'!$Q$6:$Q$505,C51,'Entries'!$B$6:$B$505,"&lt;="&amp;B51)-SUMIFS('Entries'!$S$6:$S$505,'Entries'!$R$6:$R$505,C51,'Entries'!$B$6:$B$505,"&lt;="&amp;B51))*VLOOKUP(C51,'Accounts'!$A$6:$C$105,3,FALSE),"Unknown account"))</x:f>
      </x:c>
      <x:c r="F51" s="37" t="str">
        <x:f>IF(A51="","",IF(AND(ISNUMBER(D51),ISNUMBER(E51)),D51-E51,"Enter statement balance"))</x:f>
      </x:c>
      <x:c r="G51" s="43"/>
      <x:c r="H51" s="43"/>
      <x:c r="I51" s="43"/>
    </x:row>
    <x:row r="52" ht="23" customHeight="1">
      <x:c r="A52" s="36"/>
      <x:c r="B52" s="40"/>
      <x:c r="C52" s="36"/>
      <x:c r="D52" s="41"/>
      <x:c r="E52" s="37" t="str">
        <x:f>IF(A52="","",IF(COUNTIFS('Accounts'!$A$6:$A$105,C52)=1,(SUMIFS('Entries'!$S$6:$S$505,'Entries'!$Q$6:$Q$505,C52,'Entries'!$B$6:$B$505,"&lt;="&amp;B52)-SUMIFS('Entries'!$S$6:$S$505,'Entries'!$R$6:$R$505,C52,'Entries'!$B$6:$B$505,"&lt;="&amp;B52))*VLOOKUP(C52,'Accounts'!$A$6:$C$105,3,FALSE),"Unknown account"))</x:f>
      </x:c>
      <x:c r="F52" s="37" t="str">
        <x:f>IF(A52="","",IF(AND(ISNUMBER(D52),ISNUMBER(E52)),D52-E52,"Enter statement balance"))</x:f>
      </x:c>
      <x:c r="G52" s="43"/>
      <x:c r="H52" s="43"/>
      <x:c r="I52" s="43"/>
    </x:row>
    <x:row r="53" ht="23" customHeight="1">
      <x:c r="A53" s="36"/>
      <x:c r="B53" s="40"/>
      <x:c r="C53" s="36"/>
      <x:c r="D53" s="41"/>
      <x:c r="E53" s="37" t="str">
        <x:f>IF(A53="","",IF(COUNTIFS('Accounts'!$A$6:$A$105,C53)=1,(SUMIFS('Entries'!$S$6:$S$505,'Entries'!$Q$6:$Q$505,C53,'Entries'!$B$6:$B$505,"&lt;="&amp;B53)-SUMIFS('Entries'!$S$6:$S$505,'Entries'!$R$6:$R$505,C53,'Entries'!$B$6:$B$505,"&lt;="&amp;B53))*VLOOKUP(C53,'Accounts'!$A$6:$C$105,3,FALSE),"Unknown account"))</x:f>
      </x:c>
      <x:c r="F53" s="37" t="str">
        <x:f>IF(A53="","",IF(AND(ISNUMBER(D53),ISNUMBER(E53)),D53-E53,"Enter statement balance"))</x:f>
      </x:c>
      <x:c r="G53" s="43"/>
      <x:c r="H53" s="43"/>
      <x:c r="I53" s="43"/>
    </x:row>
    <x:row r="54" ht="23" customHeight="1">
      <x:c r="A54" s="36"/>
      <x:c r="B54" s="40"/>
      <x:c r="C54" s="36"/>
      <x:c r="D54" s="41"/>
      <x:c r="E54" s="37" t="str">
        <x:f>IF(A54="","",IF(COUNTIFS('Accounts'!$A$6:$A$105,C54)=1,(SUMIFS('Entries'!$S$6:$S$505,'Entries'!$Q$6:$Q$505,C54,'Entries'!$B$6:$B$505,"&lt;="&amp;B54)-SUMIFS('Entries'!$S$6:$S$505,'Entries'!$R$6:$R$505,C54,'Entries'!$B$6:$B$505,"&lt;="&amp;B54))*VLOOKUP(C54,'Accounts'!$A$6:$C$105,3,FALSE),"Unknown account"))</x:f>
      </x:c>
      <x:c r="F54" s="37" t="str">
        <x:f>IF(A54="","",IF(AND(ISNUMBER(D54),ISNUMBER(E54)),D54-E54,"Enter statement balance"))</x:f>
      </x:c>
      <x:c r="G54" s="43"/>
      <x:c r="H54" s="43"/>
      <x:c r="I54" s="43"/>
    </x:row>
    <x:row r="55" ht="23" customHeight="1">
      <x:c r="A55" s="36"/>
      <x:c r="B55" s="40"/>
      <x:c r="C55" s="36"/>
      <x:c r="D55" s="41"/>
      <x:c r="E55" s="37" t="str">
        <x:f>IF(A55="","",IF(COUNTIFS('Accounts'!$A$6:$A$105,C55)=1,(SUMIFS('Entries'!$S$6:$S$505,'Entries'!$Q$6:$Q$505,C55,'Entries'!$B$6:$B$505,"&lt;="&amp;B55)-SUMIFS('Entries'!$S$6:$S$505,'Entries'!$R$6:$R$505,C55,'Entries'!$B$6:$B$505,"&lt;="&amp;B55))*VLOOKUP(C55,'Accounts'!$A$6:$C$105,3,FALSE),"Unknown account"))</x:f>
      </x:c>
      <x:c r="F55" s="37" t="str">
        <x:f>IF(A55="","",IF(AND(ISNUMBER(D55),ISNUMBER(E55)),D55-E55,"Enter statement balance"))</x:f>
      </x:c>
      <x:c r="G55" s="43"/>
      <x:c r="H55" s="43"/>
      <x:c r="I55" s="43"/>
    </x:row>
    <x:row r="56" ht="23" customHeight="1">
      <x:c r="A56" s="36"/>
      <x:c r="B56" s="40"/>
      <x:c r="C56" s="36"/>
      <x:c r="D56" s="41"/>
      <x:c r="E56" s="37" t="str">
        <x:f>IF(A56="","",IF(COUNTIFS('Accounts'!$A$6:$A$105,C56)=1,(SUMIFS('Entries'!$S$6:$S$505,'Entries'!$Q$6:$Q$505,C56,'Entries'!$B$6:$B$505,"&lt;="&amp;B56)-SUMIFS('Entries'!$S$6:$S$505,'Entries'!$R$6:$R$505,C56,'Entries'!$B$6:$B$505,"&lt;="&amp;B56))*VLOOKUP(C56,'Accounts'!$A$6:$C$105,3,FALSE),"Unknown account"))</x:f>
      </x:c>
      <x:c r="F56" s="37" t="str">
        <x:f>IF(A56="","",IF(AND(ISNUMBER(D56),ISNUMBER(E56)),D56-E56,"Enter statement balance"))</x:f>
      </x:c>
      <x:c r="G56" s="43"/>
      <x:c r="H56" s="43"/>
      <x:c r="I56" s="43"/>
    </x:row>
    <x:row r="57" ht="23" customHeight="1">
      <x:c r="A57" s="36"/>
      <x:c r="B57" s="40"/>
      <x:c r="C57" s="36"/>
      <x:c r="D57" s="41"/>
      <x:c r="E57" s="37" t="str">
        <x:f>IF(A57="","",IF(COUNTIFS('Accounts'!$A$6:$A$105,C57)=1,(SUMIFS('Entries'!$S$6:$S$505,'Entries'!$Q$6:$Q$505,C57,'Entries'!$B$6:$B$505,"&lt;="&amp;B57)-SUMIFS('Entries'!$S$6:$S$505,'Entries'!$R$6:$R$505,C57,'Entries'!$B$6:$B$505,"&lt;="&amp;B57))*VLOOKUP(C57,'Accounts'!$A$6:$C$105,3,FALSE),"Unknown account"))</x:f>
      </x:c>
      <x:c r="F57" s="37" t="str">
        <x:f>IF(A57="","",IF(AND(ISNUMBER(D57),ISNUMBER(E57)),D57-E57,"Enter statement balance"))</x:f>
      </x:c>
      <x:c r="G57" s="43"/>
      <x:c r="H57" s="43"/>
      <x:c r="I57" s="43"/>
    </x:row>
    <x:row r="58" ht="23" customHeight="1">
      <x:c r="A58" s="36"/>
      <x:c r="B58" s="40"/>
      <x:c r="C58" s="36"/>
      <x:c r="D58" s="41"/>
      <x:c r="E58" s="37" t="str">
        <x:f>IF(A58="","",IF(COUNTIFS('Accounts'!$A$6:$A$105,C58)=1,(SUMIFS('Entries'!$S$6:$S$505,'Entries'!$Q$6:$Q$505,C58,'Entries'!$B$6:$B$505,"&lt;="&amp;B58)-SUMIFS('Entries'!$S$6:$S$505,'Entries'!$R$6:$R$505,C58,'Entries'!$B$6:$B$505,"&lt;="&amp;B58))*VLOOKUP(C58,'Accounts'!$A$6:$C$105,3,FALSE),"Unknown account"))</x:f>
      </x:c>
      <x:c r="F58" s="37" t="str">
        <x:f>IF(A58="","",IF(AND(ISNUMBER(D58),ISNUMBER(E58)),D58-E58,"Enter statement balance"))</x:f>
      </x:c>
      <x:c r="G58" s="43"/>
      <x:c r="H58" s="43"/>
      <x:c r="I58" s="43"/>
    </x:row>
    <x:row r="59" ht="23" customHeight="1">
      <x:c r="A59" s="36"/>
      <x:c r="B59" s="40"/>
      <x:c r="C59" s="36"/>
      <x:c r="D59" s="41"/>
      <x:c r="E59" s="37" t="str">
        <x:f>IF(A59="","",IF(COUNTIFS('Accounts'!$A$6:$A$105,C59)=1,(SUMIFS('Entries'!$S$6:$S$505,'Entries'!$Q$6:$Q$505,C59,'Entries'!$B$6:$B$505,"&lt;="&amp;B59)-SUMIFS('Entries'!$S$6:$S$505,'Entries'!$R$6:$R$505,C59,'Entries'!$B$6:$B$505,"&lt;="&amp;B59))*VLOOKUP(C59,'Accounts'!$A$6:$C$105,3,FALSE),"Unknown account"))</x:f>
      </x:c>
      <x:c r="F59" s="37" t="str">
        <x:f>IF(A59="","",IF(AND(ISNUMBER(D59),ISNUMBER(E59)),D59-E59,"Enter statement balance"))</x:f>
      </x:c>
      <x:c r="G59" s="43"/>
      <x:c r="H59" s="43"/>
      <x:c r="I59" s="43"/>
    </x:row>
    <x:row r="60" ht="23" customHeight="1">
      <x:c r="A60" s="36"/>
      <x:c r="B60" s="40"/>
      <x:c r="C60" s="36"/>
      <x:c r="D60" s="41"/>
      <x:c r="E60" s="37" t="str">
        <x:f>IF(A60="","",IF(COUNTIFS('Accounts'!$A$6:$A$105,C60)=1,(SUMIFS('Entries'!$S$6:$S$505,'Entries'!$Q$6:$Q$505,C60,'Entries'!$B$6:$B$505,"&lt;="&amp;B60)-SUMIFS('Entries'!$S$6:$S$505,'Entries'!$R$6:$R$505,C60,'Entries'!$B$6:$B$505,"&lt;="&amp;B60))*VLOOKUP(C60,'Accounts'!$A$6:$C$105,3,FALSE),"Unknown account"))</x:f>
      </x:c>
      <x:c r="F60" s="37" t="str">
        <x:f>IF(A60="","",IF(AND(ISNUMBER(D60),ISNUMBER(E60)),D60-E60,"Enter statement balance"))</x:f>
      </x:c>
      <x:c r="G60" s="43"/>
      <x:c r="H60" s="43"/>
      <x:c r="I60" s="43"/>
    </x:row>
    <x:row r="61" ht="23" customHeight="1">
      <x:c r="A61" s="36"/>
      <x:c r="B61" s="40"/>
      <x:c r="C61" s="36"/>
      <x:c r="D61" s="41"/>
      <x:c r="E61" s="37" t="str">
        <x:f>IF(A61="","",IF(COUNTIFS('Accounts'!$A$6:$A$105,C61)=1,(SUMIFS('Entries'!$S$6:$S$505,'Entries'!$Q$6:$Q$505,C61,'Entries'!$B$6:$B$505,"&lt;="&amp;B61)-SUMIFS('Entries'!$S$6:$S$505,'Entries'!$R$6:$R$505,C61,'Entries'!$B$6:$B$505,"&lt;="&amp;B61))*VLOOKUP(C61,'Accounts'!$A$6:$C$105,3,FALSE),"Unknown account"))</x:f>
      </x:c>
      <x:c r="F61" s="37" t="str">
        <x:f>IF(A61="","",IF(AND(ISNUMBER(D61),ISNUMBER(E61)),D61-E61,"Enter statement balance"))</x:f>
      </x:c>
      <x:c r="G61" s="43"/>
      <x:c r="H61" s="43"/>
      <x:c r="I61" s="43"/>
    </x:row>
    <x:row r="62" ht="23" customHeight="1">
      <x:c r="A62" s="36"/>
      <x:c r="B62" s="40"/>
      <x:c r="C62" s="36"/>
      <x:c r="D62" s="41"/>
      <x:c r="E62" s="37" t="str">
        <x:f>IF(A62="","",IF(COUNTIFS('Accounts'!$A$6:$A$105,C62)=1,(SUMIFS('Entries'!$S$6:$S$505,'Entries'!$Q$6:$Q$505,C62,'Entries'!$B$6:$B$505,"&lt;="&amp;B62)-SUMIFS('Entries'!$S$6:$S$505,'Entries'!$R$6:$R$505,C62,'Entries'!$B$6:$B$505,"&lt;="&amp;B62))*VLOOKUP(C62,'Accounts'!$A$6:$C$105,3,FALSE),"Unknown account"))</x:f>
      </x:c>
      <x:c r="F62" s="37" t="str">
        <x:f>IF(A62="","",IF(AND(ISNUMBER(D62),ISNUMBER(E62)),D62-E62,"Enter statement balance"))</x:f>
      </x:c>
      <x:c r="G62" s="43"/>
      <x:c r="H62" s="43"/>
      <x:c r="I62" s="43"/>
    </x:row>
    <x:row r="63" ht="23" customHeight="1">
      <x:c r="A63" s="36"/>
      <x:c r="B63" s="40"/>
      <x:c r="C63" s="36"/>
      <x:c r="D63" s="41"/>
      <x:c r="E63" s="37" t="str">
        <x:f>IF(A63="","",IF(COUNTIFS('Accounts'!$A$6:$A$105,C63)=1,(SUMIFS('Entries'!$S$6:$S$505,'Entries'!$Q$6:$Q$505,C63,'Entries'!$B$6:$B$505,"&lt;="&amp;B63)-SUMIFS('Entries'!$S$6:$S$505,'Entries'!$R$6:$R$505,C63,'Entries'!$B$6:$B$505,"&lt;="&amp;B63))*VLOOKUP(C63,'Accounts'!$A$6:$C$105,3,FALSE),"Unknown account"))</x:f>
      </x:c>
      <x:c r="F63" s="37" t="str">
        <x:f>IF(A63="","",IF(AND(ISNUMBER(D63),ISNUMBER(E63)),D63-E63,"Enter statement balance"))</x:f>
      </x:c>
      <x:c r="G63" s="43"/>
      <x:c r="H63" s="43"/>
      <x:c r="I63" s="43"/>
    </x:row>
    <x:row r="64" ht="23" customHeight="1">
      <x:c r="A64" s="36"/>
      <x:c r="B64" s="40"/>
      <x:c r="C64" s="36"/>
      <x:c r="D64" s="41"/>
      <x:c r="E64" s="37" t="str">
        <x:f>IF(A64="","",IF(COUNTIFS('Accounts'!$A$6:$A$105,C64)=1,(SUMIFS('Entries'!$S$6:$S$505,'Entries'!$Q$6:$Q$505,C64,'Entries'!$B$6:$B$505,"&lt;="&amp;B64)-SUMIFS('Entries'!$S$6:$S$505,'Entries'!$R$6:$R$505,C64,'Entries'!$B$6:$B$505,"&lt;="&amp;B64))*VLOOKUP(C64,'Accounts'!$A$6:$C$105,3,FALSE),"Unknown account"))</x:f>
      </x:c>
      <x:c r="F64" s="37" t="str">
        <x:f>IF(A64="","",IF(AND(ISNUMBER(D64),ISNUMBER(E64)),D64-E64,"Enter statement balance"))</x:f>
      </x:c>
      <x:c r="G64" s="43"/>
      <x:c r="H64" s="43"/>
      <x:c r="I64" s="43"/>
    </x:row>
    <x:row r="65" ht="23" customHeight="1">
      <x:c r="A65" s="36"/>
      <x:c r="B65" s="40"/>
      <x:c r="C65" s="36"/>
      <x:c r="D65" s="41"/>
      <x:c r="E65" s="37" t="str">
        <x:f>IF(A65="","",IF(COUNTIFS('Accounts'!$A$6:$A$105,C65)=1,(SUMIFS('Entries'!$S$6:$S$505,'Entries'!$Q$6:$Q$505,C65,'Entries'!$B$6:$B$505,"&lt;="&amp;B65)-SUMIFS('Entries'!$S$6:$S$505,'Entries'!$R$6:$R$505,C65,'Entries'!$B$6:$B$505,"&lt;="&amp;B65))*VLOOKUP(C65,'Accounts'!$A$6:$C$105,3,FALSE),"Unknown account"))</x:f>
      </x:c>
      <x:c r="F65" s="37" t="str">
        <x:f>IF(A65="","",IF(AND(ISNUMBER(D65),ISNUMBER(E65)),D65-E65,"Enter statement balance"))</x:f>
      </x:c>
      <x:c r="G65" s="43"/>
      <x:c r="H65" s="43"/>
      <x:c r="I65" s="43"/>
    </x:row>
    <x:row r="66" ht="23" customHeight="1">
      <x:c r="A66" s="36"/>
      <x:c r="B66" s="40"/>
      <x:c r="C66" s="36"/>
      <x:c r="D66" s="41"/>
      <x:c r="E66" s="37" t="str">
        <x:f>IF(A66="","",IF(COUNTIFS('Accounts'!$A$6:$A$105,C66)=1,(SUMIFS('Entries'!$S$6:$S$505,'Entries'!$Q$6:$Q$505,C66,'Entries'!$B$6:$B$505,"&lt;="&amp;B66)-SUMIFS('Entries'!$S$6:$S$505,'Entries'!$R$6:$R$505,C66,'Entries'!$B$6:$B$505,"&lt;="&amp;B66))*VLOOKUP(C66,'Accounts'!$A$6:$C$105,3,FALSE),"Unknown account"))</x:f>
      </x:c>
      <x:c r="F66" s="37" t="str">
        <x:f>IF(A66="","",IF(AND(ISNUMBER(D66),ISNUMBER(E66)),D66-E66,"Enter statement balance"))</x:f>
      </x:c>
      <x:c r="G66" s="43"/>
      <x:c r="H66" s="43"/>
      <x:c r="I66" s="43"/>
    </x:row>
    <x:row r="67" ht="23" customHeight="1">
      <x:c r="A67" s="36"/>
      <x:c r="B67" s="40"/>
      <x:c r="C67" s="36"/>
      <x:c r="D67" s="41"/>
      <x:c r="E67" s="37" t="str">
        <x:f>IF(A67="","",IF(COUNTIFS('Accounts'!$A$6:$A$105,C67)=1,(SUMIFS('Entries'!$S$6:$S$505,'Entries'!$Q$6:$Q$505,C67,'Entries'!$B$6:$B$505,"&lt;="&amp;B67)-SUMIFS('Entries'!$S$6:$S$505,'Entries'!$R$6:$R$505,C67,'Entries'!$B$6:$B$505,"&lt;="&amp;B67))*VLOOKUP(C67,'Accounts'!$A$6:$C$105,3,FALSE),"Unknown account"))</x:f>
      </x:c>
      <x:c r="F67" s="37" t="str">
        <x:f>IF(A67="","",IF(AND(ISNUMBER(D67),ISNUMBER(E67)),D67-E67,"Enter statement balance"))</x:f>
      </x:c>
      <x:c r="G67" s="43"/>
      <x:c r="H67" s="43"/>
      <x:c r="I67" s="43"/>
    </x:row>
    <x:row r="68" ht="23" customHeight="1">
      <x:c r="A68" s="36"/>
      <x:c r="B68" s="40"/>
      <x:c r="C68" s="36"/>
      <x:c r="D68" s="41"/>
      <x:c r="E68" s="37" t="str">
        <x:f>IF(A68="","",IF(COUNTIFS('Accounts'!$A$6:$A$105,C68)=1,(SUMIFS('Entries'!$S$6:$S$505,'Entries'!$Q$6:$Q$505,C68,'Entries'!$B$6:$B$505,"&lt;="&amp;B68)-SUMIFS('Entries'!$S$6:$S$505,'Entries'!$R$6:$R$505,C68,'Entries'!$B$6:$B$505,"&lt;="&amp;B68))*VLOOKUP(C68,'Accounts'!$A$6:$C$105,3,FALSE),"Unknown account"))</x:f>
      </x:c>
      <x:c r="F68" s="37" t="str">
        <x:f>IF(A68="","",IF(AND(ISNUMBER(D68),ISNUMBER(E68)),D68-E68,"Enter statement balance"))</x:f>
      </x:c>
      <x:c r="G68" s="43"/>
      <x:c r="H68" s="43"/>
      <x:c r="I68" s="43"/>
    </x:row>
    <x:row r="69" ht="23" customHeight="1">
      <x:c r="A69" s="36"/>
      <x:c r="B69" s="40"/>
      <x:c r="C69" s="36"/>
      <x:c r="D69" s="41"/>
      <x:c r="E69" s="37" t="str">
        <x:f>IF(A69="","",IF(COUNTIFS('Accounts'!$A$6:$A$105,C69)=1,(SUMIFS('Entries'!$S$6:$S$505,'Entries'!$Q$6:$Q$505,C69,'Entries'!$B$6:$B$505,"&lt;="&amp;B69)-SUMIFS('Entries'!$S$6:$S$505,'Entries'!$R$6:$R$505,C69,'Entries'!$B$6:$B$505,"&lt;="&amp;B69))*VLOOKUP(C69,'Accounts'!$A$6:$C$105,3,FALSE),"Unknown account"))</x:f>
      </x:c>
      <x:c r="F69" s="37" t="str">
        <x:f>IF(A69="","",IF(AND(ISNUMBER(D69),ISNUMBER(E69)),D69-E69,"Enter statement balance"))</x:f>
      </x:c>
      <x:c r="G69" s="43"/>
      <x:c r="H69" s="43"/>
      <x:c r="I69" s="43"/>
    </x:row>
    <x:row r="70" ht="23" customHeight="1">
      <x:c r="A70" s="36"/>
      <x:c r="B70" s="40"/>
      <x:c r="C70" s="36"/>
      <x:c r="D70" s="41"/>
      <x:c r="E70" s="37" t="str">
        <x:f>IF(A70="","",IF(COUNTIFS('Accounts'!$A$6:$A$105,C70)=1,(SUMIFS('Entries'!$S$6:$S$505,'Entries'!$Q$6:$Q$505,C70,'Entries'!$B$6:$B$505,"&lt;="&amp;B70)-SUMIFS('Entries'!$S$6:$S$505,'Entries'!$R$6:$R$505,C70,'Entries'!$B$6:$B$505,"&lt;="&amp;B70))*VLOOKUP(C70,'Accounts'!$A$6:$C$105,3,FALSE),"Unknown account"))</x:f>
      </x:c>
      <x:c r="F70" s="37" t="str">
        <x:f>IF(A70="","",IF(AND(ISNUMBER(D70),ISNUMBER(E70)),D70-E70,"Enter statement balance"))</x:f>
      </x:c>
      <x:c r="G70" s="43"/>
      <x:c r="H70" s="43"/>
      <x:c r="I70" s="43"/>
    </x:row>
    <x:row r="71" ht="23" customHeight="1">
      <x:c r="A71" s="36"/>
      <x:c r="B71" s="40"/>
      <x:c r="C71" s="36"/>
      <x:c r="D71" s="41"/>
      <x:c r="E71" s="37" t="str">
        <x:f>IF(A71="","",IF(COUNTIFS('Accounts'!$A$6:$A$105,C71)=1,(SUMIFS('Entries'!$S$6:$S$505,'Entries'!$Q$6:$Q$505,C71,'Entries'!$B$6:$B$505,"&lt;="&amp;B71)-SUMIFS('Entries'!$S$6:$S$505,'Entries'!$R$6:$R$505,C71,'Entries'!$B$6:$B$505,"&lt;="&amp;B71))*VLOOKUP(C71,'Accounts'!$A$6:$C$105,3,FALSE),"Unknown account"))</x:f>
      </x:c>
      <x:c r="F71" s="37" t="str">
        <x:f>IF(A71="","",IF(AND(ISNUMBER(D71),ISNUMBER(E71)),D71-E71,"Enter statement balance"))</x:f>
      </x:c>
      <x:c r="G71" s="43"/>
      <x:c r="H71" s="43"/>
      <x:c r="I71" s="43"/>
    </x:row>
    <x:row r="72" ht="23" customHeight="1">
      <x:c r="A72" s="36"/>
      <x:c r="B72" s="40"/>
      <x:c r="C72" s="36"/>
      <x:c r="D72" s="41"/>
      <x:c r="E72" s="37" t="str">
        <x:f>IF(A72="","",IF(COUNTIFS('Accounts'!$A$6:$A$105,C72)=1,(SUMIFS('Entries'!$S$6:$S$505,'Entries'!$Q$6:$Q$505,C72,'Entries'!$B$6:$B$505,"&lt;="&amp;B72)-SUMIFS('Entries'!$S$6:$S$505,'Entries'!$R$6:$R$505,C72,'Entries'!$B$6:$B$505,"&lt;="&amp;B72))*VLOOKUP(C72,'Accounts'!$A$6:$C$105,3,FALSE),"Unknown account"))</x:f>
      </x:c>
      <x:c r="F72" s="37" t="str">
        <x:f>IF(A72="","",IF(AND(ISNUMBER(D72),ISNUMBER(E72)),D72-E72,"Enter statement balance"))</x:f>
      </x:c>
      <x:c r="G72" s="43"/>
      <x:c r="H72" s="43"/>
      <x:c r="I72" s="43"/>
    </x:row>
    <x:row r="73" ht="23" customHeight="1">
      <x:c r="A73" s="36"/>
      <x:c r="B73" s="40"/>
      <x:c r="C73" s="36"/>
      <x:c r="D73" s="41"/>
      <x:c r="E73" s="37" t="str">
        <x:f>IF(A73="","",IF(COUNTIFS('Accounts'!$A$6:$A$105,C73)=1,(SUMIFS('Entries'!$S$6:$S$505,'Entries'!$Q$6:$Q$505,C73,'Entries'!$B$6:$B$505,"&lt;="&amp;B73)-SUMIFS('Entries'!$S$6:$S$505,'Entries'!$R$6:$R$505,C73,'Entries'!$B$6:$B$505,"&lt;="&amp;B73))*VLOOKUP(C73,'Accounts'!$A$6:$C$105,3,FALSE),"Unknown account"))</x:f>
      </x:c>
      <x:c r="F73" s="37" t="str">
        <x:f>IF(A73="","",IF(AND(ISNUMBER(D73),ISNUMBER(E73)),D73-E73,"Enter statement balance"))</x:f>
      </x:c>
      <x:c r="G73" s="43"/>
      <x:c r="H73" s="43"/>
      <x:c r="I73" s="43"/>
    </x:row>
    <x:row r="74" ht="23" customHeight="1">
      <x:c r="A74" s="36"/>
      <x:c r="B74" s="40"/>
      <x:c r="C74" s="36"/>
      <x:c r="D74" s="41"/>
      <x:c r="E74" s="37" t="str">
        <x:f>IF(A74="","",IF(COUNTIFS('Accounts'!$A$6:$A$105,C74)=1,(SUMIFS('Entries'!$S$6:$S$505,'Entries'!$Q$6:$Q$505,C74,'Entries'!$B$6:$B$505,"&lt;="&amp;B74)-SUMIFS('Entries'!$S$6:$S$505,'Entries'!$R$6:$R$505,C74,'Entries'!$B$6:$B$505,"&lt;="&amp;B74))*VLOOKUP(C74,'Accounts'!$A$6:$C$105,3,FALSE),"Unknown account"))</x:f>
      </x:c>
      <x:c r="F74" s="37" t="str">
        <x:f>IF(A74="","",IF(AND(ISNUMBER(D74),ISNUMBER(E74)),D74-E74,"Enter statement balance"))</x:f>
      </x:c>
      <x:c r="G74" s="43"/>
      <x:c r="H74" s="43"/>
      <x:c r="I74" s="43"/>
    </x:row>
    <x:row r="75" ht="23" customHeight="1">
      <x:c r="A75" s="36"/>
      <x:c r="B75" s="40"/>
      <x:c r="C75" s="36"/>
      <x:c r="D75" s="41"/>
      <x:c r="E75" s="37" t="str">
        <x:f>IF(A75="","",IF(COUNTIFS('Accounts'!$A$6:$A$105,C75)=1,(SUMIFS('Entries'!$S$6:$S$505,'Entries'!$Q$6:$Q$505,C75,'Entries'!$B$6:$B$505,"&lt;="&amp;B75)-SUMIFS('Entries'!$S$6:$S$505,'Entries'!$R$6:$R$505,C75,'Entries'!$B$6:$B$505,"&lt;="&amp;B75))*VLOOKUP(C75,'Accounts'!$A$6:$C$105,3,FALSE),"Unknown account"))</x:f>
      </x:c>
      <x:c r="F75" s="37" t="str">
        <x:f>IF(A75="","",IF(AND(ISNUMBER(D75),ISNUMBER(E75)),D75-E75,"Enter statement balance"))</x:f>
      </x:c>
      <x:c r="G75" s="43"/>
      <x:c r="H75" s="43"/>
      <x:c r="I75" s="43"/>
    </x:row>
    <x:row r="76" ht="23" customHeight="1">
      <x:c r="A76" s="36"/>
      <x:c r="B76" s="40"/>
      <x:c r="C76" s="36"/>
      <x:c r="D76" s="41"/>
      <x:c r="E76" s="37" t="str">
        <x:f>IF(A76="","",IF(COUNTIFS('Accounts'!$A$6:$A$105,C76)=1,(SUMIFS('Entries'!$S$6:$S$505,'Entries'!$Q$6:$Q$505,C76,'Entries'!$B$6:$B$505,"&lt;="&amp;B76)-SUMIFS('Entries'!$S$6:$S$505,'Entries'!$R$6:$R$505,C76,'Entries'!$B$6:$B$505,"&lt;="&amp;B76))*VLOOKUP(C76,'Accounts'!$A$6:$C$105,3,FALSE),"Unknown account"))</x:f>
      </x:c>
      <x:c r="F76" s="37" t="str">
        <x:f>IF(A76="","",IF(AND(ISNUMBER(D76),ISNUMBER(E76)),D76-E76,"Enter statement balance"))</x:f>
      </x:c>
      <x:c r="G76" s="43"/>
      <x:c r="H76" s="43"/>
      <x:c r="I76" s="43"/>
    </x:row>
    <x:row r="77" ht="23" customHeight="1">
      <x:c r="A77" s="36"/>
      <x:c r="B77" s="40"/>
      <x:c r="C77" s="36"/>
      <x:c r="D77" s="41"/>
      <x:c r="E77" s="37" t="str">
        <x:f>IF(A77="","",IF(COUNTIFS('Accounts'!$A$6:$A$105,C77)=1,(SUMIFS('Entries'!$S$6:$S$505,'Entries'!$Q$6:$Q$505,C77,'Entries'!$B$6:$B$505,"&lt;="&amp;B77)-SUMIFS('Entries'!$S$6:$S$505,'Entries'!$R$6:$R$505,C77,'Entries'!$B$6:$B$505,"&lt;="&amp;B77))*VLOOKUP(C77,'Accounts'!$A$6:$C$105,3,FALSE),"Unknown account"))</x:f>
      </x:c>
      <x:c r="F77" s="37" t="str">
        <x:f>IF(A77="","",IF(AND(ISNUMBER(D77),ISNUMBER(E77)),D77-E77,"Enter statement balance"))</x:f>
      </x:c>
      <x:c r="G77" s="43"/>
      <x:c r="H77" s="43"/>
      <x:c r="I77" s="43"/>
    </x:row>
    <x:row r="78" ht="23" customHeight="1">
      <x:c r="A78" s="36"/>
      <x:c r="B78" s="40"/>
      <x:c r="C78" s="36"/>
      <x:c r="D78" s="41"/>
      <x:c r="E78" s="37" t="str">
        <x:f>IF(A78="","",IF(COUNTIFS('Accounts'!$A$6:$A$105,C78)=1,(SUMIFS('Entries'!$S$6:$S$505,'Entries'!$Q$6:$Q$505,C78,'Entries'!$B$6:$B$505,"&lt;="&amp;B78)-SUMIFS('Entries'!$S$6:$S$505,'Entries'!$R$6:$R$505,C78,'Entries'!$B$6:$B$505,"&lt;="&amp;B78))*VLOOKUP(C78,'Accounts'!$A$6:$C$105,3,FALSE),"Unknown account"))</x:f>
      </x:c>
      <x:c r="F78" s="37" t="str">
        <x:f>IF(A78="","",IF(AND(ISNUMBER(D78),ISNUMBER(E78)),D78-E78,"Enter statement balance"))</x:f>
      </x:c>
      <x:c r="G78" s="43"/>
      <x:c r="H78" s="43"/>
      <x:c r="I78" s="43"/>
    </x:row>
    <x:row r="79" ht="23" customHeight="1">
      <x:c r="A79" s="36"/>
      <x:c r="B79" s="40"/>
      <x:c r="C79" s="36"/>
      <x:c r="D79" s="41"/>
      <x:c r="E79" s="37" t="str">
        <x:f>IF(A79="","",IF(COUNTIFS('Accounts'!$A$6:$A$105,C79)=1,(SUMIFS('Entries'!$S$6:$S$505,'Entries'!$Q$6:$Q$505,C79,'Entries'!$B$6:$B$505,"&lt;="&amp;B79)-SUMIFS('Entries'!$S$6:$S$505,'Entries'!$R$6:$R$505,C79,'Entries'!$B$6:$B$505,"&lt;="&amp;B79))*VLOOKUP(C79,'Accounts'!$A$6:$C$105,3,FALSE),"Unknown account"))</x:f>
      </x:c>
      <x:c r="F79" s="37" t="str">
        <x:f>IF(A79="","",IF(AND(ISNUMBER(D79),ISNUMBER(E79)),D79-E79,"Enter statement balance"))</x:f>
      </x:c>
      <x:c r="G79" s="43"/>
      <x:c r="H79" s="43"/>
      <x:c r="I79" s="43"/>
    </x:row>
    <x:row r="80" ht="23" customHeight="1">
      <x:c r="A80" s="36"/>
      <x:c r="B80" s="40"/>
      <x:c r="C80" s="36"/>
      <x:c r="D80" s="41"/>
      <x:c r="E80" s="37" t="str">
        <x:f>IF(A80="","",IF(COUNTIFS('Accounts'!$A$6:$A$105,C80)=1,(SUMIFS('Entries'!$S$6:$S$505,'Entries'!$Q$6:$Q$505,C80,'Entries'!$B$6:$B$505,"&lt;="&amp;B80)-SUMIFS('Entries'!$S$6:$S$505,'Entries'!$R$6:$R$505,C80,'Entries'!$B$6:$B$505,"&lt;="&amp;B80))*VLOOKUP(C80,'Accounts'!$A$6:$C$105,3,FALSE),"Unknown account"))</x:f>
      </x:c>
      <x:c r="F80" s="37" t="str">
        <x:f>IF(A80="","",IF(AND(ISNUMBER(D80),ISNUMBER(E80)),D80-E80,"Enter statement balance"))</x:f>
      </x:c>
      <x:c r="G80" s="43"/>
      <x:c r="H80" s="43"/>
      <x:c r="I80" s="43"/>
    </x:row>
    <x:row r="81" ht="23" customHeight="1">
      <x:c r="A81" s="36"/>
      <x:c r="B81" s="40"/>
      <x:c r="C81" s="36"/>
      <x:c r="D81" s="41"/>
      <x:c r="E81" s="37" t="str">
        <x:f>IF(A81="","",IF(COUNTIFS('Accounts'!$A$6:$A$105,C81)=1,(SUMIFS('Entries'!$S$6:$S$505,'Entries'!$Q$6:$Q$505,C81,'Entries'!$B$6:$B$505,"&lt;="&amp;B81)-SUMIFS('Entries'!$S$6:$S$505,'Entries'!$R$6:$R$505,C81,'Entries'!$B$6:$B$505,"&lt;="&amp;B81))*VLOOKUP(C81,'Accounts'!$A$6:$C$105,3,FALSE),"Unknown account"))</x:f>
      </x:c>
      <x:c r="F81" s="37" t="str">
        <x:f>IF(A81="","",IF(AND(ISNUMBER(D81),ISNUMBER(E81)),D81-E81,"Enter statement balance"))</x:f>
      </x:c>
      <x:c r="G81" s="43"/>
      <x:c r="H81" s="43"/>
      <x:c r="I81" s="43"/>
    </x:row>
    <x:row r="82" ht="23" customHeight="1">
      <x:c r="A82" s="36"/>
      <x:c r="B82" s="40"/>
      <x:c r="C82" s="36"/>
      <x:c r="D82" s="41"/>
      <x:c r="E82" s="37" t="str">
        <x:f>IF(A82="","",IF(COUNTIFS('Accounts'!$A$6:$A$105,C82)=1,(SUMIFS('Entries'!$S$6:$S$505,'Entries'!$Q$6:$Q$505,C82,'Entries'!$B$6:$B$505,"&lt;="&amp;B82)-SUMIFS('Entries'!$S$6:$S$505,'Entries'!$R$6:$R$505,C82,'Entries'!$B$6:$B$505,"&lt;="&amp;B82))*VLOOKUP(C82,'Accounts'!$A$6:$C$105,3,FALSE),"Unknown account"))</x:f>
      </x:c>
      <x:c r="F82" s="37" t="str">
        <x:f>IF(A82="","",IF(AND(ISNUMBER(D82),ISNUMBER(E82)),D82-E82,"Enter statement balance"))</x:f>
      </x:c>
      <x:c r="G82" s="43"/>
      <x:c r="H82" s="43"/>
      <x:c r="I82" s="43"/>
    </x:row>
    <x:row r="83" ht="23" customHeight="1">
      <x:c r="A83" s="36"/>
      <x:c r="B83" s="40"/>
      <x:c r="C83" s="36"/>
      <x:c r="D83" s="41"/>
      <x:c r="E83" s="37" t="str">
        <x:f>IF(A83="","",IF(COUNTIFS('Accounts'!$A$6:$A$105,C83)=1,(SUMIFS('Entries'!$S$6:$S$505,'Entries'!$Q$6:$Q$505,C83,'Entries'!$B$6:$B$505,"&lt;="&amp;B83)-SUMIFS('Entries'!$S$6:$S$505,'Entries'!$R$6:$R$505,C83,'Entries'!$B$6:$B$505,"&lt;="&amp;B83))*VLOOKUP(C83,'Accounts'!$A$6:$C$105,3,FALSE),"Unknown account"))</x:f>
      </x:c>
      <x:c r="F83" s="37" t="str">
        <x:f>IF(A83="","",IF(AND(ISNUMBER(D83),ISNUMBER(E83)),D83-E83,"Enter statement balance"))</x:f>
      </x:c>
      <x:c r="G83" s="43"/>
      <x:c r="H83" s="43"/>
      <x:c r="I83" s="43"/>
    </x:row>
    <x:row r="84" ht="23" customHeight="1">
      <x:c r="A84" s="36"/>
      <x:c r="B84" s="40"/>
      <x:c r="C84" s="36"/>
      <x:c r="D84" s="41"/>
      <x:c r="E84" s="37" t="str">
        <x:f>IF(A84="","",IF(COUNTIFS('Accounts'!$A$6:$A$105,C84)=1,(SUMIFS('Entries'!$S$6:$S$505,'Entries'!$Q$6:$Q$505,C84,'Entries'!$B$6:$B$505,"&lt;="&amp;B84)-SUMIFS('Entries'!$S$6:$S$505,'Entries'!$R$6:$R$505,C84,'Entries'!$B$6:$B$505,"&lt;="&amp;B84))*VLOOKUP(C84,'Accounts'!$A$6:$C$105,3,FALSE),"Unknown account"))</x:f>
      </x:c>
      <x:c r="F84" s="37" t="str">
        <x:f>IF(A84="","",IF(AND(ISNUMBER(D84),ISNUMBER(E84)),D84-E84,"Enter statement balance"))</x:f>
      </x:c>
      <x:c r="G84" s="43"/>
      <x:c r="H84" s="43"/>
      <x:c r="I84" s="43"/>
    </x:row>
    <x:row r="85" ht="23" customHeight="1">
      <x:c r="A85" s="36"/>
      <x:c r="B85" s="40"/>
      <x:c r="C85" s="36"/>
      <x:c r="D85" s="41"/>
      <x:c r="E85" s="37" t="str">
        <x:f>IF(A85="","",IF(COUNTIFS('Accounts'!$A$6:$A$105,C85)=1,(SUMIFS('Entries'!$S$6:$S$505,'Entries'!$Q$6:$Q$505,C85,'Entries'!$B$6:$B$505,"&lt;="&amp;B85)-SUMIFS('Entries'!$S$6:$S$505,'Entries'!$R$6:$R$505,C85,'Entries'!$B$6:$B$505,"&lt;="&amp;B85))*VLOOKUP(C85,'Accounts'!$A$6:$C$105,3,FALSE),"Unknown account"))</x:f>
      </x:c>
      <x:c r="F85" s="37" t="str">
        <x:f>IF(A85="","",IF(AND(ISNUMBER(D85),ISNUMBER(E85)),D85-E85,"Enter statement balance"))</x:f>
      </x:c>
      <x:c r="G85" s="43"/>
      <x:c r="H85" s="43"/>
      <x:c r="I85" s="43"/>
    </x:row>
    <x:row r="86" ht="23" customHeight="1">
      <x:c r="A86" s="36"/>
      <x:c r="B86" s="40"/>
      <x:c r="C86" s="36"/>
      <x:c r="D86" s="41"/>
      <x:c r="E86" s="37" t="str">
        <x:f>IF(A86="","",IF(COUNTIFS('Accounts'!$A$6:$A$105,C86)=1,(SUMIFS('Entries'!$S$6:$S$505,'Entries'!$Q$6:$Q$505,C86,'Entries'!$B$6:$B$505,"&lt;="&amp;B86)-SUMIFS('Entries'!$S$6:$S$505,'Entries'!$R$6:$R$505,C86,'Entries'!$B$6:$B$505,"&lt;="&amp;B86))*VLOOKUP(C86,'Accounts'!$A$6:$C$105,3,FALSE),"Unknown account"))</x:f>
      </x:c>
      <x:c r="F86" s="37" t="str">
        <x:f>IF(A86="","",IF(AND(ISNUMBER(D86),ISNUMBER(E86)),D86-E86,"Enter statement balance"))</x:f>
      </x:c>
      <x:c r="G86" s="43"/>
      <x:c r="H86" s="43"/>
      <x:c r="I86" s="43"/>
    </x:row>
    <x:row r="87" ht="23" customHeight="1">
      <x:c r="A87" s="36"/>
      <x:c r="B87" s="40"/>
      <x:c r="C87" s="36"/>
      <x:c r="D87" s="41"/>
      <x:c r="E87" s="37" t="str">
        <x:f>IF(A87="","",IF(COUNTIFS('Accounts'!$A$6:$A$105,C87)=1,(SUMIFS('Entries'!$S$6:$S$505,'Entries'!$Q$6:$Q$505,C87,'Entries'!$B$6:$B$505,"&lt;="&amp;B87)-SUMIFS('Entries'!$S$6:$S$505,'Entries'!$R$6:$R$505,C87,'Entries'!$B$6:$B$505,"&lt;="&amp;B87))*VLOOKUP(C87,'Accounts'!$A$6:$C$105,3,FALSE),"Unknown account"))</x:f>
      </x:c>
      <x:c r="F87" s="37" t="str">
        <x:f>IF(A87="","",IF(AND(ISNUMBER(D87),ISNUMBER(E87)),D87-E87,"Enter statement balance"))</x:f>
      </x:c>
      <x:c r="G87" s="43"/>
      <x:c r="H87" s="43"/>
      <x:c r="I87" s="43"/>
    </x:row>
    <x:row r="88" ht="23" customHeight="1">
      <x:c r="A88" s="36"/>
      <x:c r="B88" s="40"/>
      <x:c r="C88" s="36"/>
      <x:c r="D88" s="41"/>
      <x:c r="E88" s="37" t="str">
        <x:f>IF(A88="","",IF(COUNTIFS('Accounts'!$A$6:$A$105,C88)=1,(SUMIFS('Entries'!$S$6:$S$505,'Entries'!$Q$6:$Q$505,C88,'Entries'!$B$6:$B$505,"&lt;="&amp;B88)-SUMIFS('Entries'!$S$6:$S$505,'Entries'!$R$6:$R$505,C88,'Entries'!$B$6:$B$505,"&lt;="&amp;B88))*VLOOKUP(C88,'Accounts'!$A$6:$C$105,3,FALSE),"Unknown account"))</x:f>
      </x:c>
      <x:c r="F88" s="37" t="str">
        <x:f>IF(A88="","",IF(AND(ISNUMBER(D88),ISNUMBER(E88)),D88-E88,"Enter statement balance"))</x:f>
      </x:c>
      <x:c r="G88" s="43"/>
      <x:c r="H88" s="43"/>
      <x:c r="I88" s="43"/>
    </x:row>
    <x:row r="89" ht="23" customHeight="1">
      <x:c r="A89" s="36"/>
      <x:c r="B89" s="40"/>
      <x:c r="C89" s="36"/>
      <x:c r="D89" s="41"/>
      <x:c r="E89" s="37" t="str">
        <x:f>IF(A89="","",IF(COUNTIFS('Accounts'!$A$6:$A$105,C89)=1,(SUMIFS('Entries'!$S$6:$S$505,'Entries'!$Q$6:$Q$505,C89,'Entries'!$B$6:$B$505,"&lt;="&amp;B89)-SUMIFS('Entries'!$S$6:$S$505,'Entries'!$R$6:$R$505,C89,'Entries'!$B$6:$B$505,"&lt;="&amp;B89))*VLOOKUP(C89,'Accounts'!$A$6:$C$105,3,FALSE),"Unknown account"))</x:f>
      </x:c>
      <x:c r="F89" s="37" t="str">
        <x:f>IF(A89="","",IF(AND(ISNUMBER(D89),ISNUMBER(E89)),D89-E89,"Enter statement balance"))</x:f>
      </x:c>
      <x:c r="G89" s="43"/>
      <x:c r="H89" s="43"/>
      <x:c r="I89" s="43"/>
    </x:row>
    <x:row r="90" ht="23" customHeight="1">
      <x:c r="A90" s="36"/>
      <x:c r="B90" s="40"/>
      <x:c r="C90" s="36"/>
      <x:c r="D90" s="41"/>
      <x:c r="E90" s="37" t="str">
        <x:f>IF(A90="","",IF(COUNTIFS('Accounts'!$A$6:$A$105,C90)=1,(SUMIFS('Entries'!$S$6:$S$505,'Entries'!$Q$6:$Q$505,C90,'Entries'!$B$6:$B$505,"&lt;="&amp;B90)-SUMIFS('Entries'!$S$6:$S$505,'Entries'!$R$6:$R$505,C90,'Entries'!$B$6:$B$505,"&lt;="&amp;B90))*VLOOKUP(C90,'Accounts'!$A$6:$C$105,3,FALSE),"Unknown account"))</x:f>
      </x:c>
      <x:c r="F90" s="37" t="str">
        <x:f>IF(A90="","",IF(AND(ISNUMBER(D90),ISNUMBER(E90)),D90-E90,"Enter statement balance"))</x:f>
      </x:c>
      <x:c r="G90" s="43"/>
      <x:c r="H90" s="43"/>
      <x:c r="I90" s="43"/>
    </x:row>
    <x:row r="91" ht="23" customHeight="1">
      <x:c r="A91" s="36"/>
      <x:c r="B91" s="40"/>
      <x:c r="C91" s="36"/>
      <x:c r="D91" s="41"/>
      <x:c r="E91" s="37" t="str">
        <x:f>IF(A91="","",IF(COUNTIFS('Accounts'!$A$6:$A$105,C91)=1,(SUMIFS('Entries'!$S$6:$S$505,'Entries'!$Q$6:$Q$505,C91,'Entries'!$B$6:$B$505,"&lt;="&amp;B91)-SUMIFS('Entries'!$S$6:$S$505,'Entries'!$R$6:$R$505,C91,'Entries'!$B$6:$B$505,"&lt;="&amp;B91))*VLOOKUP(C91,'Accounts'!$A$6:$C$105,3,FALSE),"Unknown account"))</x:f>
      </x:c>
      <x:c r="F91" s="37" t="str">
        <x:f>IF(A91="","",IF(AND(ISNUMBER(D91),ISNUMBER(E91)),D91-E91,"Enter statement balance"))</x:f>
      </x:c>
      <x:c r="G91" s="43"/>
      <x:c r="H91" s="43"/>
      <x:c r="I91" s="43"/>
    </x:row>
    <x:row r="92" ht="23" customHeight="1">
      <x:c r="A92" s="36"/>
      <x:c r="B92" s="40"/>
      <x:c r="C92" s="36"/>
      <x:c r="D92" s="41"/>
      <x:c r="E92" s="37" t="str">
        <x:f>IF(A92="","",IF(COUNTIFS('Accounts'!$A$6:$A$105,C92)=1,(SUMIFS('Entries'!$S$6:$S$505,'Entries'!$Q$6:$Q$505,C92,'Entries'!$B$6:$B$505,"&lt;="&amp;B92)-SUMIFS('Entries'!$S$6:$S$505,'Entries'!$R$6:$R$505,C92,'Entries'!$B$6:$B$505,"&lt;="&amp;B92))*VLOOKUP(C92,'Accounts'!$A$6:$C$105,3,FALSE),"Unknown account"))</x:f>
      </x:c>
      <x:c r="F92" s="37" t="str">
        <x:f>IF(A92="","",IF(AND(ISNUMBER(D92),ISNUMBER(E92)),D92-E92,"Enter statement balance"))</x:f>
      </x:c>
      <x:c r="G92" s="43"/>
      <x:c r="H92" s="43"/>
      <x:c r="I92" s="43"/>
    </x:row>
    <x:row r="93" ht="23" customHeight="1">
      <x:c r="A93" s="36"/>
      <x:c r="B93" s="40"/>
      <x:c r="C93" s="36"/>
      <x:c r="D93" s="41"/>
      <x:c r="E93" s="37" t="str">
        <x:f>IF(A93="","",IF(COUNTIFS('Accounts'!$A$6:$A$105,C93)=1,(SUMIFS('Entries'!$S$6:$S$505,'Entries'!$Q$6:$Q$505,C93,'Entries'!$B$6:$B$505,"&lt;="&amp;B93)-SUMIFS('Entries'!$S$6:$S$505,'Entries'!$R$6:$R$505,C93,'Entries'!$B$6:$B$505,"&lt;="&amp;B93))*VLOOKUP(C93,'Accounts'!$A$6:$C$105,3,FALSE),"Unknown account"))</x:f>
      </x:c>
      <x:c r="F93" s="37" t="str">
        <x:f>IF(A93="","",IF(AND(ISNUMBER(D93),ISNUMBER(E93)),D93-E93,"Enter statement balance"))</x:f>
      </x:c>
      <x:c r="G93" s="43"/>
      <x:c r="H93" s="43"/>
      <x:c r="I93" s="43"/>
    </x:row>
    <x:row r="94" ht="23" customHeight="1">
      <x:c r="A94" s="36"/>
      <x:c r="B94" s="40"/>
      <x:c r="C94" s="36"/>
      <x:c r="D94" s="41"/>
      <x:c r="E94" s="37" t="str">
        <x:f>IF(A94="","",IF(COUNTIFS('Accounts'!$A$6:$A$105,C94)=1,(SUMIFS('Entries'!$S$6:$S$505,'Entries'!$Q$6:$Q$505,C94,'Entries'!$B$6:$B$505,"&lt;="&amp;B94)-SUMIFS('Entries'!$S$6:$S$505,'Entries'!$R$6:$R$505,C94,'Entries'!$B$6:$B$505,"&lt;="&amp;B94))*VLOOKUP(C94,'Accounts'!$A$6:$C$105,3,FALSE),"Unknown account"))</x:f>
      </x:c>
      <x:c r="F94" s="37" t="str">
        <x:f>IF(A94="","",IF(AND(ISNUMBER(D94),ISNUMBER(E94)),D94-E94,"Enter statement balance"))</x:f>
      </x:c>
      <x:c r="G94" s="43"/>
      <x:c r="H94" s="43"/>
      <x:c r="I94" s="43"/>
    </x:row>
    <x:row r="95" ht="23" customHeight="1">
      <x:c r="A95" s="36"/>
      <x:c r="B95" s="40"/>
      <x:c r="C95" s="36"/>
      <x:c r="D95" s="41"/>
      <x:c r="E95" s="37" t="str">
        <x:f>IF(A95="","",IF(COUNTIFS('Accounts'!$A$6:$A$105,C95)=1,(SUMIFS('Entries'!$S$6:$S$505,'Entries'!$Q$6:$Q$505,C95,'Entries'!$B$6:$B$505,"&lt;="&amp;B95)-SUMIFS('Entries'!$S$6:$S$505,'Entries'!$R$6:$R$505,C95,'Entries'!$B$6:$B$505,"&lt;="&amp;B95))*VLOOKUP(C95,'Accounts'!$A$6:$C$105,3,FALSE),"Unknown account"))</x:f>
      </x:c>
      <x:c r="F95" s="37" t="str">
        <x:f>IF(A95="","",IF(AND(ISNUMBER(D95),ISNUMBER(E95)),D95-E95,"Enter statement balance"))</x:f>
      </x:c>
      <x:c r="G95" s="43"/>
      <x:c r="H95" s="43"/>
      <x:c r="I95" s="43"/>
    </x:row>
    <x:row r="96" ht="23" customHeight="1">
      <x:c r="A96" s="36"/>
      <x:c r="B96" s="40"/>
      <x:c r="C96" s="36"/>
      <x:c r="D96" s="41"/>
      <x:c r="E96" s="37" t="str">
        <x:f>IF(A96="","",IF(COUNTIFS('Accounts'!$A$6:$A$105,C96)=1,(SUMIFS('Entries'!$S$6:$S$505,'Entries'!$Q$6:$Q$505,C96,'Entries'!$B$6:$B$505,"&lt;="&amp;B96)-SUMIFS('Entries'!$S$6:$S$505,'Entries'!$R$6:$R$505,C96,'Entries'!$B$6:$B$505,"&lt;="&amp;B96))*VLOOKUP(C96,'Accounts'!$A$6:$C$105,3,FALSE),"Unknown account"))</x:f>
      </x:c>
      <x:c r="F96" s="37" t="str">
        <x:f>IF(A96="","",IF(AND(ISNUMBER(D96),ISNUMBER(E96)),D96-E96,"Enter statement balance"))</x:f>
      </x:c>
      <x:c r="G96" s="43"/>
      <x:c r="H96" s="43"/>
      <x:c r="I96" s="43"/>
    </x:row>
    <x:row r="97" ht="23" customHeight="1">
      <x:c r="A97" s="36"/>
      <x:c r="B97" s="40"/>
      <x:c r="C97" s="36"/>
      <x:c r="D97" s="41"/>
      <x:c r="E97" s="37" t="str">
        <x:f>IF(A97="","",IF(COUNTIFS('Accounts'!$A$6:$A$105,C97)=1,(SUMIFS('Entries'!$S$6:$S$505,'Entries'!$Q$6:$Q$505,C97,'Entries'!$B$6:$B$505,"&lt;="&amp;B97)-SUMIFS('Entries'!$S$6:$S$505,'Entries'!$R$6:$R$505,C97,'Entries'!$B$6:$B$505,"&lt;="&amp;B97))*VLOOKUP(C97,'Accounts'!$A$6:$C$105,3,FALSE),"Unknown account"))</x:f>
      </x:c>
      <x:c r="F97" s="37" t="str">
        <x:f>IF(A97="","",IF(AND(ISNUMBER(D97),ISNUMBER(E97)),D97-E97,"Enter statement balance"))</x:f>
      </x:c>
      <x:c r="G97" s="43"/>
      <x:c r="H97" s="43"/>
      <x:c r="I97" s="43"/>
    </x:row>
    <x:row r="98" ht="23" customHeight="1">
      <x:c r="A98" s="36"/>
      <x:c r="B98" s="40"/>
      <x:c r="C98" s="36"/>
      <x:c r="D98" s="41"/>
      <x:c r="E98" s="37" t="str">
        <x:f>IF(A98="","",IF(COUNTIFS('Accounts'!$A$6:$A$105,C98)=1,(SUMIFS('Entries'!$S$6:$S$505,'Entries'!$Q$6:$Q$505,C98,'Entries'!$B$6:$B$505,"&lt;="&amp;B98)-SUMIFS('Entries'!$S$6:$S$505,'Entries'!$R$6:$R$505,C98,'Entries'!$B$6:$B$505,"&lt;="&amp;B98))*VLOOKUP(C98,'Accounts'!$A$6:$C$105,3,FALSE),"Unknown account"))</x:f>
      </x:c>
      <x:c r="F98" s="37" t="str">
        <x:f>IF(A98="","",IF(AND(ISNUMBER(D98),ISNUMBER(E98)),D98-E98,"Enter statement balance"))</x:f>
      </x:c>
      <x:c r="G98" s="43"/>
      <x:c r="H98" s="43"/>
      <x:c r="I98" s="43"/>
    </x:row>
    <x:row r="99" ht="23" customHeight="1">
      <x:c r="A99" s="36"/>
      <x:c r="B99" s="40"/>
      <x:c r="C99" s="36"/>
      <x:c r="D99" s="41"/>
      <x:c r="E99" s="37" t="str">
        <x:f>IF(A99="","",IF(COUNTIFS('Accounts'!$A$6:$A$105,C99)=1,(SUMIFS('Entries'!$S$6:$S$505,'Entries'!$Q$6:$Q$505,C99,'Entries'!$B$6:$B$505,"&lt;="&amp;B99)-SUMIFS('Entries'!$S$6:$S$505,'Entries'!$R$6:$R$505,C99,'Entries'!$B$6:$B$505,"&lt;="&amp;B99))*VLOOKUP(C99,'Accounts'!$A$6:$C$105,3,FALSE),"Unknown account"))</x:f>
      </x:c>
      <x:c r="F99" s="37" t="str">
        <x:f>IF(A99="","",IF(AND(ISNUMBER(D99),ISNUMBER(E99)),D99-E99,"Enter statement balance"))</x:f>
      </x:c>
      <x:c r="G99" s="43"/>
      <x:c r="H99" s="43"/>
      <x:c r="I99" s="43"/>
    </x:row>
    <x:row r="100" ht="23" customHeight="1">
      <x:c r="A100" s="36"/>
      <x:c r="B100" s="40"/>
      <x:c r="C100" s="36"/>
      <x:c r="D100" s="41"/>
      <x:c r="E100" s="37" t="str">
        <x:f>IF(A100="","",IF(COUNTIFS('Accounts'!$A$6:$A$105,C100)=1,(SUMIFS('Entries'!$S$6:$S$505,'Entries'!$Q$6:$Q$505,C100,'Entries'!$B$6:$B$505,"&lt;="&amp;B100)-SUMIFS('Entries'!$S$6:$S$505,'Entries'!$R$6:$R$505,C100,'Entries'!$B$6:$B$505,"&lt;="&amp;B100))*VLOOKUP(C100,'Accounts'!$A$6:$C$105,3,FALSE),"Unknown account"))</x:f>
      </x:c>
      <x:c r="F100" s="37" t="str">
        <x:f>IF(A100="","",IF(AND(ISNUMBER(D100),ISNUMBER(E100)),D100-E100,"Enter statement balance"))</x:f>
      </x:c>
      <x:c r="G100" s="43"/>
      <x:c r="H100" s="43"/>
      <x:c r="I100" s="43"/>
    </x:row>
    <x:row r="101" ht="23" customHeight="1">
      <x:c r="A101" s="36"/>
      <x:c r="B101" s="40"/>
      <x:c r="C101" s="36"/>
      <x:c r="D101" s="41"/>
      <x:c r="E101" s="37" t="str">
        <x:f>IF(A101="","",IF(COUNTIFS('Accounts'!$A$6:$A$105,C101)=1,(SUMIFS('Entries'!$S$6:$S$505,'Entries'!$Q$6:$Q$505,C101,'Entries'!$B$6:$B$505,"&lt;="&amp;B101)-SUMIFS('Entries'!$S$6:$S$505,'Entries'!$R$6:$R$505,C101,'Entries'!$B$6:$B$505,"&lt;="&amp;B101))*VLOOKUP(C101,'Accounts'!$A$6:$C$105,3,FALSE),"Unknown account"))</x:f>
      </x:c>
      <x:c r="F101" s="37" t="str">
        <x:f>IF(A101="","",IF(AND(ISNUMBER(D101),ISNUMBER(E101)),D101-E101,"Enter statement balance"))</x:f>
      </x:c>
      <x:c r="G101" s="43"/>
      <x:c r="H101" s="43"/>
      <x:c r="I101" s="43"/>
    </x:row>
    <x:row r="102" ht="23" customHeight="1">
      <x:c r="A102" s="36"/>
      <x:c r="B102" s="40"/>
      <x:c r="C102" s="36"/>
      <x:c r="D102" s="41"/>
      <x:c r="E102" s="37" t="str">
        <x:f>IF(A102="","",IF(COUNTIFS('Accounts'!$A$6:$A$105,C102)=1,(SUMIFS('Entries'!$S$6:$S$505,'Entries'!$Q$6:$Q$505,C102,'Entries'!$B$6:$B$505,"&lt;="&amp;B102)-SUMIFS('Entries'!$S$6:$S$505,'Entries'!$R$6:$R$505,C102,'Entries'!$B$6:$B$505,"&lt;="&amp;B102))*VLOOKUP(C102,'Accounts'!$A$6:$C$105,3,FALSE),"Unknown account"))</x:f>
      </x:c>
      <x:c r="F102" s="37" t="str">
        <x:f>IF(A102="","",IF(AND(ISNUMBER(D102),ISNUMBER(E102)),D102-E102,"Enter statement balance"))</x:f>
      </x:c>
      <x:c r="G102" s="43"/>
      <x:c r="H102" s="43"/>
      <x:c r="I102" s="43"/>
    </x:row>
    <x:row r="103" ht="23" customHeight="1">
      <x:c r="A103" s="36"/>
      <x:c r="B103" s="40"/>
      <x:c r="C103" s="36"/>
      <x:c r="D103" s="41"/>
      <x:c r="E103" s="37" t="str">
        <x:f>IF(A103="","",IF(COUNTIFS('Accounts'!$A$6:$A$105,C103)=1,(SUMIFS('Entries'!$S$6:$S$505,'Entries'!$Q$6:$Q$505,C103,'Entries'!$B$6:$B$505,"&lt;="&amp;B103)-SUMIFS('Entries'!$S$6:$S$505,'Entries'!$R$6:$R$505,C103,'Entries'!$B$6:$B$505,"&lt;="&amp;B103))*VLOOKUP(C103,'Accounts'!$A$6:$C$105,3,FALSE),"Unknown account"))</x:f>
      </x:c>
      <x:c r="F103" s="37" t="str">
        <x:f>IF(A103="","",IF(AND(ISNUMBER(D103),ISNUMBER(E103)),D103-E103,"Enter statement balance"))</x:f>
      </x:c>
      <x:c r="G103" s="43"/>
      <x:c r="H103" s="43"/>
      <x:c r="I103" s="43"/>
    </x:row>
    <x:row r="104" ht="23" customHeight="1">
      <x:c r="A104" s="36"/>
      <x:c r="B104" s="40"/>
      <x:c r="C104" s="36"/>
      <x:c r="D104" s="41"/>
      <x:c r="E104" s="37" t="str">
        <x:f>IF(A104="","",IF(COUNTIFS('Accounts'!$A$6:$A$105,C104)=1,(SUMIFS('Entries'!$S$6:$S$505,'Entries'!$Q$6:$Q$505,C104,'Entries'!$B$6:$B$505,"&lt;="&amp;B104)-SUMIFS('Entries'!$S$6:$S$505,'Entries'!$R$6:$R$505,C104,'Entries'!$B$6:$B$505,"&lt;="&amp;B104))*VLOOKUP(C104,'Accounts'!$A$6:$C$105,3,FALSE),"Unknown account"))</x:f>
      </x:c>
      <x:c r="F104" s="37" t="str">
        <x:f>IF(A104="","",IF(AND(ISNUMBER(D104),ISNUMBER(E104)),D104-E104,"Enter statement balance"))</x:f>
      </x:c>
      <x:c r="G104" s="43"/>
      <x:c r="H104" s="43"/>
      <x:c r="I104" s="43"/>
    </x:row>
    <x:row r="105" ht="23" customHeight="1">
      <x:c r="A105" s="36"/>
      <x:c r="B105" s="40"/>
      <x:c r="C105" s="36"/>
      <x:c r="D105" s="41"/>
      <x:c r="E105" s="37" t="str">
        <x:f>IF(A105="","",IF(COUNTIFS('Accounts'!$A$6:$A$105,C105)=1,(SUMIFS('Entries'!$S$6:$S$505,'Entries'!$Q$6:$Q$505,C105,'Entries'!$B$6:$B$505,"&lt;="&amp;B105)-SUMIFS('Entries'!$S$6:$S$505,'Entries'!$R$6:$R$505,C105,'Entries'!$B$6:$B$505,"&lt;="&amp;B105))*VLOOKUP(C105,'Accounts'!$A$6:$C$105,3,FALSE),"Unknown account"))</x:f>
      </x:c>
      <x:c r="F105" s="37" t="str">
        <x:f>IF(A105="","",IF(AND(ISNUMBER(D105),ISNUMBER(E105)),D105-E105,"Enter statement balance"))</x:f>
      </x:c>
      <x:c r="G105" s="43"/>
      <x:c r="H105" s="43"/>
      <x:c r="I105" s="43"/>
    </x:row>
  </x:sheetData>
  <x:conditionalFormatting sqref="F6:F105">
    <x:cfRule type="expression" dxfId="4" priority="1">
      <x:formula>AND(ISNUMBER(F6),ABS(F6)&gt;0.01)</x:formula>
    </x:cfRule>
  </x:conditionalFormatting>
  <x:dataValidations count="2">
    <x:dataValidation type="list" sqref="C6:C105">
      <x:formula1>'Accounts'!$A$6:$A$105</x:formula1>
    </x:dataValidation>
    <x:dataValidation type="list" sqref="G6:G105">
      <x:formula1>'Partners'!$A$6:$A$15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b681bd7b9245a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22" hidden="0" customWidth="1"/>
    <x:col min="3" max="3" width="65" hidden="0" customWidth="1"/>
  </x:cols>
  <x:sheetData>
    <x:row r="1" ht="23" customHeight="1">
      <x:c r="A1" s="1"/>
      <x:c r="B1" s="1"/>
      <x:c r="C1" s="1"/>
    </x:row>
    <x:row r="2" ht="23" customHeight="1">
      <x:c r="A2" s="2" t="str">
        <x:v>AFK THEORY / Record checks</x:v>
      </x:c>
      <x:c r="B2" s="1"/>
      <x:c r="C2" s="1"/>
    </x:row>
    <x:row r="3" ht="23" customHeight="1">
      <x:c r="A3" s="3" t="str">
        <x:v>Zero differences and zero issue counts are expected. Resolve issues before relying on reports.</x:v>
      </x:c>
      <x:c r="B3" s="1"/>
      <x:c r="C3" s="1"/>
    </x:row>
    <x:row r="4" ht="23" customHeight="1">
      <x:c r="A4" s="4"/>
      <x:c r="B4" s="4"/>
      <x:c r="C4" s="4"/>
    </x:row>
    <x:row r="5" ht="23" customHeight="1">
      <x:c r="A5" s="8" t="str">
        <x:v>Check</x:v>
      </x:c>
      <x:c r="B5" s="8" t="str">
        <x:v>Result</x:v>
      </x:c>
      <x:c r="C5" s="8" t="str">
        <x:v>How to resolve</x:v>
      </x:c>
    </x:row>
    <x:row r="6" ht="23" customHeight="1">
      <x:c r="A6" s="1" t="str">
        <x:v>Ownership total less 100%</x:v>
      </x:c>
      <x:c r="B6" s="28" t="n">
        <x:f>SUM('Partners'!B6:B15)-1</x:f>
        <x:v>0</x:v>
      </x:c>
      <x:c r="C6" s="1" t="str">
        <x:v>Keep ownership total at 100%.</x:v>
      </x:c>
    </x:row>
    <x:row r="7" ht="23" customHeight="1">
      <x:c r="A7" s="1" t="str">
        <x:v>Profit share total less 100%</x:v>
      </x:c>
      <x:c r="B7" s="28" t="n">
        <x:f>SUM('Partners'!C6:C15)-1</x:f>
        <x:v>0</x:v>
      </x:c>
      <x:c r="C7" s="1" t="str">
        <x:v>Keep profit shares at 100%.</x:v>
      </x:c>
    </x:row>
    <x:row r="8" ht="23" customHeight="1">
      <x:c r="A8" s="1" t="str">
        <x:v>Report dates reversed</x:v>
      </x:c>
      <x:c r="B8" s="28" t="n">
        <x:f>IF('Settings'!B6&gt;'Settings'!B7,1,0)</x:f>
        <x:v>0</x:v>
      </x:c>
      <x:c r="C8" s="1" t="str">
        <x:v>Set start date on or before end date.</x:v>
      </x:c>
    </x:row>
    <x:row r="9" ht="23" customHeight="1">
      <x:c r="A9" s="1" t="str">
        <x:v>Invalid entry rows</x:v>
      </x:c>
      <x:c r="B9" s="28" t="n">
        <x:f>COUNTIFS('Entries'!$T$6:$T$505,"?*",'Entries'!$T$6:$T$505,"&lt;&gt;OK")</x:f>
        <x:v>0</x:v>
      </x:c>
      <x:c r="C9" s="1" t="str">
        <x:v>Filter Entries Check; invalid approved entries are excluded.</x:v>
      </x:c>
    </x:row>
    <x:row r="10" ht="23" customHeight="1">
      <x:c r="A10" s="1" t="str">
        <x:v>Approved entries missing evidence</x:v>
      </x:c>
      <x:c r="B10" s="28" t="n">
        <x:f>COUNTIFS('Entries'!$N$6:$N$505,"Approved")-COUNTIFS('Entries'!$N$6:$N$505,"Approved",'Entries'!$K$6:$K$505,"?*")</x:f>
        <x:v>0</x:v>
      </x:c>
      <x:c r="C10" s="1" t="str">
        <x:v>Link receipt, invoice or approval evidence.</x:v>
      </x:c>
    </x:row>
    <x:row r="11" ht="23" customHeight="1">
      <x:c r="A11" s="1" t="str">
        <x:v>Stock log issues</x:v>
      </x:c>
      <x:c r="B11" s="28" t="n">
        <x:f>COUNTIFS('Stock Log'!$Q$6:$Q$205,"?*",'Stock Log'!$Q$6:$Q$205,"&lt;&gt;OK")</x:f>
        <x:v>0</x:v>
      </x:c>
      <x:c r="C11" s="1" t="str">
        <x:v>Correct before approving stock; approved stock is included even if flagged.</x:v>
      </x:c>
    </x:row>
    <x:row r="12" ht="23" customHeight="1">
      <x:c r="A12" s="1" t="str">
        <x:v>Lot issues</x:v>
      </x:c>
      <x:c r="B12" s="28" t="n">
        <x:f>COUNTIFS('Lots'!$P$6:$P$105,"?*",'Lots'!$P$6:$P$105,"&lt;&gt;OK")</x:f>
        <x:v>0</x:v>
      </x:c>
      <x:c r="C12" s="1" t="str">
        <x:v>Resolve missing cost, duplicate lots and negative stock.</x:v>
      </x:c>
    </x:row>
    <x:row r="13" ht="23" customHeight="1">
      <x:c r="A13" s="1" t="str">
        <x:v>Sales issues</x:v>
      </x:c>
      <x:c r="B13" s="28" t="n">
        <x:f>COUNTIFS('Sales'!$T$6:$T$205,"?*",'Sales'!$T$6:$T$205,"&lt;&gt;OK")</x:f>
        <x:v>0</x:v>
      </x:c>
      <x:c r="C13" s="1" t="str">
        <x:v>Resolve missing fields, duplicate IDs and unknown lots.</x:v>
      </x:c>
    </x:row>
    <x:row r="14" ht="23" customHeight="1">
      <x:c r="A14" s="1" t="str">
        <x:v>Balance sheet difference BDT</x:v>
      </x:c>
      <x:c r="B14" s="28" t="n">
        <x:f>'Financial Report'!B30</x:f>
        <x:v>0</x:v>
      </x:c>
      <x:c r="C14" s="1" t="str">
        <x:v>Review account groups and normal signs.</x:v>
      </x:c>
    </x:row>
    <x:row r="15" ht="23" customHeight="1">
      <x:c r="A15" s="1" t="str">
        <x:v>Materials: stock less ledger BDT</x:v>
      </x:c>
      <x:c r="B15" s="28" t="n">
        <x:f>SUMIFS('Lots'!$N$6:$N$105,'Lots'!$O$6:$O$105,"Materials")-'Financial Report'!B18</x:f>
        <x:v>0</x:v>
      </x:c>
      <x:c r="C15" s="1" t="str">
        <x:v>Post buys, issues, returns and losses in Entries and Stock Log.</x:v>
      </x:c>
    </x:row>
    <x:row r="16" ht="23" customHeight="1">
      <x:c r="A16" s="1" t="str">
        <x:v>Finished: stock less ledger BDT</x:v>
      </x:c>
      <x:c r="B16" s="28" t="n">
        <x:f>SUMIFS('Lots'!$N$6:$N$105,'Lots'!$O$6:$O$105,"Finished")-'Financial Report'!B20</x:f>
        <x:v>0</x:v>
      </x:c>
      <x:c r="C16" s="1" t="str">
        <x:v>Post receipts, cost of sales, returns and losses in both logs.</x:v>
      </x:c>
    </x:row>
    <x:row r="17" ht="23" customHeight="1">
      <x:c r="A17" s="1" t="str">
        <x:v>Sales register less ledger revenue BDT</x:v>
      </x:c>
      <x:c r="B17" s="28" t="n">
        <x:f>SUMIFS('Sales'!$P$6:$P$205,'Sales'!$L$6:$L$205,"Approved",'Sales'!$C$6:$C$205,"&gt;="&amp;'Settings'!$B$6,'Sales'!$C$6:$C$205,"&lt;="&amp;'Settings'!$B$7)-'Financial Report'!B8</x:f>
        <x:v>0</x:v>
      </x:c>
      <x:c r="C17" s="1" t="str">
        <x:v>Post garment and delivery revenue / refunds using order IDs.</x:v>
      </x:c>
    </x:row>
    <x:row r="18" ht="23" customHeight="1">
      <x:c r="A18" s="1" t="str">
        <x:v>Sales cost less ledger COGS BDT</x:v>
      </x:c>
      <x:c r="B18" s="28" t="n">
        <x:f>SUMIFS('Sales'!$R$6:$R$205,'Sales'!$L$6:$L$205,"Approved",'Sales'!$C$6:$C$205,"&gt;="&amp;'Settings'!$B$6,'Sales'!$C$6:$C$205,"&lt;="&amp;'Settings'!$B$7)-'Financial Report'!B9</x:f>
        <x:v>0</x:v>
      </x:c>
      <x:c r="C18" s="1" t="str">
        <x:v>Post Cost of sale and Restock return using Sales amounts.</x:v>
      </x:c>
    </x:row>
    <x:row r="19" ht="23" customHeight="1">
      <x:c r="A19" s="1" t="str">
        <x:v>Unreconciled statement rows</x:v>
      </x:c>
      <x:c r="B19" s="28" t="n">
        <x:f>COUNTIFS('Reconciliation'!$A$6:$A$105,"?*",'Reconciliation'!$F$6:$F$105,"&gt;0.01")+COUNTIFS('Reconciliation'!$A$6:$A$105,"?*",'Reconciliation'!$F$6:$F$105,"&lt;-0.01")</x:f>
        <x:v>0</x:v>
      </x:c>
      <x:c r="C19" s="1" t="str">
        <x:v>Compare cash/bank/mobile/courier statements to recorded balances.</x:v>
      </x:c>
    </x:row>
    <x:row r="20" ht="23" customHeight="1">
      <x:c r="A20" s="1" t="str">
        <x:v>Entries used</x:v>
      </x:c>
      <x:c r="B20" s="1" t="n">
        <x:f>COUNTA('Entries'!$A$6:$A$505)</x:f>
        <x:v>0</x:v>
      </x:c>
      <x:c r="C20" s="1" t="str">
        <x:v>Capacity 500. Do not add beyond row 505 without extending ranges.</x:v>
      </x:c>
    </x:row>
    <x:row r="21" ht="23" customHeight="1">
      <x:c r="A21" s="1" t="str">
        <x:v>Stock rows used</x:v>
      </x:c>
      <x:c r="B21" s="1" t="n">
        <x:f>COUNTA('Stock Log'!$A$6:$A$205)</x:f>
        <x:v>0</x:v>
      </x:c>
      <x:c r="C21" s="1" t="str">
        <x:v>Capacity 200. Extend all linked ranges before using later rows.</x:v>
      </x:c>
    </x:row>
    <x:row r="22" ht="23" customHeight="1">
      <x:c r="A22" s="1" t="str">
        <x:v>Sales rows used</x:v>
      </x:c>
      <x:c r="B22" s="1" t="n">
        <x:f>COUNTA('Sales'!$A$6:$A$205)</x:f>
        <x:v>0</x:v>
      </x:c>
      <x:c r="C22" s="1" t="str">
        <x:v>Capacity 200. Extend all linked ranges before using later rows.</x:v>
      </x:c>
    </x:row>
    <x:row r="23" ht="23" customHeight="1">
      <x:c r="A23" s="1"/>
      <x:c r="B23" s="1"/>
      <x:c r="C23" s="1"/>
    </x:row>
    <x:row r="24" ht="23" customHeight="1">
      <x:c r="A24" s="1"/>
      <x:c r="B24" s="1"/>
      <x:c r="C24" s="1"/>
    </x:row>
    <x:row r="25" ht="23" customHeight="1">
      <x:c r="A25" s="1"/>
      <x:c r="B25" s="1"/>
      <x:c r="C25" s="1"/>
    </x:row>
    <x:row r="26" ht="23" customHeight="1">
      <x:c r="A26" s="1"/>
      <x:c r="B26" s="1"/>
      <x:c r="C26" s="1"/>
    </x:row>
    <x:row r="27" ht="23" customHeight="1">
      <x:c r="A27" s="1"/>
      <x:c r="B27" s="1"/>
      <x:c r="C27" s="1"/>
    </x:row>
    <x:row r="28" ht="23" customHeight="1">
      <x:c r="A28" s="1"/>
      <x:c r="B28" s="1"/>
      <x:c r="C28" s="1"/>
    </x:row>
    <x:row r="29" ht="23" customHeight="1">
      <x:c r="A29" s="1"/>
      <x:c r="B29" s="1"/>
      <x:c r="C29" s="1"/>
    </x:row>
    <x:row r="30" ht="23" customHeight="1">
      <x:c r="A30" s="1"/>
      <x:c r="B30" s="1"/>
      <x:c r="C30" s="1"/>
    </x:row>
    <x:row r="31" ht="23" customHeight="1">
      <x:c r="A31" s="1"/>
      <x:c r="B31" s="1"/>
      <x:c r="C31" s="1"/>
    </x:row>
    <x:row r="32" ht="23" customHeight="1">
      <x:c r="A32" s="1"/>
      <x:c r="B32" s="1"/>
      <x:c r="C32" s="1"/>
    </x:row>
    <x:row r="33" ht="23" customHeight="1">
      <x:c r="A33" s="1"/>
      <x:c r="B33" s="1"/>
      <x:c r="C33" s="1"/>
    </x:row>
    <x:row r="34" ht="23" customHeight="1">
      <x:c r="A34" s="1"/>
      <x:c r="B34" s="1"/>
      <x:c r="C34" s="1"/>
    </x:row>
    <x:row r="35" ht="23" customHeight="1">
      <x:c r="A35" s="1"/>
      <x:c r="B35" s="1"/>
      <x:c r="C35" s="1"/>
    </x:row>
    <x:row r="36" ht="23" customHeight="1">
      <x:c r="A36" s="1"/>
      <x:c r="B36" s="1"/>
      <x:c r="C36" s="1"/>
    </x:row>
    <x:row r="37" ht="23" customHeight="1">
      <x:c r="A37" s="1"/>
      <x:c r="B37" s="1"/>
      <x:c r="C37" s="1"/>
    </x:row>
    <x:row r="38" ht="23" customHeight="1">
      <x:c r="A38" s="1"/>
      <x:c r="B38" s="1"/>
      <x:c r="C38" s="1"/>
    </x:row>
    <x:row r="39" ht="23" customHeight="1">
      <x:c r="A39" s="1"/>
      <x:c r="B39" s="1"/>
      <x:c r="C39" s="1"/>
    </x:row>
    <x:row r="40" ht="23" customHeight="1">
      <x:c r="A40" s="1"/>
      <x:c r="B40" s="1"/>
      <x:c r="C40" s="1"/>
    </x:row>
  </x:sheetData>
  <x:conditionalFormatting sqref="B6:B19">
    <x:cfRule type="expression" dxfId="5" priority="1">
      <x:formula>ABS(B6)&gt;0.01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45" hidden="0" customWidth="1"/>
    <x:col min="5" max="5" width="45" hidden="0" customWidth="1"/>
    <x:col min="6" max="6" width="45" hidden="0" customWidth="1"/>
    <x:col min="7" max="7" width="45" hidden="0" customWidth="1"/>
  </x:cols>
  <x:sheetData>
    <x:row r="1" ht="23" customHeight="1">
      <x:c r="A1" s="31"/>
      <x:c r="B1" s="31"/>
      <x:c r="C1" s="31"/>
      <x:c r="D1" s="31"/>
      <x:c r="E1" s="31"/>
      <x:c r="F1" s="31"/>
      <x:c r="G1" s="31"/>
    </x:row>
    <x:row r="2" ht="23" customHeight="1">
      <x:c r="A2" s="32" t="str">
        <x:v>AFK THEORY / Event Guide</x:v>
      </x:c>
      <x:c r="B2" s="31"/>
      <x:c r="C2" s="31"/>
      <x:c r="D2" s="31"/>
      <x:c r="E2" s="31"/>
      <x:c r="F2" s="31"/>
      <x:c r="G2" s="31"/>
    </x:row>
    <x:row r="3" ht="23" customHeight="1">
      <x:c r="A3" s="33" t="str">
        <x:v>Amber cells = input. Pale cells = formulas. BDT unless a quantity or percentage is shown.</x:v>
      </x:c>
      <x:c r="B3" s="31"/>
      <x:c r="C3" s="31"/>
      <x:c r="D3" s="31"/>
      <x:c r="E3" s="31"/>
      <x:c r="F3" s="31"/>
      <x:c r="G3" s="31"/>
    </x:row>
    <x:row r="4" ht="23" customHeight="1">
      <x:c r="A4" s="34"/>
      <x:c r="B4" s="34"/>
      <x:c r="C4" s="34"/>
      <x:c r="D4" s="34"/>
      <x:c r="E4" s="34"/>
      <x:c r="F4" s="34"/>
      <x:c r="G4" s="34"/>
    </x:row>
    <x:row r="5" ht="34" customHeight="1">
      <x:c r="A5" s="38" t="str">
        <x:v>Event</x:v>
      </x:c>
      <x:c r="B5" s="38" t="str">
        <x:v>Debit rule</x:v>
      </x:c>
      <x:c r="C5" s="38" t="str">
        <x:v>Credit rule</x:v>
      </x:c>
      <x:c r="D5" s="38" t="str">
        <x:v>When to use</x:v>
      </x:c>
      <x:c r="E5" s="38" t="str">
        <x:v>Payment account</x:v>
      </x:c>
      <x:c r="F5" s="38" t="str">
        <x:v>Other account</x:v>
      </x:c>
      <x:c r="G5" s="38" t="str">
        <x:v>Reference / requirement</x:v>
      </x:c>
    </x:row>
    <x:row r="6" ht="48" customHeight="1">
      <x:c r="A6" s="44" t="str">
        <x:v>Capital contribution</x:v>
      </x:c>
      <x:c r="B6" s="44" t="str">
        <x:v>PAY</x:v>
      </x:c>
      <x:c r="C6" s="44" t="str">
        <x:v>CAPITAL</x:v>
      </x:c>
      <x:c r="D6" s="44" t="str">
        <x:v>Business receives partner capital.</x:v>
      </x:c>
      <x:c r="E6" s="44" t="str">
        <x:v>Bank / Cash</x:v>
      </x:c>
      <x:c r="F6" s="44" t="str">
        <x:v>Leave blank</x:v>
      </x:c>
      <x:c r="G6" s="44" t="str">
        <x:v>Partner required</x:v>
      </x:c>
    </x:row>
    <x:row r="7" ht="48" customHeight="1">
      <x:c r="A7" s="44" t="str">
        <x:v>Partner loan received</x:v>
      </x:c>
      <x:c r="B7" s="44" t="str">
        <x:v>PAY</x:v>
      </x:c>
      <x:c r="C7" s="44" t="str">
        <x:v>DUE</x:v>
      </x:c>
      <x:c r="D7" s="44" t="str">
        <x:v>Business receives a repayable partner advance.</x:v>
      </x:c>
      <x:c r="E7" s="44" t="str">
        <x:v>Bank / Cash</x:v>
      </x:c>
      <x:c r="F7" s="44" t="str">
        <x:v>Leave blank</x:v>
      </x:c>
      <x:c r="G7" s="44" t="str">
        <x:v>Partner required</x:v>
      </x:c>
    </x:row>
    <x:row r="8" ht="48" customHeight="1">
      <x:c r="A8" s="44" t="str">
        <x:v>Partner paid expense</x:v>
      </x:c>
      <x:c r="B8" s="44" t="str">
        <x:v>OTHER</x:v>
      </x:c>
      <x:c r="C8" s="44" t="str">
        <x:v>DUE</x:v>
      </x:c>
      <x:c r="D8" s="44" t="str">
        <x:v>Partner paid a business expense personally.</x:v>
      </x:c>
      <x:c r="E8" s="44" t="str">
        <x:v>Leave blank</x:v>
      </x:c>
      <x:c r="F8" s="44" t="str">
        <x:v>Expense account</x:v>
      </x:c>
      <x:c r="G8" s="44" t="str">
        <x:v>Partner required</x:v>
      </x:c>
    </x:row>
    <x:row r="9" ht="48" customHeight="1">
      <x:c r="A9" s="44" t="str">
        <x:v>Partner bought materials</x:v>
      </x:c>
      <x:c r="B9" s="44" t="str">
        <x:v>Materials inventory</x:v>
      </x:c>
      <x:c r="C9" s="44" t="str">
        <x:v>DUE</x:v>
      </x:c>
      <x:c r="D9" s="44" t="str">
        <x:v>Partner paid personally for materials.</x:v>
      </x:c>
      <x:c r="E9" s="44" t="str">
        <x:v>Leave blank</x:v>
      </x:c>
      <x:c r="F9" s="44" t="str">
        <x:v>Leave blank</x:v>
      </x:c>
      <x:c r="G9" s="44" t="str">
        <x:v>Partner required</x:v>
      </x:c>
    </x:row>
    <x:row r="10" ht="48" customHeight="1">
      <x:c r="A10" s="44" t="str">
        <x:v>Partner bought garments</x:v>
      </x:c>
      <x:c r="B10" s="44" t="str">
        <x:v>Finished inventory</x:v>
      </x:c>
      <x:c r="C10" s="44" t="str">
        <x:v>DUE</x:v>
      </x:c>
      <x:c r="D10" s="44" t="str">
        <x:v>Partner paid personally for finished stock.</x:v>
      </x:c>
      <x:c r="E10" s="44" t="str">
        <x:v>Leave blank</x:v>
      </x:c>
      <x:c r="F10" s="44" t="str">
        <x:v>Leave blank</x:v>
      </x:c>
      <x:c r="G10" s="44" t="str">
        <x:v>Partner required</x:v>
      </x:c>
    </x:row>
    <x:row r="11" ht="48" customHeight="1">
      <x:c r="A11" s="44" t="str">
        <x:v>Business expense</x:v>
      </x:c>
      <x:c r="B11" s="44" t="str">
        <x:v>OTHER</x:v>
      </x:c>
      <x:c r="C11" s="44" t="str">
        <x:v>PAY</x:v>
      </x:c>
      <x:c r="D11" s="44" t="str">
        <x:v>Expense paid now or billed on credit.</x:v>
      </x:c>
      <x:c r="E11" s="44" t="str">
        <x:v>Cash / Bank / Trade payables</x:v>
      </x:c>
      <x:c r="F11" s="44" t="str">
        <x:v>Expense account</x:v>
      </x:c>
      <x:c r="G11" s="44" t="str">
        <x:v>Contact required for credit</x:v>
      </x:c>
    </x:row>
    <x:row r="12" ht="48" customHeight="1">
      <x:c r="A12" s="44" t="str">
        <x:v>Buy materials</x:v>
      </x:c>
      <x:c r="B12" s="44" t="str">
        <x:v>Materials inventory</x:v>
      </x:c>
      <x:c r="C12" s="44" t="str">
        <x:v>PAY</x:v>
      </x:c>
      <x:c r="D12" s="44" t="str">
        <x:v>Fabric, labels or packaging held as stock.</x:v>
      </x:c>
      <x:c r="E12" s="44" t="str">
        <x:v>Cash / Bank / Trade payables</x:v>
      </x:c>
      <x:c r="F12" s="44" t="str">
        <x:v>Leave blank</x:v>
      </x:c>
      <x:c r="G12" s="44" t="str">
        <x:v>Use lot ID as reference</x:v>
      </x:c>
    </x:row>
    <x:row r="13" ht="48" customHeight="1">
      <x:c r="A13" s="44" t="str">
        <x:v>Buy finished garments</x:v>
      </x:c>
      <x:c r="B13" s="44" t="str">
        <x:v>Finished inventory</x:v>
      </x:c>
      <x:c r="C13" s="44" t="str">
        <x:v>PAY</x:v>
      </x:c>
      <x:c r="D13" s="44" t="str">
        <x:v>Finished garments received.</x:v>
      </x:c>
      <x:c r="E13" s="44" t="str">
        <x:v>Cash / Bank / Trade payables</x:v>
      </x:c>
      <x:c r="F13" s="44" t="str">
        <x:v>Leave blank</x:v>
      </x:c>
      <x:c r="G13" s="44" t="str">
        <x:v>Use lot ID as reference</x:v>
      </x:c>
    </x:row>
    <x:row r="14" ht="48" customHeight="1">
      <x:c r="A14" s="44" t="str">
        <x:v>Production cost</x:v>
      </x:c>
      <x:c r="B14" s="44" t="str">
        <x:v>Work in progress</x:v>
      </x:c>
      <x:c r="C14" s="44" t="str">
        <x:v>PAY</x:v>
      </x:c>
      <x:c r="D14" s="44" t="str">
        <x:v>Factory, print or other direct batch costs.</x:v>
      </x:c>
      <x:c r="E14" s="44" t="str">
        <x:v>Cash / Bank / Trade payables / Due to - partner</x:v>
      </x:c>
      <x:c r="F14" s="44" t="str">
        <x:v>Leave blank</x:v>
      </x:c>
      <x:c r="G14" s="44" t="str">
        <x:v>Use production ID as reference</x:v>
      </x:c>
    </x:row>
    <x:row r="15" ht="48" customHeight="1">
      <x:c r="A15" s="44" t="str">
        <x:v>Issue materials</x:v>
      </x:c>
      <x:c r="B15" s="44" t="str">
        <x:v>Work in progress</x:v>
      </x:c>
      <x:c r="C15" s="44" t="str">
        <x:v>Materials inventory</x:v>
      </x:c>
      <x:c r="D15" s="44" t="str">
        <x:v>Transfer consumed materials to production at cost.</x:v>
      </x:c>
      <x:c r="E15" s="44" t="str">
        <x:v>Leave blank</x:v>
      </x:c>
      <x:c r="F15" s="44" t="str">
        <x:v>Leave blank</x:v>
      </x:c>
      <x:c r="G15" s="44" t="str">
        <x:v>Use production ID; amount from Stock Log</x:v>
      </x:c>
    </x:row>
    <x:row r="16" ht="48" customHeight="1">
      <x:c r="A16" s="44" t="str">
        <x:v>Complete production</x:v>
      </x:c>
      <x:c r="B16" s="44" t="str">
        <x:v>Finished inventory</x:v>
      </x:c>
      <x:c r="C16" s="44" t="str">
        <x:v>Work in progress</x:v>
      </x:c>
      <x:c r="D16" s="44" t="str">
        <x:v>Transfer completed batch cost to finished stock.</x:v>
      </x:c>
      <x:c r="E16" s="44" t="str">
        <x:v>Leave blank</x:v>
      </x:c>
      <x:c r="F16" s="44" t="str">
        <x:v>Leave blank</x:v>
      </x:c>
      <x:c r="G16" s="44" t="str">
        <x:v>Use production ID; amount from Production</x:v>
      </x:c>
    </x:row>
    <x:row r="17" ht="48" customHeight="1">
      <x:c r="A17" s="44" t="str">
        <x:v>Sale</x:v>
      </x:c>
      <x:c r="B17" s="44" t="str">
        <x:v>PAY</x:v>
      </x:c>
      <x:c r="C17" s="44" t="str">
        <x:v>Sales revenue</x:v>
      </x:c>
      <x:c r="D17" s="44" t="str">
        <x:v>Recognize garment revenue when earned.</x:v>
      </x:c>
      <x:c r="E17" s="44" t="str">
        <x:v>Customer receivables / Courier receivables / Bank</x:v>
      </x:c>
      <x:c r="F17" s="44" t="str">
        <x:v>Leave blank</x:v>
      </x:c>
      <x:c r="G17" s="44" t="str">
        <x:v>Use order ID; garment value only</x:v>
      </x:c>
    </x:row>
    <x:row r="18" ht="48" customHeight="1">
      <x:c r="A18" s="44" t="str">
        <x:v>Delivery income</x:v>
      </x:c>
      <x:c r="B18" s="44" t="str">
        <x:v>PAY</x:v>
      </x:c>
      <x:c r="C18" s="44" t="str">
        <x:v>Delivery income</x:v>
      </x:c>
      <x:c r="D18" s="44" t="str">
        <x:v>Delivery amount charged to customer.</x:v>
      </x:c>
      <x:c r="E18" s="44" t="str">
        <x:v>Customer receivables / Courier receivables / Bank</x:v>
      </x:c>
      <x:c r="F18" s="44" t="str">
        <x:v>Leave blank</x:v>
      </x:c>
      <x:c r="G18" s="44" t="str">
        <x:v>Use same order ID</x:v>
      </x:c>
    </x:row>
    <x:row r="19" ht="48" customHeight="1">
      <x:c r="A19" s="44" t="str">
        <x:v>Sales refund</x:v>
      </x:c>
      <x:c r="B19" s="44" t="str">
        <x:v>Sales returns</x:v>
      </x:c>
      <x:c r="C19" s="44" t="str">
        <x:v>PAY</x:v>
      </x:c>
      <x:c r="D19" s="44" t="str">
        <x:v>Reverse garment revenue on accepted return.</x:v>
      </x:c>
      <x:c r="E19" s="44" t="str">
        <x:v>Bank / Customer receivables / Courier receivables</x:v>
      </x:c>
      <x:c r="F19" s="44" t="str">
        <x:v>Leave blank</x:v>
      </x:c>
      <x:c r="G19" s="44" t="str">
        <x:v>Use original order ID</x:v>
      </x:c>
    </x:row>
    <x:row r="20" ht="48" customHeight="1">
      <x:c r="A20" s="44" t="str">
        <x:v>Cost of sale</x:v>
      </x:c>
      <x:c r="B20" s="44" t="str">
        <x:v>Cost of goods sold</x:v>
      </x:c>
      <x:c r="C20" s="44" t="str">
        <x:v>Finished inventory</x:v>
      </x:c>
      <x:c r="D20" s="44" t="str">
        <x:v>Recognize cost of garments sold.</x:v>
      </x:c>
      <x:c r="E20" s="44" t="str">
        <x:v>Leave blank</x:v>
      </x:c>
      <x:c r="F20" s="44" t="str">
        <x:v>Leave blank</x:v>
      </x:c>
      <x:c r="G20" s="44" t="str">
        <x:v>Use order ID; amount from Sales</x:v>
      </x:c>
    </x:row>
    <x:row r="21" ht="48" customHeight="1">
      <x:c r="A21" s="44" t="str">
        <x:v>Restock return</x:v>
      </x:c>
      <x:c r="B21" s="44" t="str">
        <x:v>Finished inventory</x:v>
      </x:c>
      <x:c r="C21" s="44" t="str">
        <x:v>Cost of goods sold</x:v>
      </x:c>
      <x:c r="D21" s="44" t="str">
        <x:v>Restore returned saleable stock at original lot cost.</x:v>
      </x:c>
      <x:c r="E21" s="44" t="str">
        <x:v>Leave blank</x:v>
      </x:c>
      <x:c r="F21" s="44" t="str">
        <x:v>Leave blank</x:v>
      </x:c>
      <x:c r="G21" s="44" t="str">
        <x:v>Use original order ID</x:v>
      </x:c>
    </x:row>
    <x:row r="22" ht="48" customHeight="1">
      <x:c r="A22" s="44" t="str">
        <x:v>Collect receivable</x:v>
      </x:c>
      <x:c r="B22" s="44" t="str">
        <x:v>PAY</x:v>
      </x:c>
      <x:c r="C22" s="44" t="str">
        <x:v>OTHER</x:v>
      </x:c>
      <x:c r="D22" s="44" t="str">
        <x:v>Collect money already recorded as a sale.</x:v>
      </x:c>
      <x:c r="E22" s="44" t="str">
        <x:v>Bank / Cash</x:v>
      </x:c>
      <x:c r="F22" s="44" t="str">
        <x:v>Customer receivables / Courier receivables</x:v>
      </x:c>
      <x:c r="G22" s="44" t="str">
        <x:v>Do not post a second Sale</x:v>
      </x:c>
    </x:row>
    <x:row r="23" ht="48" customHeight="1">
      <x:c r="A23" s="44" t="str">
        <x:v>Pay supplier</x:v>
      </x:c>
      <x:c r="B23" s="44" t="str">
        <x:v>Trade payables</x:v>
      </x:c>
      <x:c r="C23" s="44" t="str">
        <x:v>PAY</x:v>
      </x:c>
      <x:c r="D23" s="44" t="str">
        <x:v>Settle an already recorded supplier bill.</x:v>
      </x:c>
      <x:c r="E23" s="44" t="str">
        <x:v>Bank / Cash</x:v>
      </x:c>
      <x:c r="F23" s="44" t="str">
        <x:v>Leave blank</x:v>
      </x:c>
      <x:c r="G23" s="44" t="str">
        <x:v>Contact required</x:v>
      </x:c>
    </x:row>
    <x:row r="24" ht="48" customHeight="1">
      <x:c r="A24" s="44" t="str">
        <x:v>Reimburse partner</x:v>
      </x:c>
      <x:c r="B24" s="44" t="str">
        <x:v>DUE</x:v>
      </x:c>
      <x:c r="C24" s="44" t="str">
        <x:v>PAY</x:v>
      </x:c>
      <x:c r="D24" s="44" t="str">
        <x:v>Repay partner spending or loan balance.</x:v>
      </x:c>
      <x:c r="E24" s="44" t="str">
        <x:v>Bank / Cash</x:v>
      </x:c>
      <x:c r="F24" s="44" t="str">
        <x:v>Leave blank</x:v>
      </x:c>
      <x:c r="G24" s="44" t="str">
        <x:v>Partner required</x:v>
      </x:c>
    </x:row>
    <x:row r="25" ht="48" customHeight="1">
      <x:c r="A25" s="44" t="str">
        <x:v>Capital withdrawal</x:v>
      </x:c>
      <x:c r="B25" s="44" t="str">
        <x:v>CAPITAL</x:v>
      </x:c>
      <x:c r="C25" s="44" t="str">
        <x:v>PAY</x:v>
      </x:c>
      <x:c r="D25" s="44" t="str">
        <x:v>Return partner capital under agreed terms.</x:v>
      </x:c>
      <x:c r="E25" s="44" t="str">
        <x:v>Bank / Cash</x:v>
      </x:c>
      <x:c r="F25" s="44" t="str">
        <x:v>Leave blank</x:v>
      </x:c>
      <x:c r="G25" s="44" t="str">
        <x:v>Partner required</x:v>
      </x:c>
    </x:row>
    <x:row r="26" ht="48" customHeight="1">
      <x:c r="A26" s="44" t="str">
        <x:v>Profit distribution</x:v>
      </x:c>
      <x:c r="B26" s="44" t="str">
        <x:v>DRAW</x:v>
      </x:c>
      <x:c r="C26" s="44" t="str">
        <x:v>PAY</x:v>
      </x:c>
      <x:c r="D26" s="44" t="str">
        <x:v>Record an approved profit payout.</x:v>
      </x:c>
      <x:c r="E26" s="44" t="str">
        <x:v>Bank / Cash</x:v>
      </x:c>
      <x:c r="F26" s="44" t="str">
        <x:v>Leave blank</x:v>
      </x:c>
      <x:c r="G26" s="44" t="str">
        <x:v>Partner required</x:v>
      </x:c>
    </x:row>
    <x:row r="27" ht="48" customHeight="1">
      <x:c r="A27" s="44" t="str">
        <x:v>Transfer / adjustment</x:v>
      </x:c>
      <x:c r="B27" s="44" t="str">
        <x:v>OTHER</x:v>
      </x:c>
      <x:c r="C27" s="44" t="str">
        <x:v>PAY</x:v>
      </x:c>
      <x:c r="D27" s="44" t="str">
        <x:v>Debit Other account and credit Payment account.</x:v>
      </x:c>
      <x:c r="E27" s="44" t="str">
        <x:v>Account to credit</x:v>
      </x:c>
      <x:c r="F27" s="44" t="str">
        <x:v>Account to debit</x:v>
      </x:c>
      <x:c r="G27" s="44" t="str">
        <x:v>Use for transfers, accruals, corrections; review carefully</x:v>
      </x:c>
    </x:row>
    <x:row r="28" ht="48" customHeight="1">
      <x:c r="A28" s="44" t="str">
        <x:v>Stock loss</x:v>
      </x:c>
      <x:c r="B28" s="44" t="str">
        <x:v>Inventory loss</x:v>
      </x:c>
      <x:c r="C28" s="44" t="str">
        <x:v>OTHER</x:v>
      </x:c>
      <x:c r="D28" s="44" t="str">
        <x:v>Write off lost or damaged stock at cost.</x:v>
      </x:c>
      <x:c r="E28" s="44" t="str">
        <x:v>Leave blank</x:v>
      </x:c>
      <x:c r="F28" s="44" t="str">
        <x:v>Materials inventory / Finished inventory</x:v>
      </x:c>
      <x:c r="G28" s="44" t="str">
        <x:v>Also record Stock Log quantity out</x:v>
      </x:c>
    </x:row>
    <x:row r="29" ht="48" customHeight="1">
      <x:c r="A29" s="44" t="str">
        <x:v>Supplier advance</x:v>
      </x:c>
      <x:c r="B29" s="44" t="str">
        <x:v>Supplier advances</x:v>
      </x:c>
      <x:c r="C29" s="44" t="str">
        <x:v>PAY</x:v>
      </x:c>
      <x:c r="D29" s="44" t="str">
        <x:v>Deposit paid before goods or services arrive.</x:v>
      </x:c>
      <x:c r="E29" s="44" t="str">
        <x:v>Bank / Cash</x:v>
      </x:c>
      <x:c r="F29" s="44" t="str">
        <x:v>Leave blank</x:v>
      </x:c>
      <x:c r="G29" s="44" t="str">
        <x:v>Contact required; clear deposit when bill arrives</x:v>
      </x:c>
    </x:row>
    <x:row r="30" ht="48" customHeight="1">
      <x:c r="A30" s="45"/>
      <x:c r="B30" s="45"/>
      <x:c r="C30" s="45"/>
      <x:c r="D30" s="45"/>
      <x:c r="E30" s="45"/>
      <x:c r="F30" s="45"/>
      <x:c r="G30" s="45"/>
    </x:row>
  </x:sheetData>
  <x:pageMargins left="0.7" right="0.7" top="0.75" bottom="0.75" header="0.3" footer="0.3"/>
  <x:tableParts count="1">
    <x:tablePart xmlns:r="http://schemas.openxmlformats.org/officeDocument/2006/relationships" r:id="R51e37819f5a844a2"/>
  </x:tableParts>
</x:worksheet>
</file>

<file path=xl/worksheets/sheet18.xml><?xml version="1.0" encoding="utf-8"?>
<x:worksheet xmlns:x="http://schemas.openxmlformats.org/spreadsheetml/2006/main">
  <x:sheetPr>
    <x:tabColor rgb="FFA5AB9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12" hidden="0" customWidth="1"/>
    <x:col min="3" max="3" width="18" hidden="0" customWidth="1"/>
  </x:cols>
  <x:sheetData>
    <x:row r="1" ht="23" customHeight="1">
      <x:c r="A1" s="31"/>
      <x:c r="B1" s="31"/>
      <x:c r="C1" s="31"/>
    </x:row>
    <x:row r="2" ht="23" customHeight="1">
      <x:c r="A2" s="32" t="str">
        <x:v>AFK THEORY / Start here</x:v>
      </x:c>
      <x:c r="B2" s="31"/>
      <x:c r="C2" s="31"/>
    </x:row>
    <x:row r="3" ht="23" customHeight="1">
      <x:c r="A3" s="33" t="str">
        <x:v>A working starter system for five partners. All transaction areas are blank.</x:v>
      </x:c>
      <x:c r="B3" s="31"/>
      <x:c r="C3" s="31"/>
    </x:row>
    <x:row r="4" ht="23" customHeight="1">
      <x:c r="A4" s="34"/>
      <x:c r="B4" s="34"/>
      <x:c r="C4" s="34"/>
    </x:row>
    <x:row r="5" ht="23" customHeight="1">
      <x:c r="A5" s="31"/>
      <x:c r="B5" s="31"/>
      <x:c r="C5" s="31"/>
    </x:row>
    <x:row r="6" ht="52" customHeight="1">
      <x:c r="A6" s="46" t="str">
        <x:v>1. Set up</x:v>
      </x:c>
      <x:c r="B6" s="46" t="str">
        <x:v>In Settings choose the reporting dates, custodian and review partner. Initial ownership and profit shares are 20% each.</x:v>
      </x:c>
      <x:c r="C6" s="31"/>
    </x:row>
    <x:row r="7" ht="52" customHeight="1">
      <x:c r="A7" s="47" t="str">
        <x:v>2. Add contacts</x:v>
      </x:c>
      <x:c r="B7" s="47" t="str">
        <x:v>Give each supplier, factory, courier and customer a stable Contact ID. Use the same ID in Entries.</x:v>
      </x:c>
      <x:c r="C7" s="31"/>
    </x:row>
    <x:row r="8" ht="52" customHeight="1">
      <x:c r="A8" s="46" t="str">
        <x:v>3. Add items</x:v>
      </x:c>
      <x:c r="B8" s="46" t="str">
        <x:v>Create one SKU per garment size/color. Create material IDs with a consistent unit (kg, m or pcs). Treat blank garments bought for customization as Materials, unit pcs.</x:v>
      </x:c>
      <x:c r="C8" s="31"/>
    </x:row>
    <x:row r="9" ht="52" customHeight="1">
      <x:c r="A9" s="47" t="str">
        <x:v>4. Record lots</x:v>
      </x:c>
      <x:c r="B9" s="47" t="str">
        <x:v>For purchased lots enter total quantity, total purchase cost and other direct costs (enter zero if none). For manufactured lots choose the production ID.</x:v>
      </x:c>
      <x:c r="C9" s="31"/>
    </x:row>
    <x:row r="10" ht="52" customHeight="1">
      <x:c r="A10" s="46" t="str">
        <x:v>5. Record finance</x:v>
      </x:c>
      <x:c r="B10" s="46" t="str">
        <x:v>Entries is the only financial source. Choose an Event and fill Payment / Other account using Event Guide. Amounts are positive; split compound events into several rows.</x:v>
      </x:c>
      <x:c r="C10" s="31"/>
    </x:row>
    <x:row r="11" ht="52" customHeight="1">
      <x:c r="A11" s="47" t="str">
        <x:v>6. Approve entries</x:v>
      </x:c>
      <x:c r="B11" s="47" t="str">
        <x:v>Enter a unique ID, date, amount, reference, purpose, evidence and entered-by. A different partner reviews before Status becomes Approved. Invalid entries do not post.</x:v>
      </x:c>
      <x:c r="C11" s="31"/>
    </x:row>
    <x:row r="12" ht="52" customHeight="1">
      <x:c r="A12" s="46" t="str">
        <x:v>7. Record quantities</x:v>
      </x:c>
      <x:c r="B12" s="46" t="str">
        <x:v>Stock Log tracks physical quantities, locations and lot costs. Enter either quantity in or quantity out, never both. Use matching order / lot / batch IDs.</x:v>
      </x:c>
      <x:c r="C12" s="31"/>
    </x:row>
    <x:row r="13" ht="52" customHeight="1">
      <x:c r="A13" s="47" t="str">
        <x:v>8. Record sales</x:v>
      </x:c>
      <x:c r="B13" s="47" t="str">
        <x:v>Use one row per order + lot. Split a multi-lot order. Allocate discounts and delivery once across lines. Sale amounts, cost and margin calculate automatically.</x:v>
      </x:c>
      <x:c r="C13" s="31"/>
    </x:row>
    <x:row r="14" ht="52" customHeight="1">
      <x:c r="A14" s="46" t="str">
        <x:v>9. Post sales finance</x:v>
      </x:c>
      <x:c r="B14" s="46" t="str">
        <x:v>Record Sale, Delivery income and Cost of sale in Entries. Use Sales amounts and the same Order ID. Stock Log needs Customer sale quantity out. These postings are not automatic.</x:v>
      </x:c>
      <x:c r="C14" s="31"/>
    </x:row>
    <x:row r="15" ht="52" customHeight="1">
      <x:c r="A15" s="47" t="str">
        <x:v>10. Manufacture</x:v>
      </x:c>
      <x:c r="B15" s="47" t="str">
        <x:v>Add a Production ID. Issue materials in Stock Log using this ID, then post Issue materials in Entries at the same cost. Post direct factory costs as Production cost.</x:v>
      </x:c>
      <x:c r="C15" s="31"/>
    </x:row>
    <x:row r="16" ht="52" customHeight="1">
      <x:c r="A16" s="46" t="str">
        <x:v>11. Close a batch</x:v>
      </x:c>
      <x:c r="B16" s="46" t="str">
        <x:v>Enter good units and defects, completion date and evidence. Close only after all costs are approved. Create finished lots and quantities, then post Complete production at total batch cost.</x:v>
      </x:c>
      <x:c r="C16" s="31"/>
    </x:row>
    <x:row r="17" ht="52" customHeight="1">
      <x:c r="A17" s="47" t="str">
        <x:v>12. Cost policy</x:v>
      </x:c>
      <x:c r="B17" s="47" t="str">
        <x:v>Batch cost is spread equally over good units. Use separate production IDs for products with materially different unit costs. Normal process wastage is absorbed; abnormal loss requires review.</x:v>
      </x:c>
      <x:c r="C17" s="31"/>
    </x:row>
    <x:row r="18" ht="52" customHeight="1">
      <x:c r="A18" s="46" t="str">
        <x:v>13. Preserve history</x:v>
      </x:c>
      <x:c r="B18" s="46" t="str">
        <x:v>Do not change a closed batch or an old lot cost after sales. Correct via a new adjustment and retain evidence. Keep a dated month-end copy so historical reports remain reproducible.</x:v>
      </x:c>
      <x:c r="C18" s="31"/>
    </x:row>
    <x:row r="19" ht="52" customHeight="1">
      <x:c r="A19" s="47" t="str">
        <x:v>14. Review each week</x:v>
      </x:c>
      <x:c r="B19" s="47" t="str">
        <x:v>Resolve Checks and compare Stock Log to counts. In Reconciliation compare bank, mobile payment and courier statements to the ledger. Match supplier/customer balances with contacts.</x:v>
      </x:c>
      <x:c r="C19" s="31"/>
    </x:row>
    <x:row r="20" ht="52" customHeight="1">
      <x:c r="A20" s="46" t="str">
        <x:v>15. Print PDF</x:v>
      </x:c>
      <x:c r="B20" s="46" t="str">
        <x:v>Choose report dates. On Financial Report select A2:D43; Partner Report A2:D30. Print Selection, A4, landscape or portrait as fits, Fit All Columns on One Page, then Save as PDF. Check preview first.</x:v>
      </x:c>
      <x:c r="C20" s="31"/>
    </x:row>
    <x:row r="21" ht="52" customHeight="1">
      <x:c r="A21" s="47" t="str">
        <x:v>16. Workbook sharing</x:v>
      </x:c>
      <x:c r="B21" s="47" t="str">
        <x:v>Keep one master copy with one editor at a time unless using supported cloud coauthoring. Share dated PDF reports and backups. Avoid five separate working copies.</x:v>
      </x:c>
      <x:c r="C21" s="31"/>
    </x:row>
    <x:row r="22" ht="52" customHeight="1">
      <x:c r="A22" s="46" t="str">
        <x:v>17. Formula cells</x:v>
      </x:c>
      <x:c r="B22" s="46" t="str">
        <x:v>Amber cells are editable; pale cells are formulas. This version is intentionally unlocked for customization. Do not type over formulas. Excel protection can be added after you approve the layout.</x:v>
      </x:c>
      <x:c r="C22" s="31"/>
    </x:row>
    <x:row r="23" ht="52" customHeight="1">
      <x:c r="A23" s="47" t="str">
        <x:v>18. Capacity</x:v>
      </x:c>
      <x:c r="B23" s="47" t="str">
        <x:v>Prepared rows: Entries 6–505; Stock Log and Sales 6–205; other registers generally 6–105; Partners 6–15. Adding table rows alone does not extend bounded formulas or dropdown ranges.</x:v>
      </x:c>
      <x:c r="C23" s="31"/>
    </x:row>
    <x:row r="24" ht="52" customHeight="1">
      <x:c r="A24" s="46" t="str">
        <x:v>19. Future partners</x:v>
      </x:c>
      <x:c r="B24" s="46" t="str">
        <x:v>Add a new partner and three Accounts: Capital - Name, Due to - Name, Drawings - Name. Agree ownership/profit changes first. The dashboard shows founders; Partner Report supports added partners.</x:v>
      </x:c>
      <x:c r="C24" s="31"/>
    </x:row>
    <x:row r="25" ht="52" customHeight="1">
      <x:c r="A25" s="47" t="str">
        <x:v>20. Share changes</x:v>
      </x:c>
      <x:c r="B25" s="47" t="str">
        <x:v>Profit allocations use current shares for the selected period. For an ownership change, report each period under its applicable shares and preserve dated snapshots. No automatic historical cap table.</x:v>
      </x:c>
      <x:c r="C25" s="31"/>
    </x:row>
    <x:row r="26" ht="52" customHeight="1">
      <x:c r="A26" s="46" t="str">
        <x:v>21. Formal use</x:v>
      </x:c>
      <x:c r="B26" s="46" t="str">
        <x:v>Financial statements are prepared from your records, not audited. Tax/VAT rates and filings are not configured. Ask your accountant to review opening accounts, tax and closing adjustments.</x:v>
      </x:c>
      <x:c r="C26" s="31"/>
    </x:row>
    <x:row r="27" ht="52" customHeight="1">
      <x:c r="A27" s="47" t="str">
        <x:v>22. Audit limits</x:v>
      </x:c>
      <x:c r="B27" s="47" t="str">
        <x:v>Entered/reviewed names and evidence support partner transparency. They are manually entered; there is no enforced identity, tamper-proof audit log or automated timestamp.</x:v>
      </x:c>
      <x:c r="C27" s="31"/>
    </x:row>
    <x:row r="28" ht="52" customHeight="1">
      <x:c r="A28" s="46" t="str">
        <x:v>23. Missing evidence</x:v>
      </x:c>
      <x:c r="B28" s="46" t="str">
        <x:v>Use an invoice/receipt link or internal signed approval document for noncash adjustments. Store files in folders by year/month and use reference IDs in filenames.</x:v>
      </x:c>
      <x:c r="C28" s="31"/>
    </x:row>
    <x:row r="29" ht="52" customHeight="1">
      <x:c r="A29" s="47" t="str">
        <x:v>24. Zero vs blank</x:v>
      </x:c>
      <x:c r="B29" s="47" t="str">
        <x:v>Enter 0 for an actual zero purchase charge or sales discount. A blank required cost can leave costing incomplete. No sample entries are mixed into live balances.</x:v>
      </x:c>
      <x:c r="C29" s="31"/>
    </x:row>
    <x:row r="30" ht="52" customHeight="1">
      <x:c r="A30" s="46" t="str">
        <x:v>25. Returns</x:v>
      </x:c>
      <x:c r="B30" s="46" t="str">
        <x:v>Saleable return: Sales Type Return + Stock Log quantity in + Sales refund and Restock return in Entries. Refund delivery separately with Transfer / adjustment: debit Delivery income, credit payment account.</x:v>
      </x:c>
      <x:c r="C30" s="31"/>
    </x:row>
    <x:row r="31" ht="52" customHeight="1">
      <x:c r="A31" s="47" t="str">
        <x:v>26. Damaged return</x:v>
      </x:c>
      <x:c r="B31" s="47" t="str">
        <x:v>Reverse sale and original COGS, restore returned quantity, then immediately post Damage quantity out and Stock loss. This leaves no saleable stock and records the loss separately.</x:v>
      </x:c>
      <x:c r="C31" s="31"/>
    </x:row>
    <x:row r="32" ht="52" customHeight="1">
      <x:c r="A32" s="46" t="str">
        <x:v>27. COD settlement</x:v>
      </x:c>
      <x:c r="B32" s="46" t="str">
        <x:v>Post sale to Courier receivables when earned; delivery income separately. On remittance post Collect receivable for cash received, then courier fees: debit Courier charges / credit Courier receivables.</x:v>
      </x:c>
      <x:c r="C32" s="31"/>
    </x:row>
    <x:row r="33" ht="52" customHeight="1">
      <x:c r="A33" s="47" t="str">
        <x:v>28. Supplier deposits</x:v>
      </x:c>
      <x:c r="B33" s="47" t="str">
        <x:v>Pay deposit using Supplier advance. When the bill arrives record the purchase to Trade payables, then Transfer / adjustment: debit Trade payables, credit Supplier advances. Pay any remainder separately.</x:v>
      </x:c>
      <x:c r="C33" s="31"/>
    </x:row>
    <x:row r="34" ht="52" customHeight="1">
      <x:c r="A34" s="46" t="str">
        <x:v>29. Transfers</x:v>
      </x:c>
      <x:c r="B34" s="46" t="str">
        <x:v>A bank-to-bKash transfer uses Payment=Bank, Other=bKash. It is not income or expense. Stock location transfers need matching out/in rows so total quantity stays unchanged.</x:v>
      </x:c>
      <x:c r="C34" s="31"/>
    </x:row>
    <x:row r="35" ht="52" customHeight="1">
      <x:c r="A35" s="47" t="str">
        <x:v>30. Corrections</x:v>
      </x:c>
      <x:c r="B35" s="47" t="str">
        <x:v>Keep approved entries intact. Reverse wrong accounts with Transfer / adjustment, then enter the correct record, all linked to the original reference. Void only unposted drafts or agreed duplicates.</x:v>
      </x:c>
      <x:c r="C35" s="31"/>
    </x:row>
    <x:row r="36" ht="52" customHeight="1">
      <x:c r="A36" s="46" t="str">
        <x:v>31. Source</x:v>
      </x:c>
      <x:c r="B36" s="46" t="str">
        <x:v>Business name, partners, equal initial shares, BDT and operating model supplied by you in this conversation. Report dates are editable starter defaults.</x:v>
      </x:c>
      <x:c r="C36" s="31"/>
    </x:row>
    <x:row r="37" ht="52" customHeight="1">
      <x:c r="A37" s="47" t="str">
        <x:v>TRY THIS IN A COPY</x:v>
      </x:c>
      <x:c r="B37" s="47" t="str">
        <x:v>The following examples are fictional. They are instructions only and do not affect any report.</x:v>
      </x:c>
      <x:c r="C37" s="31"/>
    </x:row>
    <x:row r="38" ht="52" customHeight="1">
      <x:c r="A38" s="46" t="str">
        <x:v>Example: contribution</x:v>
      </x:c>
      <x:c r="B38" s="46" t="str">
        <x:v>Entry E-001: 21-Oct-2026, Capital contribution, 10,000, Payment=Bank, Partner=Shawon. Reference CAP-001. Entered Shawon, reviewed Rafi, Approved. Bank and Shawon capital increase 10,000.</x:v>
      </x:c>
      <x:c r="C38" s="31"/>
    </x:row>
    <x:row r="39" ht="52" customHeight="1">
      <x:c r="A39" s="47" t="str">
        <x:v>Example: garment lot</x:v>
      </x:c>
      <x:c r="B39" s="47" t="str">
        <x:v>Item DS-BLK-M: Finished, pcs, Black, M. Lot LOT-001: Purchased, quantity 10, purchase cost 3,000, other direct cost 0. Unit cost becomes 300.</x:v>
      </x:c>
      <x:c r="C39" s="31"/>
    </x:row>
    <x:row r="40" ht="52" customHeight="1">
      <x:c r="A40" s="46" t="str">
        <x:v>Example: buy + receipt</x:v>
      </x:c>
      <x:c r="B40" s="46" t="str">
        <x:v>Entry E-002: Buy finished garments, 3,000, Payment=Bank, Reference LOT-001. Stock S-001: LOT-001, Receipt, qty in 10, location Main, Reference LOT-001, approved by another partner.</x:v>
      </x:c>
      <x:c r="C40" s="31"/>
    </x:row>
    <x:row r="41" ht="52" customHeight="1">
      <x:c r="A41" s="47" t="str">
        <x:v>Example: cash sale</x:v>
      </x:c>
      <x:c r="B41" s="47" t="str">
        <x:v>Sales SL-001: Order ORD-001, LOT-001, Sale, units 2, price 600, discount 0, delivery 0, Approved. Revenue=1,200; COGS=600; gross profit=600.</x:v>
      </x:c>
      <x:c r="C41" s="31"/>
    </x:row>
    <x:row r="42" ht="52" customHeight="1">
      <x:c r="A42" s="46" t="str">
        <x:v>Example: post that sale</x:v>
      </x:c>
      <x:c r="B42" s="46" t="str">
        <x:v>Entries E-003: Sale 1,200, Payment=Bank; E-004: Cost of sale 600. Both reference ORD-001. Stock S-002: Customer sale, qty out 2. Each entry requires review/evidence.</x:v>
      </x:c>
      <x:c r="C42" s="31"/>
    </x:row>
    <x:row r="43" ht="52" customHeight="1">
      <x:c r="A43" s="47" t="str">
        <x:v>Expected example totals</x:v>
      </x:c>
      <x:c r="B43" s="47" t="str">
        <x:v>Bank 8,200; finished inventory 2,400; capital 10,000; cumulative profit 600; assets 10,600 = equity 10,600. Stock on hand 8 pcs.</x:v>
      </x:c>
      <x:c r="C43" s="31"/>
    </x:row>
    <x:row r="44" ht="52" customHeight="1">
      <x:c r="A44" s="46" t="str">
        <x:v>Example: personal ad spend</x:v>
      </x:c>
      <x:c r="B44" s="46" t="str">
        <x:v>Rafi spends 500: Partner paid expense, Other=Advertising, Partner=Rafi. Profit falls 500 and Due to - Rafi rises 500. Reimburse partner clears the liability, without another expense.</x:v>
      </x:c>
      <x:c r="C44" s="31"/>
    </x:row>
    <x:row r="45" ht="52" customHeight="1">
      <x:c r="A45" s="47" t="str">
        <x:v>Example: fabric batch</x:v>
      </x:c>
      <x:c r="B45" s="47" t="str">
        <x:v>Buy 10 kg fabric at total 2,000; issue 4 kg (800) to PROD-001. Record direct factory cost 1,200. Receive 10 good garments: batch cost 2,000; unit cost 200. Remaining fabric 6 kg = 1,200.</x:v>
      </x:c>
      <x:c r="C45" s="31"/>
    </x:row>
    <x:row r="46" ht="52" customHeight="1">
      <x:c r="A46" s="46" t="str">
        <x:v>Opening sequence</x:v>
      </x:c>
      <x:c r="B46" s="46" t="str">
        <x:v>For your first real day: set Settings, add contacts/items, record partner capital, then purchases and lots. Use the examples only in a disposable copy.</x:v>
      </x:c>
      <x:c r="C46" s="31"/>
    </x:row>
    <x:row r="47" ht="23" customHeight="1">
      <x:c r="A47" s="31"/>
      <x:c r="B47" s="31"/>
      <x:c r="C47" s="31"/>
    </x:row>
    <x:row r="48" ht="23" customHeight="1">
      <x:c r="A48" s="31"/>
      <x:c r="B48" s="31"/>
      <x:c r="C48" s="31"/>
    </x:row>
    <x:row r="49" ht="23" customHeight="1">
      <x:c r="A49" s="31"/>
      <x:c r="B49" s="31"/>
      <x:c r="C49" s="31"/>
    </x:row>
    <x:row r="50" ht="23" customHeight="1">
      <x:c r="A50" s="31"/>
      <x:c r="B50" s="31"/>
      <x:c r="C50" s="31"/>
    </x:row>
    <x:row r="51" ht="23" customHeight="1">
      <x:c r="A51" s="31"/>
      <x:c r="B51" s="31"/>
      <x:c r="C51" s="31"/>
    </x:row>
    <x:row r="52" ht="23" customHeight="1">
      <x:c r="A52" s="31"/>
      <x:c r="B52" s="31"/>
      <x:c r="C52" s="31"/>
    </x:row>
    <x:row r="53" ht="23" customHeight="1">
      <x:c r="A53" s="31"/>
      <x:c r="B53" s="31"/>
      <x:c r="C53" s="31"/>
    </x:row>
    <x:row r="54" ht="23" customHeight="1">
      <x:c r="A54" s="31"/>
      <x:c r="B54" s="31"/>
      <x:c r="C54" s="31"/>
    </x:row>
    <x:row r="55" ht="23" customHeight="1">
      <x:c r="A55" s="31"/>
      <x:c r="B55" s="31"/>
      <x:c r="C55" s="31"/>
    </x:row>
    <x:row r="56" ht="23" customHeight="1">
      <x:c r="A56" s="31"/>
      <x:c r="B56" s="31"/>
      <x:c r="C56" s="31"/>
    </x:row>
    <x:row r="57" ht="23" customHeight="1">
      <x:c r="A57" s="31"/>
      <x:c r="B57" s="31"/>
      <x:c r="C57" s="31"/>
    </x:row>
    <x:row r="58" ht="23" customHeight="1">
      <x:c r="A58" s="31"/>
      <x:c r="B58" s="31"/>
      <x:c r="C58" s="31"/>
    </x:row>
    <x:row r="59" ht="23" customHeight="1">
      <x:c r="A59" s="31"/>
      <x:c r="B59" s="31"/>
      <x:c r="C59" s="31"/>
    </x:row>
    <x:row r="60" ht="23" customHeight="1">
      <x:c r="A60" s="31"/>
      <x:c r="B60" s="31"/>
      <x:c r="C60" s="31"/>
    </x:row>
    <x:row r="61" ht="23" customHeight="1">
      <x:c r="A61" s="31"/>
      <x:c r="B61" s="31"/>
      <x:c r="C61" s="31"/>
    </x:row>
    <x:row r="62" ht="23" customHeight="1">
      <x:c r="A62" s="31"/>
      <x:c r="B62" s="31"/>
      <x:c r="C62" s="31"/>
    </x:row>
    <x:row r="63" ht="23" customHeight="1">
      <x:c r="A63" s="31"/>
      <x:c r="B63" s="31"/>
      <x:c r="C63" s="31"/>
    </x:row>
    <x:row r="64" ht="23" customHeight="1">
      <x:c r="A64" s="31"/>
      <x:c r="B64" s="31"/>
      <x:c r="C64" s="31"/>
    </x:row>
    <x:row r="65" ht="23" customHeight="1">
      <x:c r="A65" s="31"/>
      <x:c r="B65" s="31"/>
      <x:c r="C65" s="31"/>
    </x:row>
    <x:row r="66" ht="23" customHeight="1">
      <x:c r="A66" s="31"/>
      <x:c r="B66" s="31"/>
      <x:c r="C66" s="31"/>
    </x:row>
    <x:row r="67" ht="23" customHeight="1">
      <x:c r="A67" s="31"/>
      <x:c r="B67" s="31"/>
      <x:c r="C67" s="31"/>
    </x:row>
    <x:row r="68" ht="23" customHeight="1">
      <x:c r="A68" s="31"/>
      <x:c r="B68" s="31"/>
      <x:c r="C68" s="31"/>
    </x:row>
    <x:row r="69" ht="23" customHeight="1">
      <x:c r="A69" s="31"/>
      <x:c r="B69" s="31"/>
      <x:c r="C69" s="31"/>
    </x:row>
  </x:sheetData>
  <x:pageMargins left="0.7" right="0.7" top="0.75" bottom="0.75" header="0.3" footer="0.3"/>
</x:worksheet>
</file>